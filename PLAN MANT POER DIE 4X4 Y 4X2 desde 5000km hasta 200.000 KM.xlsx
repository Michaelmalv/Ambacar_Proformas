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BACAR\Desktop\PROFORMAS INICIO DE PROCESO\PLANES DE MANTENIMEINTO VIGENTES\"/>
    </mc:Choice>
  </mc:AlternateContent>
  <xr:revisionPtr revIDLastSave="0" documentId="13_ncr:1_{6DC2DE0C-6BEC-4A6E-B636-5EEB8CC83532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OER AC 2.0 CD 4X4 TM DIESEL" sheetId="1" r:id="rId1"/>
    <sheet name="POER AC 2.0 CD 4X2 TM DIESE" sheetId="2" r:id="rId2"/>
    <sheet name="CRONOGRAMA MANT POER 4X4" sheetId="3" state="hidden" r:id="rId3"/>
    <sheet name="CONSOLIDADO DE VALORES" sheetId="4" r:id="rId4"/>
    <sheet name="REF MANT CORRECTIV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HWT/XjG0HTuERcwAsbGLWP0osWim5X793FbshyvGvXk="/>
    </ext>
  </extLst>
</workbook>
</file>

<file path=xl/calcChain.xml><?xml version="1.0" encoding="utf-8"?>
<calcChain xmlns="http://schemas.openxmlformats.org/spreadsheetml/2006/main">
  <c r="F71" i="5" l="1"/>
  <c r="F70" i="5"/>
  <c r="F69" i="5"/>
  <c r="F68" i="5"/>
  <c r="F67" i="5"/>
  <c r="F66" i="5"/>
  <c r="F65" i="5"/>
  <c r="F64" i="5"/>
  <c r="F63" i="5"/>
  <c r="F62" i="5"/>
  <c r="F61" i="5"/>
  <c r="D61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1" i="5"/>
  <c r="F30" i="5"/>
  <c r="F29" i="5"/>
  <c r="C29" i="5"/>
  <c r="F28" i="5"/>
  <c r="F27" i="5"/>
  <c r="F26" i="5"/>
  <c r="F25" i="5"/>
  <c r="F24" i="5"/>
  <c r="E23" i="5"/>
  <c r="F23" i="5" s="1"/>
  <c r="F22" i="5"/>
  <c r="C22" i="5"/>
  <c r="F21" i="5"/>
  <c r="C20" i="5"/>
  <c r="F20" i="5" s="1"/>
  <c r="F19" i="5"/>
  <c r="F18" i="5"/>
  <c r="F17" i="5"/>
  <c r="F16" i="5"/>
  <c r="F15" i="5"/>
  <c r="F14" i="5"/>
  <c r="F13" i="5"/>
  <c r="F10" i="5"/>
  <c r="F9" i="5"/>
  <c r="C9" i="5"/>
  <c r="F8" i="5"/>
  <c r="C8" i="5"/>
  <c r="E7" i="5"/>
  <c r="F7" i="5" s="1"/>
  <c r="C7" i="5"/>
  <c r="C6" i="5"/>
  <c r="F6" i="5" s="1"/>
  <c r="D5" i="5"/>
  <c r="F5" i="5" s="1"/>
  <c r="F4" i="5"/>
  <c r="C4" i="5"/>
  <c r="Y24" i="3"/>
  <c r="W24" i="3"/>
  <c r="V24" i="3"/>
  <c r="Q24" i="3"/>
  <c r="O24" i="3"/>
  <c r="N24" i="3"/>
  <c r="I24" i="3"/>
  <c r="G24" i="3"/>
  <c r="F24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Z17" i="3"/>
  <c r="Y17" i="3"/>
  <c r="X17" i="3"/>
  <c r="X24" i="3" s="1"/>
  <c r="W17" i="3"/>
  <c r="V17" i="3"/>
  <c r="U17" i="3"/>
  <c r="T17" i="3"/>
  <c r="S17" i="3"/>
  <c r="R17" i="3"/>
  <c r="Q17" i="3"/>
  <c r="P17" i="3"/>
  <c r="P24" i="3" s="1"/>
  <c r="O17" i="3"/>
  <c r="N17" i="3"/>
  <c r="M17" i="3"/>
  <c r="L17" i="3"/>
  <c r="K17" i="3"/>
  <c r="J17" i="3"/>
  <c r="I17" i="3"/>
  <c r="H17" i="3"/>
  <c r="H24" i="3" s="1"/>
  <c r="G17" i="3"/>
  <c r="F17" i="3"/>
  <c r="E17" i="3"/>
  <c r="D17" i="3"/>
  <c r="C17" i="3"/>
  <c r="B17" i="3"/>
  <c r="Z8" i="3"/>
  <c r="Z24" i="3" s="1"/>
  <c r="Y8" i="3"/>
  <c r="X8" i="3"/>
  <c r="W8" i="3"/>
  <c r="V8" i="3"/>
  <c r="U8" i="3"/>
  <c r="U24" i="3" s="1"/>
  <c r="T8" i="3"/>
  <c r="T24" i="3" s="1"/>
  <c r="S8" i="3"/>
  <c r="S24" i="3" s="1"/>
  <c r="R8" i="3"/>
  <c r="R24" i="3" s="1"/>
  <c r="Q8" i="3"/>
  <c r="P8" i="3"/>
  <c r="O8" i="3"/>
  <c r="N8" i="3"/>
  <c r="M8" i="3"/>
  <c r="M24" i="3" s="1"/>
  <c r="L8" i="3"/>
  <c r="L24" i="3" s="1"/>
  <c r="K8" i="3"/>
  <c r="K24" i="3" s="1"/>
  <c r="J8" i="3"/>
  <c r="J24" i="3" s="1"/>
  <c r="I8" i="3"/>
  <c r="H8" i="3"/>
  <c r="G8" i="3"/>
  <c r="F8" i="3"/>
  <c r="E8" i="3"/>
  <c r="E24" i="3" s="1"/>
  <c r="D8" i="3"/>
  <c r="D24" i="3" s="1"/>
  <c r="C8" i="3"/>
  <c r="C24" i="3" s="1"/>
  <c r="B8" i="3"/>
  <c r="B24" i="3" s="1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O3" i="2"/>
  <c r="AO55" i="2" s="1"/>
  <c r="AO75" i="2" s="1"/>
  <c r="AN3" i="2"/>
  <c r="AN55" i="2" s="1"/>
  <c r="AN75" i="2" s="1"/>
  <c r="AM3" i="2"/>
  <c r="AM55" i="2" s="1"/>
  <c r="AM75" i="2" s="1"/>
  <c r="AL3" i="2"/>
  <c r="AL55" i="2" s="1"/>
  <c r="AL75" i="2" s="1"/>
  <c r="AK3" i="2"/>
  <c r="AK55" i="2" s="1"/>
  <c r="AK75" i="2" s="1"/>
  <c r="AJ3" i="2"/>
  <c r="AJ55" i="2" s="1"/>
  <c r="AJ75" i="2" s="1"/>
  <c r="AI3" i="2"/>
  <c r="AI55" i="2" s="1"/>
  <c r="AI75" i="2" s="1"/>
  <c r="AH3" i="2"/>
  <c r="AH55" i="2" s="1"/>
  <c r="AH75" i="2" s="1"/>
  <c r="AG3" i="2"/>
  <c r="AG55" i="2" s="1"/>
  <c r="AG75" i="2" s="1"/>
  <c r="AF3" i="2"/>
  <c r="AF55" i="2" s="1"/>
  <c r="AF75" i="2" s="1"/>
  <c r="AE3" i="2"/>
  <c r="AE55" i="2" s="1"/>
  <c r="AE75" i="2" s="1"/>
  <c r="AD3" i="2"/>
  <c r="AD55" i="2" s="1"/>
  <c r="AD75" i="2" s="1"/>
  <c r="AC3" i="2"/>
  <c r="AC55" i="2" s="1"/>
  <c r="AC75" i="2" s="1"/>
  <c r="AB3" i="2"/>
  <c r="AB55" i="2" s="1"/>
  <c r="AB75" i="2" s="1"/>
  <c r="AA3" i="2"/>
  <c r="AA55" i="2" s="1"/>
  <c r="AA75" i="2" s="1"/>
  <c r="Z3" i="2"/>
  <c r="Z55" i="2" s="1"/>
  <c r="Z75" i="2" s="1"/>
  <c r="Y3" i="2"/>
  <c r="Y55" i="2" s="1"/>
  <c r="X3" i="2"/>
  <c r="X55" i="2" s="1"/>
  <c r="W3" i="2"/>
  <c r="W55" i="2" s="1"/>
  <c r="V3" i="2"/>
  <c r="V55" i="2" s="1"/>
  <c r="U3" i="2"/>
  <c r="U55" i="2" s="1"/>
  <c r="T3" i="2"/>
  <c r="T55" i="2" s="1"/>
  <c r="S3" i="2"/>
  <c r="S55" i="2" s="1"/>
  <c r="R3" i="2"/>
  <c r="R55" i="2" s="1"/>
  <c r="Q3" i="2"/>
  <c r="Q55" i="2" s="1"/>
  <c r="P3" i="2"/>
  <c r="P55" i="2" s="1"/>
  <c r="O3" i="2"/>
  <c r="O55" i="2" s="1"/>
  <c r="N3" i="2"/>
  <c r="N55" i="2" s="1"/>
  <c r="M3" i="2"/>
  <c r="M55" i="2" s="1"/>
  <c r="L3" i="2"/>
  <c r="L55" i="2" s="1"/>
  <c r="K3" i="2"/>
  <c r="K55" i="2" s="1"/>
  <c r="J3" i="2"/>
  <c r="J55" i="2" s="1"/>
  <c r="I3" i="2"/>
  <c r="I55" i="2" s="1"/>
  <c r="H3" i="2"/>
  <c r="H55" i="2" s="1"/>
  <c r="G3" i="2"/>
  <c r="G55" i="2" s="1"/>
  <c r="F3" i="2"/>
  <c r="F55" i="2" s="1"/>
  <c r="E3" i="2"/>
  <c r="E55" i="2" s="1"/>
  <c r="D3" i="2"/>
  <c r="D55" i="2" s="1"/>
  <c r="C3" i="2"/>
  <c r="C55" i="2" s="1"/>
  <c r="B3" i="2"/>
  <c r="B55" i="2" s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P76" i="1" s="1"/>
  <c r="E5" i="4" s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P67" i="1" s="1"/>
  <c r="E4" i="4" s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O3" i="1"/>
  <c r="AO55" i="1" s="1"/>
  <c r="AO77" i="1" s="1"/>
  <c r="AN3" i="1"/>
  <c r="AN55" i="1" s="1"/>
  <c r="AN77" i="1" s="1"/>
  <c r="AM3" i="1"/>
  <c r="AM55" i="1" s="1"/>
  <c r="AM77" i="1" s="1"/>
  <c r="AL3" i="1"/>
  <c r="AL55" i="1" s="1"/>
  <c r="AL77" i="1" s="1"/>
  <c r="AK3" i="1"/>
  <c r="AK55" i="1" s="1"/>
  <c r="AK77" i="1" s="1"/>
  <c r="AJ3" i="1"/>
  <c r="AJ55" i="1" s="1"/>
  <c r="AJ77" i="1" s="1"/>
  <c r="AI3" i="1"/>
  <c r="AI55" i="1" s="1"/>
  <c r="AI77" i="1" s="1"/>
  <c r="AH3" i="1"/>
  <c r="AH55" i="1" s="1"/>
  <c r="AH77" i="1" s="1"/>
  <c r="AG3" i="1"/>
  <c r="AG55" i="1" s="1"/>
  <c r="AG77" i="1" s="1"/>
  <c r="AF3" i="1"/>
  <c r="AF55" i="1" s="1"/>
  <c r="AF77" i="1" s="1"/>
  <c r="AE3" i="1"/>
  <c r="AE55" i="1" s="1"/>
  <c r="AE77" i="1" s="1"/>
  <c r="AD3" i="1"/>
  <c r="AD55" i="1" s="1"/>
  <c r="AD77" i="1" s="1"/>
  <c r="AC3" i="1"/>
  <c r="AC55" i="1" s="1"/>
  <c r="AC77" i="1" s="1"/>
  <c r="AB3" i="1"/>
  <c r="AB55" i="1" s="1"/>
  <c r="AB77" i="1" s="1"/>
  <c r="AA3" i="1"/>
  <c r="AA55" i="1" s="1"/>
  <c r="AA77" i="1" s="1"/>
  <c r="Z3" i="1"/>
  <c r="Z55" i="1" s="1"/>
  <c r="Z77" i="1" s="1"/>
  <c r="Y3" i="1"/>
  <c r="Y55" i="1" s="1"/>
  <c r="Y77" i="1" s="1"/>
  <c r="X3" i="1"/>
  <c r="X55" i="1" s="1"/>
  <c r="X77" i="1" s="1"/>
  <c r="W3" i="1"/>
  <c r="W55" i="1" s="1"/>
  <c r="W77" i="1" s="1"/>
  <c r="V3" i="1"/>
  <c r="V55" i="1" s="1"/>
  <c r="V77" i="1" s="1"/>
  <c r="U3" i="1"/>
  <c r="U55" i="1" s="1"/>
  <c r="U77" i="1" s="1"/>
  <c r="T3" i="1"/>
  <c r="T55" i="1" s="1"/>
  <c r="T77" i="1" s="1"/>
  <c r="S3" i="1"/>
  <c r="S55" i="1" s="1"/>
  <c r="S77" i="1" s="1"/>
  <c r="R3" i="1"/>
  <c r="R55" i="1" s="1"/>
  <c r="R77" i="1" s="1"/>
  <c r="Q3" i="1"/>
  <c r="Q55" i="1" s="1"/>
  <c r="Q77" i="1" s="1"/>
  <c r="P3" i="1"/>
  <c r="P55" i="1" s="1"/>
  <c r="P77" i="1" s="1"/>
  <c r="O3" i="1"/>
  <c r="O55" i="1" s="1"/>
  <c r="O77" i="1" s="1"/>
  <c r="N3" i="1"/>
  <c r="N55" i="1" s="1"/>
  <c r="N77" i="1" s="1"/>
  <c r="M3" i="1"/>
  <c r="M55" i="1" s="1"/>
  <c r="M77" i="1" s="1"/>
  <c r="L3" i="1"/>
  <c r="L55" i="1" s="1"/>
  <c r="L77" i="1" s="1"/>
  <c r="K3" i="1"/>
  <c r="K55" i="1" s="1"/>
  <c r="K77" i="1" s="1"/>
  <c r="J3" i="1"/>
  <c r="J55" i="1" s="1"/>
  <c r="J77" i="1" s="1"/>
  <c r="I3" i="1"/>
  <c r="I55" i="1" s="1"/>
  <c r="I77" i="1" s="1"/>
  <c r="H3" i="1"/>
  <c r="H55" i="1" s="1"/>
  <c r="H77" i="1" s="1"/>
  <c r="G3" i="1"/>
  <c r="G55" i="1" s="1"/>
  <c r="G77" i="1" s="1"/>
  <c r="F3" i="1"/>
  <c r="F55" i="1" s="1"/>
  <c r="F77" i="1" s="1"/>
  <c r="E3" i="1"/>
  <c r="E55" i="1" s="1"/>
  <c r="E77" i="1" s="1"/>
  <c r="D3" i="1"/>
  <c r="D55" i="1" s="1"/>
  <c r="D77" i="1" s="1"/>
  <c r="C3" i="1"/>
  <c r="C55" i="1" s="1"/>
  <c r="C77" i="1" s="1"/>
  <c r="B3" i="1"/>
  <c r="B55" i="1" s="1"/>
  <c r="AP65" i="2" l="1"/>
  <c r="E13" i="4" s="1"/>
  <c r="AP74" i="2"/>
  <c r="E14" i="4" s="1"/>
  <c r="P75" i="2"/>
  <c r="B77" i="1"/>
  <c r="AP77" i="1" s="1"/>
  <c r="AP55" i="1"/>
  <c r="E3" i="4" s="1"/>
  <c r="AP55" i="2"/>
  <c r="E12" i="4" s="1"/>
  <c r="B75" i="2"/>
  <c r="J75" i="2"/>
  <c r="R75" i="2"/>
  <c r="H75" i="2"/>
  <c r="C75" i="2"/>
  <c r="K75" i="2"/>
  <c r="S75" i="2"/>
  <c r="I75" i="2"/>
  <c r="D75" i="2"/>
  <c r="L75" i="2"/>
  <c r="T75" i="2"/>
  <c r="X75" i="2"/>
  <c r="Q75" i="2"/>
  <c r="E75" i="2"/>
  <c r="M75" i="2"/>
  <c r="U75" i="2"/>
  <c r="Y75" i="2"/>
  <c r="F75" i="2"/>
  <c r="N75" i="2"/>
  <c r="V75" i="2"/>
  <c r="G75" i="2"/>
  <c r="O75" i="2"/>
  <c r="W75" i="2"/>
  <c r="AP75" i="2" l="1"/>
  <c r="E6" i="4"/>
  <c r="E7" i="4" s="1"/>
  <c r="E15" i="4"/>
  <c r="E16" i="4" s="1"/>
</calcChain>
</file>

<file path=xl/sharedStrings.xml><?xml version="1.0" encoding="utf-8"?>
<sst xmlns="http://schemas.openxmlformats.org/spreadsheetml/2006/main" count="381" uniqueCount="210">
  <si>
    <t>PLAN DE MANTENIMIENTO POER AC 2.0 CD 4X4 TM DIESEL</t>
  </si>
  <si>
    <t>GWM POER DIESEL</t>
  </si>
  <si>
    <t>5.000 KM</t>
  </si>
  <si>
    <t>10.000 KM</t>
  </si>
  <si>
    <t>15.000 KM</t>
  </si>
  <si>
    <t>20.000 KM</t>
  </si>
  <si>
    <t>25.000 KM</t>
  </si>
  <si>
    <t>30.000 KM</t>
  </si>
  <si>
    <t>35.000 KM</t>
  </si>
  <si>
    <t>40.000 KM</t>
  </si>
  <si>
    <t>45.000 KM</t>
  </si>
  <si>
    <t>50.000 KM</t>
  </si>
  <si>
    <t>55.000 KM</t>
  </si>
  <si>
    <t>60.000 KM</t>
  </si>
  <si>
    <t>65.000 KM</t>
  </si>
  <si>
    <t>70.000 KM</t>
  </si>
  <si>
    <t>75.000 KM</t>
  </si>
  <si>
    <t>80.000 KM</t>
  </si>
  <si>
    <t>85.000 KM</t>
  </si>
  <si>
    <t>90.000 KM</t>
  </si>
  <si>
    <t>95.000 KM</t>
  </si>
  <si>
    <t>100.000 KM</t>
  </si>
  <si>
    <t>105.000 KM</t>
  </si>
  <si>
    <t>110.000 KM</t>
  </si>
  <si>
    <t>115.000 KM</t>
  </si>
  <si>
    <t>120.000 KM</t>
  </si>
  <si>
    <t>125.000 KM</t>
  </si>
  <si>
    <t>130.000 KM</t>
  </si>
  <si>
    <t>135.000 KM</t>
  </si>
  <si>
    <t>140.000 KM</t>
  </si>
  <si>
    <t>145.000 KM</t>
  </si>
  <si>
    <t>150.000 KM</t>
  </si>
  <si>
    <t>155.000 KM</t>
  </si>
  <si>
    <t>160.000 KM</t>
  </si>
  <si>
    <t>165.000 KM</t>
  </si>
  <si>
    <t>170.000 KM</t>
  </si>
  <si>
    <t>175.000 KM</t>
  </si>
  <si>
    <t>180.000 KM</t>
  </si>
  <si>
    <t>185.000 KM</t>
  </si>
  <si>
    <t>190.000 KM</t>
  </si>
  <si>
    <t>195.000 KM</t>
  </si>
  <si>
    <t>200.000 KM</t>
  </si>
  <si>
    <t>FILTRO DE ACEITE</t>
  </si>
  <si>
    <t>FILTRO DE COMBUSTIBLE</t>
  </si>
  <si>
    <t>FILTRO DE AIRE</t>
  </si>
  <si>
    <t>PASTILLAS DE FRENO DEL</t>
  </si>
  <si>
    <t>PASTILLAS DE FRENO POST</t>
  </si>
  <si>
    <t>BANDA DE ACCESORIOS</t>
  </si>
  <si>
    <t>FILTRO DE CABINA A/C</t>
  </si>
  <si>
    <t xml:space="preserve"> TERMOSTATO</t>
  </si>
  <si>
    <t>BASE TERMOSTATO</t>
  </si>
  <si>
    <t>TEMPLADOR BANDA DISTRIBUCION 4D20M</t>
  </si>
  <si>
    <t>RODAMIENTO BANDA DISTRIBUCION  4D20M</t>
  </si>
  <si>
    <t>BANDA DE DISTRIBUCION</t>
  </si>
  <si>
    <t>RODAMIENTO BANDA DISTRIBUCION</t>
  </si>
  <si>
    <t>ARANDELA DE TAPON DE CARTER</t>
  </si>
  <si>
    <t>TUBERIA ENTRADA RADIADOR POER</t>
  </si>
  <si>
    <t>TUBERIA SALIDA RADIADOR POER</t>
  </si>
  <si>
    <t>MANGUERA ENTRADA CALEFACTOR POER</t>
  </si>
  <si>
    <t>MANGUERA SALIDA CALEFACTOR POER</t>
  </si>
  <si>
    <t>BOMBA DE AGUA</t>
  </si>
  <si>
    <t>EMPAQUE BOMBA DE AGUA</t>
  </si>
  <si>
    <t>RODAMIENTO EJE DE ENTRADA</t>
  </si>
  <si>
    <t>RODAMIENTO DE AGUJAS (H5-2.0TCI)</t>
  </si>
  <si>
    <t>RODAMIENTO AGUJAS PIÑON 2DA</t>
  </si>
  <si>
    <t>RODAMIENTO ENGRANAJE 1ERA</t>
  </si>
  <si>
    <t>RODAM. CONTRA EJE DEL /31RUKSS2NRC3</t>
  </si>
  <si>
    <t>RODAMIENTO DE AGUJAS</t>
  </si>
  <si>
    <t>RODAMIENTO AGUJAS PIÑON 4TA</t>
  </si>
  <si>
    <t>RODAM. DE AGUJAS PIÑON DE REVERSA</t>
  </si>
  <si>
    <t>RODAMIENTO</t>
  </si>
  <si>
    <t>ANILLO EXTERIOR COJINETE ESTAMPADO</t>
  </si>
  <si>
    <t>RODAMIENTO CAJA CAMBIOS WINGLE 7</t>
  </si>
  <si>
    <t>RODAMEINTO POSTERIOR EJE SALIDA</t>
  </si>
  <si>
    <t>ANILLO SINCRONIZADO 1RA/2DA POER 4X4 (2)</t>
  </si>
  <si>
    <t>ANILLO SINCRONIZADO 5TA/6TA POER 4X4 (2)</t>
  </si>
  <si>
    <t>ANILLO SINCRONIZADO REVERSA POER 4X4</t>
  </si>
  <si>
    <t>ANILLO SINCRONIZADO 3RA/4TA POER 4X4 (2)</t>
  </si>
  <si>
    <t>DISCO Y PLATO EMBRAGUE POER DIESEL</t>
  </si>
  <si>
    <t>RODAMIENTO EMBRAGUE</t>
  </si>
  <si>
    <t>RODAMIENTO VOLANTE</t>
  </si>
  <si>
    <t>EMPAQUE TAPA CABEZOTE 4D20M</t>
  </si>
  <si>
    <t>RETENEDOR ARBOL LEVAS MOT, 4D20</t>
  </si>
  <si>
    <t>VALVULA DE ESCAPE 4D20M (8)</t>
  </si>
  <si>
    <t>VALVULA DE ADMISIÓN 4D20M (8)</t>
  </si>
  <si>
    <t>SELLO DE VALVULAS 4D20 - H6D (16)</t>
  </si>
  <si>
    <t>PERNO CABEZOTE 4D20M (10)</t>
  </si>
  <si>
    <t>EMPAQUE MULTIPLE DE ESCAPE 4D20M</t>
  </si>
  <si>
    <t>EMPAQUE MULTIPLE ADMISION POER</t>
  </si>
  <si>
    <t>EMPAQUE TURBO 4D20M</t>
  </si>
  <si>
    <t>EMPAQUE SALIDA VÁLVULA EGR</t>
  </si>
  <si>
    <t>PROPULSOR HIDRAULICO MOTOR 4D20 (16)</t>
  </si>
  <si>
    <t>TOTAL REPUESTOS</t>
  </si>
  <si>
    <t>ACEITE MOTOR(6l)</t>
  </si>
  <si>
    <t>LIQUIDO INYECTORES</t>
  </si>
  <si>
    <t>LIMPIADOR DE FRENOS</t>
  </si>
  <si>
    <t>LIMPIADOR DE ADMISION</t>
  </si>
  <si>
    <t>REFRIGERANTE(8l)</t>
  </si>
  <si>
    <t>ACEITE DE CAJA 75W80(3l)</t>
  </si>
  <si>
    <t>ACEITE DE TRANSMISION 80W90 DEL (3l)</t>
  </si>
  <si>
    <t>ACEITE DE TRANSMISION 80W90 POST(3l)</t>
  </si>
  <si>
    <t>ACEITE CAJA DE TRANSFERENCIA(2l)</t>
  </si>
  <si>
    <t>ACEITE DIRECCION HIDRAULICA(1L)</t>
  </si>
  <si>
    <t>LIQUIDO DE FRENOS(2)</t>
  </si>
  <si>
    <t>TOTAL LUBRICANTES</t>
  </si>
  <si>
    <t>MANO DE OBRA</t>
  </si>
  <si>
    <t xml:space="preserve">ALINEACION </t>
  </si>
  <si>
    <t>BALANCEO</t>
  </si>
  <si>
    <t>LIMPIEZA DE INYECTORES</t>
  </si>
  <si>
    <t>LAVADO</t>
  </si>
  <si>
    <t>MANTENIMIENTO SISTEMA REFRIGERACION</t>
  </si>
  <si>
    <t>OVERHAUL DE CAJA</t>
  </si>
  <si>
    <t>OVERHAUL DE CABEZOTE</t>
  </si>
  <si>
    <t>TOTAL M/O</t>
  </si>
  <si>
    <t>TOTAL MANTENIMIENTO X KM</t>
  </si>
  <si>
    <t>PLAN DE MANTENIMIENTO POER AC 2.0 CD 4X2 TM DIESEL</t>
  </si>
  <si>
    <t>TEMPLADOR BANDA DISTRIBUCION  4D20M</t>
  </si>
  <si>
    <t>RODAMIENTO BANDA DISTRIBUCION  4D20M</t>
  </si>
  <si>
    <t>ACEITE MOTOR</t>
  </si>
  <si>
    <t>REFRIGERANTE</t>
  </si>
  <si>
    <t>ACEITE DE CAJA Y TRANS</t>
  </si>
  <si>
    <t>SUMINISTROS</t>
  </si>
  <si>
    <t>LIQUIDO DE FRENOS</t>
  </si>
  <si>
    <t>ALINEACION Y BALANCEO</t>
  </si>
  <si>
    <t>TURBO</t>
  </si>
  <si>
    <t>CRONOGRAMA DE MANTENIMIENTO POER AC 2.0 CD 4X4 TM DIESEL</t>
  </si>
  <si>
    <t>A/F</t>
  </si>
  <si>
    <t>X</t>
  </si>
  <si>
    <t>COSTOS MANTENIMIENTO POER  4X4</t>
  </si>
  <si>
    <t>CANTIDAD DE VEHICULOS</t>
  </si>
  <si>
    <t>Total Repuestos</t>
  </si>
  <si>
    <t>Mantenimiento preventivo</t>
  </si>
  <si>
    <t>Total Lubricantes</t>
  </si>
  <si>
    <t>Total Mano de Obra</t>
  </si>
  <si>
    <t>Mantenimiento correctivo</t>
  </si>
  <si>
    <t>Se considera un valor aproximado del 30% del costo total de mantenimientos preventivos</t>
  </si>
  <si>
    <t>Total 1 + 2 + 3 + 4</t>
  </si>
  <si>
    <t>Costos no incluyen IVA</t>
  </si>
  <si>
    <t>COSTOS MANTENIMIENTO POER 4X2</t>
  </si>
  <si>
    <t>MARCA</t>
  </si>
  <si>
    <t>GWM</t>
  </si>
  <si>
    <t>MODELO</t>
  </si>
  <si>
    <t>POER 2.0 AC</t>
  </si>
  <si>
    <t>MANTENIMIENTOS CORRECTIVOS</t>
  </si>
  <si>
    <t>ITEM</t>
  </si>
  <si>
    <t>DESCRIPCION</t>
  </si>
  <si>
    <t xml:space="preserve"> Total M/O </t>
  </si>
  <si>
    <t xml:space="preserve"> SUBTOTAL </t>
  </si>
  <si>
    <t>BOMBA DE COMBUSTIBLE ALTA PRESION</t>
  </si>
  <si>
    <t>BOMBA AGUA</t>
  </si>
  <si>
    <t>BOMBA DIRECCION HIDRAULICA</t>
  </si>
  <si>
    <t>AMORTIGUADORE DELANTERO (1)</t>
  </si>
  <si>
    <t>AMORTIGUADOR POSTERIOR (1)</t>
  </si>
  <si>
    <t>DISCO Y PLATO EMBRAGUE</t>
  </si>
  <si>
    <t>RODAMIENTO MANZANA RUEDA DELT POER (1)</t>
  </si>
  <si>
    <t>DISCO DE FRENO DELANTERO (1)</t>
  </si>
  <si>
    <t>DISCO DE FRENO POSTERIOR (1)</t>
  </si>
  <si>
    <t>BUJES DEL COLGANTE DEL PAQUETE POSTERIOR (8)</t>
  </si>
  <si>
    <t xml:space="preserve">PAQUETE POSTERIOR </t>
  </si>
  <si>
    <t>EJE CARDAN COMPLETO</t>
  </si>
  <si>
    <t>CRUCETA CARDAN POER BJXPJ</t>
  </si>
  <si>
    <t>BOMBA DE FRENO</t>
  </si>
  <si>
    <t>BOMBA DE EMBRAGUE (PRINCIPAL)</t>
  </si>
  <si>
    <t xml:space="preserve">INYECTORES </t>
  </si>
  <si>
    <t>CREMALLERA DE DIRECCION</t>
  </si>
  <si>
    <t>TERMINAL DE LA DIRECCIÓN RH</t>
  </si>
  <si>
    <t>TERMINAL DE LA CIRECCIÓN LH</t>
  </si>
  <si>
    <t>MESA SUPERIOR</t>
  </si>
  <si>
    <t>MESA INFERIOR</t>
  </si>
  <si>
    <t>COMPRESOR A/C</t>
  </si>
  <si>
    <t>BANDA DE SERVICIO</t>
  </si>
  <si>
    <t>SENSOR TPMS</t>
  </si>
  <si>
    <t>PLUMAS LH(LIMPIAPRABRISAS)</t>
  </si>
  <si>
    <t>PLUMAS RH(LIMPIAPRABRISAS)</t>
  </si>
  <si>
    <t>FOCOS 1 CONTACTO</t>
  </si>
  <si>
    <t>FOCOS 2 CONTACTOS</t>
  </si>
  <si>
    <t xml:space="preserve">FOCO HALÓGENO </t>
  </si>
  <si>
    <t>BATERIA</t>
  </si>
  <si>
    <t>ENLLANTAJE C/U</t>
  </si>
  <si>
    <t>PARCHE  NEUMÁTICO C/U</t>
  </si>
  <si>
    <t>TAPA DE BALDE</t>
  </si>
  <si>
    <t>RECTIFICACIÓN DISCOS DEL</t>
  </si>
  <si>
    <t>RECTIFICACIÓN DISCOS POST</t>
  </si>
  <si>
    <t>JGO. MOQUETAS</t>
  </si>
  <si>
    <t>ALINEACIÓN</t>
  </si>
  <si>
    <t>BARRA ESTABILIZADORA</t>
  </si>
  <si>
    <t>RADIADOR POER</t>
  </si>
  <si>
    <t>REPARACION TAPICERIA ASIENTO DELANTERO</t>
  </si>
  <si>
    <t>REPARACION TAPICERIA ASIENTO POSTERIOR</t>
  </si>
  <si>
    <t>RELE</t>
  </si>
  <si>
    <t>FUSIBLE</t>
  </si>
  <si>
    <t>CAMISAS CILINDRO</t>
  </si>
  <si>
    <t>PISTONES</t>
  </si>
  <si>
    <t>KIT DE RINES</t>
  </si>
  <si>
    <t>CHAQUETAS DE BANCADA</t>
  </si>
  <si>
    <t>CHAQUETAS DE BIELA</t>
  </si>
  <si>
    <t>KIT DE EMPAQUES</t>
  </si>
  <si>
    <t>MEDIA LUNA</t>
  </si>
  <si>
    <t>KIT DISTRIBUCION</t>
  </si>
  <si>
    <t>CONJUNTO DIFERENCIAL POST POER 39/10</t>
  </si>
  <si>
    <t>MORDAZA DEL RH</t>
  </si>
  <si>
    <t>MORDAZA DEL LH</t>
  </si>
  <si>
    <t>MORDAZA POST RH</t>
  </si>
  <si>
    <t>MORDAZA POST LH</t>
  </si>
  <si>
    <t>MANTENIMIENTO A/C</t>
  </si>
  <si>
    <t>TEMPLADOR LH BARRA ESTABILIZA DEL POER</t>
  </si>
  <si>
    <t>TEMPLADOR RH BARRA ESTABILIZA DEL POER</t>
  </si>
  <si>
    <t>BUJE BARRA ESTABILIZADORA DEL POER</t>
  </si>
  <si>
    <t>EMPAQUE TURBO COMPRESOR POER</t>
  </si>
  <si>
    <t>VALVULA EGR 4D20M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</si>
</sst>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&quot;$&quot;\-#,##0.00"/>
    <numFmt numFmtId="44" formatCode="_ &quot;$&quot;* #,##0.00_ ;_ &quot;$&quot;* \-#,##0.00_ ;_ &quot;$&quot;* &quot;-&quot;??_ ;_ @_ "/>
    <numFmt numFmtId="164" formatCode="&quot;$&quot;#,##0.00"/>
    <numFmt numFmtId="165" formatCode="_-* #,##0.00\ _€_-;\-* #,##0.00\ _€_-;_-* &quot;-&quot;??\ _€_-;_-@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8"/>
        <bgColor theme="8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64" fontId="1" fillId="6" borderId="2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2" fillId="0" borderId="8" xfId="0" applyFont="1" applyBorder="1"/>
    <xf numFmtId="164" fontId="2" fillId="0" borderId="2" xfId="0" applyNumberFormat="1" applyFont="1" applyBorder="1"/>
    <xf numFmtId="164" fontId="2" fillId="0" borderId="9" xfId="0" applyNumberFormat="1" applyFont="1" applyBorder="1"/>
    <xf numFmtId="0" fontId="2" fillId="0" borderId="13" xfId="0" applyFont="1" applyBorder="1"/>
    <xf numFmtId="164" fontId="2" fillId="0" borderId="4" xfId="0" applyNumberFormat="1" applyFont="1" applyBorder="1"/>
    <xf numFmtId="164" fontId="2" fillId="0" borderId="14" xfId="0" applyNumberFormat="1" applyFont="1" applyBorder="1"/>
    <xf numFmtId="0" fontId="1" fillId="3" borderId="11" xfId="0" applyFont="1" applyFill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0" fontId="3" fillId="0" borderId="8" xfId="0" applyFont="1" applyBorder="1"/>
    <xf numFmtId="0" fontId="1" fillId="4" borderId="11" xfId="0" applyFont="1" applyFill="1" applyBorder="1" applyAlignment="1">
      <alignment horizontal="center"/>
    </xf>
    <xf numFmtId="164" fontId="1" fillId="4" borderId="12" xfId="0" applyNumberFormat="1" applyFont="1" applyFill="1" applyBorder="1" applyAlignment="1">
      <alignment horizontal="center"/>
    </xf>
    <xf numFmtId="164" fontId="1" fillId="4" borderId="16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164" fontId="1" fillId="5" borderId="12" xfId="0" applyNumberFormat="1" applyFont="1" applyFill="1" applyBorder="1" applyAlignment="1">
      <alignment horizontal="center"/>
    </xf>
    <xf numFmtId="164" fontId="1" fillId="5" borderId="16" xfId="0" applyNumberFormat="1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164" fontId="1" fillId="6" borderId="15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8" xfId="0" applyFont="1" applyBorder="1" applyAlignment="1">
      <alignment horizontal="center"/>
    </xf>
    <xf numFmtId="44" fontId="2" fillId="0" borderId="9" xfId="0" applyNumberFormat="1" applyFont="1" applyBorder="1"/>
    <xf numFmtId="165" fontId="2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4" fontId="2" fillId="0" borderId="14" xfId="0" applyNumberFormat="1" applyFont="1" applyBorder="1" applyAlignment="1">
      <alignment vertical="center"/>
    </xf>
    <xf numFmtId="44" fontId="1" fillId="0" borderId="24" xfId="0" applyNumberFormat="1" applyFont="1" applyBorder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44" fontId="7" fillId="0" borderId="4" xfId="0" applyNumberFormat="1" applyFont="1" applyBorder="1" applyAlignment="1">
      <alignment horizontal="center" vertical="center" wrapText="1"/>
    </xf>
    <xf numFmtId="44" fontId="7" fillId="0" borderId="4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44" fontId="8" fillId="0" borderId="2" xfId="0" applyNumberFormat="1" applyFont="1" applyBorder="1" applyAlignment="1">
      <alignment vertical="center"/>
    </xf>
    <xf numFmtId="8" fontId="8" fillId="0" borderId="28" xfId="0" applyNumberFormat="1" applyFont="1" applyBorder="1" applyAlignment="1">
      <alignment vertical="center"/>
    </xf>
    <xf numFmtId="8" fontId="8" fillId="8" borderId="2" xfId="0" applyNumberFormat="1" applyFont="1" applyFill="1" applyBorder="1" applyAlignment="1">
      <alignment vertical="center"/>
    </xf>
    <xf numFmtId="44" fontId="2" fillId="0" borderId="0" xfId="0" applyNumberFormat="1" applyFont="1"/>
    <xf numFmtId="0" fontId="2" fillId="0" borderId="2" xfId="0" applyFont="1" applyBorder="1"/>
    <xf numFmtId="8" fontId="8" fillId="0" borderId="0" xfId="0" applyNumberFormat="1" applyFont="1" applyAlignment="1">
      <alignment vertical="center"/>
    </xf>
    <xf numFmtId="8" fontId="8" fillId="8" borderId="0" xfId="0" applyNumberFormat="1" applyFont="1" applyFill="1" applyAlignment="1">
      <alignment vertical="center"/>
    </xf>
    <xf numFmtId="0" fontId="8" fillId="2" borderId="2" xfId="0" applyFont="1" applyFill="1" applyBorder="1" applyAlignment="1">
      <alignment vertical="center"/>
    </xf>
    <xf numFmtId="44" fontId="8" fillId="2" borderId="2" xfId="0" applyNumberFormat="1" applyFont="1" applyFill="1" applyBorder="1" applyAlignment="1">
      <alignment vertical="center"/>
    </xf>
    <xf numFmtId="2" fontId="8" fillId="0" borderId="2" xfId="0" applyNumberFormat="1" applyFont="1" applyBorder="1" applyAlignment="1">
      <alignment vertical="center"/>
    </xf>
    <xf numFmtId="8" fontId="8" fillId="8" borderId="1" xfId="0" applyNumberFormat="1" applyFont="1" applyFill="1" applyBorder="1" applyAlignment="1">
      <alignment vertical="center"/>
    </xf>
    <xf numFmtId="2" fontId="8" fillId="0" borderId="0" xfId="0" applyNumberFormat="1" applyFont="1" applyAlignment="1">
      <alignment vertical="center"/>
    </xf>
    <xf numFmtId="8" fontId="8" fillId="2" borderId="29" xfId="0" applyNumberFormat="1" applyFont="1" applyFill="1" applyBorder="1" applyAlignment="1">
      <alignment vertical="center"/>
    </xf>
    <xf numFmtId="8" fontId="8" fillId="2" borderId="2" xfId="0" applyNumberFormat="1" applyFont="1" applyFill="1" applyBorder="1" applyAlignment="1">
      <alignment vertical="center"/>
    </xf>
    <xf numFmtId="0" fontId="2" fillId="8" borderId="1" xfId="0" applyFont="1" applyFill="1" applyBorder="1"/>
    <xf numFmtId="44" fontId="2" fillId="2" borderId="2" xfId="0" applyNumberFormat="1" applyFont="1" applyFill="1" applyBorder="1"/>
    <xf numFmtId="44" fontId="8" fillId="2" borderId="2" xfId="0" applyNumberFormat="1" applyFont="1" applyFill="1" applyBorder="1" applyAlignment="1">
      <alignment horizontal="center" vertical="center"/>
    </xf>
    <xf numFmtId="44" fontId="2" fillId="0" borderId="2" xfId="0" applyNumberFormat="1" applyFont="1" applyBorder="1"/>
    <xf numFmtId="44" fontId="8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2" fillId="0" borderId="4" xfId="0" applyFont="1" applyBorder="1" applyAlignment="1">
      <alignment horizontal="center" vertical="center" wrapText="1"/>
    </xf>
    <xf numFmtId="0" fontId="4" fillId="0" borderId="10" xfId="0" applyFont="1" applyBorder="1"/>
    <xf numFmtId="0" fontId="4" fillId="0" borderId="20" xfId="0" applyFont="1" applyBorder="1"/>
    <xf numFmtId="0" fontId="1" fillId="0" borderId="21" xfId="0" applyFont="1" applyBorder="1" applyAlignment="1">
      <alignment horizontal="right"/>
    </xf>
    <xf numFmtId="0" fontId="4" fillId="0" borderId="22" xfId="0" applyFont="1" applyBorder="1"/>
    <xf numFmtId="0" fontId="4" fillId="0" borderId="23" xfId="0" applyFont="1" applyBorder="1"/>
    <xf numFmtId="0" fontId="6" fillId="0" borderId="25" xfId="0" applyFont="1" applyBorder="1" applyAlignment="1">
      <alignment horizontal="center"/>
    </xf>
    <xf numFmtId="0" fontId="4" fillId="0" borderId="25" xfId="0" applyFont="1" applyBorder="1"/>
    <xf numFmtId="44" fontId="8" fillId="2" borderId="4" xfId="0" applyNumberFormat="1" applyFont="1" applyFill="1" applyBorder="1" applyAlignment="1">
      <alignment horizontal="center" vertical="center"/>
    </xf>
    <xf numFmtId="44" fontId="2" fillId="2" borderId="4" xfId="0" applyNumberFormat="1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44" fontId="2" fillId="0" borderId="4" xfId="0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4" fillId="0" borderId="27" xfId="0" applyFont="1" applyBorder="1"/>
    <xf numFmtId="44" fontId="7" fillId="0" borderId="26" xfId="0" applyNumberFormat="1" applyFont="1" applyBorder="1" applyAlignment="1">
      <alignment horizontal="center" vertical="center"/>
    </xf>
    <xf numFmtId="0" fontId="4" fillId="0" borderId="28" xfId="0" applyFont="1" applyBorder="1"/>
    <xf numFmtId="44" fontId="8" fillId="0" borderId="4" xfId="0" applyNumberFormat="1" applyFont="1" applyBorder="1" applyAlignment="1">
      <alignment horizontal="center" vertical="center"/>
    </xf>
    <xf numFmtId="44" fontId="2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01"/>
  <sheetViews>
    <sheetView tabSelected="1" workbookViewId="0">
      <pane ySplit="2" topLeftCell="A3" activePane="bottomLeft" state="frozen"/>
      <selection pane="bottomLeft" activeCell="A4" sqref="A4"/>
    </sheetView>
  </sheetViews>
  <sheetFormatPr baseColWidth="10" defaultColWidth="14.44140625" defaultRowHeight="15" customHeight="1" x14ac:dyDescent="0.3"/>
  <cols>
    <col min="1" max="1" width="43.88671875" customWidth="1"/>
    <col min="2" max="2" width="11.44140625" customWidth="1"/>
    <col min="3" max="20" width="10.6640625" customWidth="1"/>
    <col min="21" max="25" width="11.6640625" customWidth="1"/>
    <col min="26" max="26" width="10.6640625" customWidth="1"/>
  </cols>
  <sheetData>
    <row r="1" spans="1:41" ht="14.25" customHeight="1" x14ac:dyDescent="0.3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2"/>
      <c r="AA1" s="3"/>
      <c r="AB1" s="3"/>
      <c r="AC1" s="3"/>
      <c r="AD1" s="3"/>
      <c r="AJ1" s="3"/>
    </row>
    <row r="2" spans="1:41" ht="14.2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5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</row>
    <row r="3" spans="1:41" ht="14.25" customHeight="1" x14ac:dyDescent="0.3">
      <c r="A3" s="6" t="s">
        <v>42</v>
      </c>
      <c r="B3" s="7">
        <f t="shared" ref="B3:AO3" si="0">11.84+2.5</f>
        <v>14.34</v>
      </c>
      <c r="C3" s="7">
        <f t="shared" si="0"/>
        <v>14.34</v>
      </c>
      <c r="D3" s="7">
        <f t="shared" si="0"/>
        <v>14.34</v>
      </c>
      <c r="E3" s="7">
        <f t="shared" si="0"/>
        <v>14.34</v>
      </c>
      <c r="F3" s="7">
        <f t="shared" si="0"/>
        <v>14.34</v>
      </c>
      <c r="G3" s="7">
        <f t="shared" si="0"/>
        <v>14.34</v>
      </c>
      <c r="H3" s="7">
        <f t="shared" si="0"/>
        <v>14.34</v>
      </c>
      <c r="I3" s="7">
        <f t="shared" si="0"/>
        <v>14.34</v>
      </c>
      <c r="J3" s="7">
        <f t="shared" si="0"/>
        <v>14.34</v>
      </c>
      <c r="K3" s="7">
        <f t="shared" si="0"/>
        <v>14.34</v>
      </c>
      <c r="L3" s="7">
        <f t="shared" si="0"/>
        <v>14.34</v>
      </c>
      <c r="M3" s="7">
        <f t="shared" si="0"/>
        <v>14.34</v>
      </c>
      <c r="N3" s="7">
        <f t="shared" si="0"/>
        <v>14.34</v>
      </c>
      <c r="O3" s="7">
        <f t="shared" si="0"/>
        <v>14.34</v>
      </c>
      <c r="P3" s="7">
        <f t="shared" si="0"/>
        <v>14.34</v>
      </c>
      <c r="Q3" s="7">
        <f t="shared" si="0"/>
        <v>14.34</v>
      </c>
      <c r="R3" s="7">
        <f t="shared" si="0"/>
        <v>14.34</v>
      </c>
      <c r="S3" s="7">
        <f t="shared" si="0"/>
        <v>14.34</v>
      </c>
      <c r="T3" s="7">
        <f t="shared" si="0"/>
        <v>14.34</v>
      </c>
      <c r="U3" s="7">
        <f t="shared" si="0"/>
        <v>14.34</v>
      </c>
      <c r="V3" s="7">
        <f t="shared" si="0"/>
        <v>14.34</v>
      </c>
      <c r="W3" s="7">
        <f t="shared" si="0"/>
        <v>14.34</v>
      </c>
      <c r="X3" s="7">
        <f t="shared" si="0"/>
        <v>14.34</v>
      </c>
      <c r="Y3" s="7">
        <f t="shared" si="0"/>
        <v>14.34</v>
      </c>
      <c r="Z3" s="8">
        <f t="shared" si="0"/>
        <v>14.34</v>
      </c>
      <c r="AA3" s="8">
        <f t="shared" si="0"/>
        <v>14.34</v>
      </c>
      <c r="AB3" s="8">
        <f t="shared" si="0"/>
        <v>14.34</v>
      </c>
      <c r="AC3" s="8">
        <f t="shared" si="0"/>
        <v>14.34</v>
      </c>
      <c r="AD3" s="8">
        <f t="shared" si="0"/>
        <v>14.34</v>
      </c>
      <c r="AE3" s="7">
        <f t="shared" si="0"/>
        <v>14.34</v>
      </c>
      <c r="AF3" s="7">
        <f t="shared" si="0"/>
        <v>14.34</v>
      </c>
      <c r="AG3" s="7">
        <f t="shared" si="0"/>
        <v>14.34</v>
      </c>
      <c r="AH3" s="7">
        <f t="shared" si="0"/>
        <v>14.34</v>
      </c>
      <c r="AI3" s="7">
        <f t="shared" si="0"/>
        <v>14.34</v>
      </c>
      <c r="AJ3" s="8">
        <f t="shared" si="0"/>
        <v>14.34</v>
      </c>
      <c r="AK3" s="7">
        <f t="shared" si="0"/>
        <v>14.34</v>
      </c>
      <c r="AL3" s="7">
        <f t="shared" si="0"/>
        <v>14.34</v>
      </c>
      <c r="AM3" s="7">
        <f t="shared" si="0"/>
        <v>14.34</v>
      </c>
      <c r="AN3" s="7">
        <f t="shared" si="0"/>
        <v>14.34</v>
      </c>
      <c r="AO3" s="7">
        <f t="shared" si="0"/>
        <v>14.34</v>
      </c>
    </row>
    <row r="4" spans="1:41" ht="14.25" customHeight="1" x14ac:dyDescent="0.3">
      <c r="A4" s="6" t="s">
        <v>43</v>
      </c>
      <c r="B4" s="7">
        <f t="shared" ref="B4:AO4" si="1">32.76+2.5</f>
        <v>35.26</v>
      </c>
      <c r="C4" s="7">
        <f t="shared" si="1"/>
        <v>35.26</v>
      </c>
      <c r="D4" s="7">
        <f t="shared" si="1"/>
        <v>35.26</v>
      </c>
      <c r="E4" s="7">
        <f t="shared" si="1"/>
        <v>35.26</v>
      </c>
      <c r="F4" s="7">
        <f t="shared" si="1"/>
        <v>35.26</v>
      </c>
      <c r="G4" s="7">
        <f t="shared" si="1"/>
        <v>35.26</v>
      </c>
      <c r="H4" s="7">
        <f t="shared" si="1"/>
        <v>35.26</v>
      </c>
      <c r="I4" s="7">
        <f t="shared" si="1"/>
        <v>35.26</v>
      </c>
      <c r="J4" s="7">
        <f t="shared" si="1"/>
        <v>35.26</v>
      </c>
      <c r="K4" s="7">
        <f t="shared" si="1"/>
        <v>35.26</v>
      </c>
      <c r="L4" s="7">
        <f t="shared" si="1"/>
        <v>35.26</v>
      </c>
      <c r="M4" s="7">
        <f t="shared" si="1"/>
        <v>35.26</v>
      </c>
      <c r="N4" s="7">
        <f t="shared" si="1"/>
        <v>35.26</v>
      </c>
      <c r="O4" s="7">
        <f t="shared" si="1"/>
        <v>35.26</v>
      </c>
      <c r="P4" s="7">
        <f t="shared" si="1"/>
        <v>35.26</v>
      </c>
      <c r="Q4" s="7">
        <f t="shared" si="1"/>
        <v>35.26</v>
      </c>
      <c r="R4" s="7">
        <f t="shared" si="1"/>
        <v>35.26</v>
      </c>
      <c r="S4" s="7">
        <f t="shared" si="1"/>
        <v>35.26</v>
      </c>
      <c r="T4" s="7">
        <f t="shared" si="1"/>
        <v>35.26</v>
      </c>
      <c r="U4" s="7">
        <f t="shared" si="1"/>
        <v>35.26</v>
      </c>
      <c r="V4" s="7">
        <f t="shared" si="1"/>
        <v>35.26</v>
      </c>
      <c r="W4" s="7">
        <f t="shared" si="1"/>
        <v>35.26</v>
      </c>
      <c r="X4" s="7">
        <f t="shared" si="1"/>
        <v>35.26</v>
      </c>
      <c r="Y4" s="7">
        <f t="shared" si="1"/>
        <v>35.26</v>
      </c>
      <c r="Z4" s="8">
        <f t="shared" si="1"/>
        <v>35.26</v>
      </c>
      <c r="AA4" s="8">
        <f t="shared" si="1"/>
        <v>35.26</v>
      </c>
      <c r="AB4" s="8">
        <f t="shared" si="1"/>
        <v>35.26</v>
      </c>
      <c r="AC4" s="8">
        <f t="shared" si="1"/>
        <v>35.26</v>
      </c>
      <c r="AD4" s="8">
        <f t="shared" si="1"/>
        <v>35.26</v>
      </c>
      <c r="AE4" s="7">
        <f t="shared" si="1"/>
        <v>35.26</v>
      </c>
      <c r="AF4" s="7">
        <f t="shared" si="1"/>
        <v>35.26</v>
      </c>
      <c r="AG4" s="7">
        <f t="shared" si="1"/>
        <v>35.26</v>
      </c>
      <c r="AH4" s="7">
        <f t="shared" si="1"/>
        <v>35.26</v>
      </c>
      <c r="AI4" s="7">
        <f t="shared" si="1"/>
        <v>35.26</v>
      </c>
      <c r="AJ4" s="8">
        <f t="shared" si="1"/>
        <v>35.26</v>
      </c>
      <c r="AK4" s="7">
        <f t="shared" si="1"/>
        <v>35.26</v>
      </c>
      <c r="AL4" s="7">
        <f t="shared" si="1"/>
        <v>35.26</v>
      </c>
      <c r="AM4" s="7">
        <f t="shared" si="1"/>
        <v>35.26</v>
      </c>
      <c r="AN4" s="7">
        <f t="shared" si="1"/>
        <v>35.26</v>
      </c>
      <c r="AO4" s="7">
        <f t="shared" si="1"/>
        <v>35.26</v>
      </c>
    </row>
    <row r="5" spans="1:41" ht="14.25" customHeight="1" x14ac:dyDescent="0.3">
      <c r="A5" s="6" t="s">
        <v>44</v>
      </c>
      <c r="B5" s="7"/>
      <c r="C5" s="7">
        <v>20.99</v>
      </c>
      <c r="D5" s="7"/>
      <c r="E5" s="7">
        <v>20.99</v>
      </c>
      <c r="F5" s="7"/>
      <c r="G5" s="7">
        <v>20.99</v>
      </c>
      <c r="H5" s="7"/>
      <c r="I5" s="7">
        <v>20.99</v>
      </c>
      <c r="J5" s="7"/>
      <c r="K5" s="7">
        <v>20.99</v>
      </c>
      <c r="L5" s="7"/>
      <c r="M5" s="7">
        <v>20.99</v>
      </c>
      <c r="N5" s="7"/>
      <c r="O5" s="7">
        <v>20.99</v>
      </c>
      <c r="P5" s="7"/>
      <c r="Q5" s="7">
        <v>20.99</v>
      </c>
      <c r="R5" s="7"/>
      <c r="S5" s="7">
        <v>20.99</v>
      </c>
      <c r="T5" s="7"/>
      <c r="U5" s="7">
        <v>20.99</v>
      </c>
      <c r="V5" s="7"/>
      <c r="W5" s="7">
        <v>20.99</v>
      </c>
      <c r="X5" s="7"/>
      <c r="Y5" s="7">
        <v>20.99</v>
      </c>
      <c r="Z5" s="8"/>
      <c r="AA5" s="8">
        <v>20.99</v>
      </c>
      <c r="AB5" s="8"/>
      <c r="AC5" s="8">
        <v>20.99</v>
      </c>
      <c r="AD5" s="8"/>
      <c r="AE5" s="7">
        <v>20.99</v>
      </c>
      <c r="AF5" s="7"/>
      <c r="AG5" s="7">
        <v>20.99</v>
      </c>
      <c r="AH5" s="7"/>
      <c r="AI5" s="7">
        <v>20.99</v>
      </c>
      <c r="AJ5" s="8"/>
      <c r="AK5" s="7">
        <v>20.99</v>
      </c>
      <c r="AL5" s="7"/>
      <c r="AM5" s="7">
        <v>20.99</v>
      </c>
      <c r="AN5" s="7"/>
      <c r="AO5" s="7">
        <v>20.99</v>
      </c>
    </row>
    <row r="6" spans="1:41" ht="14.25" customHeight="1" x14ac:dyDescent="0.3">
      <c r="A6" s="6" t="s">
        <v>45</v>
      </c>
      <c r="B6" s="7"/>
      <c r="C6" s="7">
        <v>76.09</v>
      </c>
      <c r="D6" s="7"/>
      <c r="E6" s="7">
        <v>76.09</v>
      </c>
      <c r="F6" s="7"/>
      <c r="G6" s="7">
        <v>76.09</v>
      </c>
      <c r="H6" s="7"/>
      <c r="I6" s="7">
        <v>76.09</v>
      </c>
      <c r="J6" s="7"/>
      <c r="K6" s="7">
        <v>76.09</v>
      </c>
      <c r="L6" s="7"/>
      <c r="M6" s="7">
        <v>76.09</v>
      </c>
      <c r="N6" s="7"/>
      <c r="O6" s="7">
        <v>76.09</v>
      </c>
      <c r="P6" s="7"/>
      <c r="Q6" s="7">
        <v>76.09</v>
      </c>
      <c r="R6" s="7"/>
      <c r="S6" s="7">
        <v>76.09</v>
      </c>
      <c r="T6" s="7"/>
      <c r="U6" s="7">
        <v>76.09</v>
      </c>
      <c r="V6" s="7"/>
      <c r="W6" s="7">
        <v>76.09</v>
      </c>
      <c r="X6" s="7"/>
      <c r="Y6" s="7">
        <v>76.09</v>
      </c>
      <c r="Z6" s="8"/>
      <c r="AA6" s="8">
        <v>76.09</v>
      </c>
      <c r="AB6" s="8"/>
      <c r="AC6" s="8">
        <v>76.09</v>
      </c>
      <c r="AD6" s="8"/>
      <c r="AE6" s="7">
        <v>76.09</v>
      </c>
      <c r="AF6" s="7"/>
      <c r="AG6" s="7">
        <v>76.09</v>
      </c>
      <c r="AH6" s="7"/>
      <c r="AI6" s="7">
        <v>76.09</v>
      </c>
      <c r="AJ6" s="8"/>
      <c r="AK6" s="7">
        <v>76.09</v>
      </c>
      <c r="AL6" s="7"/>
      <c r="AM6" s="7">
        <v>76.09</v>
      </c>
      <c r="AN6" s="7"/>
      <c r="AO6" s="7">
        <v>76.09</v>
      </c>
    </row>
    <row r="7" spans="1:41" ht="14.25" customHeight="1" x14ac:dyDescent="0.3">
      <c r="A7" s="6" t="s">
        <v>46</v>
      </c>
      <c r="B7" s="7"/>
      <c r="C7" s="7"/>
      <c r="D7" s="7"/>
      <c r="E7" s="7">
        <v>55.85</v>
      </c>
      <c r="F7" s="7"/>
      <c r="G7" s="7"/>
      <c r="H7" s="7"/>
      <c r="I7" s="7">
        <v>55.85</v>
      </c>
      <c r="J7" s="7"/>
      <c r="K7" s="7"/>
      <c r="L7" s="7"/>
      <c r="M7" s="7">
        <v>55.85</v>
      </c>
      <c r="N7" s="7"/>
      <c r="O7" s="7"/>
      <c r="P7" s="7"/>
      <c r="Q7" s="7">
        <v>55.85</v>
      </c>
      <c r="R7" s="7"/>
      <c r="S7" s="7"/>
      <c r="T7" s="7"/>
      <c r="U7" s="7">
        <v>55.85</v>
      </c>
      <c r="V7" s="7"/>
      <c r="W7" s="7"/>
      <c r="X7" s="7"/>
      <c r="Y7" s="7">
        <v>55.85</v>
      </c>
      <c r="Z7" s="8"/>
      <c r="AA7" s="8"/>
      <c r="AB7" s="8"/>
      <c r="AC7" s="8">
        <v>55.85</v>
      </c>
      <c r="AD7" s="8"/>
      <c r="AE7" s="7"/>
      <c r="AF7" s="7"/>
      <c r="AG7" s="7">
        <v>55.85</v>
      </c>
      <c r="AH7" s="7"/>
      <c r="AI7" s="7"/>
      <c r="AJ7" s="8"/>
      <c r="AK7" s="7">
        <v>55.85</v>
      </c>
      <c r="AL7" s="7"/>
      <c r="AM7" s="7"/>
      <c r="AN7" s="7"/>
      <c r="AO7" s="7">
        <v>55.85</v>
      </c>
    </row>
    <row r="8" spans="1:41" ht="14.25" customHeight="1" x14ac:dyDescent="0.3">
      <c r="A8" s="6" t="s">
        <v>47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>
        <v>79.87</v>
      </c>
      <c r="R8" s="7"/>
      <c r="S8" s="7"/>
      <c r="T8" s="7"/>
      <c r="U8" s="7"/>
      <c r="V8" s="7"/>
      <c r="W8" s="7"/>
      <c r="X8" s="7"/>
      <c r="Y8" s="7"/>
      <c r="Z8" s="8"/>
      <c r="AA8" s="8"/>
      <c r="AB8" s="8"/>
      <c r="AC8" s="8"/>
      <c r="AD8" s="8"/>
      <c r="AE8" s="7"/>
      <c r="AF8" s="7"/>
      <c r="AG8" s="7"/>
      <c r="AH8" s="7"/>
      <c r="AI8" s="7"/>
      <c r="AJ8" s="8"/>
      <c r="AK8" s="7">
        <v>79.87</v>
      </c>
      <c r="AL8" s="7"/>
      <c r="AM8" s="7"/>
      <c r="AN8" s="7"/>
      <c r="AO8" s="7"/>
    </row>
    <row r="9" spans="1:41" ht="14.25" customHeight="1" x14ac:dyDescent="0.3">
      <c r="A9" s="6" t="s">
        <v>48</v>
      </c>
      <c r="B9" s="7"/>
      <c r="C9" s="7">
        <v>21.25</v>
      </c>
      <c r="D9" s="7"/>
      <c r="E9" s="7">
        <v>21.25</v>
      </c>
      <c r="F9" s="7"/>
      <c r="G9" s="7">
        <v>21.25</v>
      </c>
      <c r="H9" s="7"/>
      <c r="I9" s="7">
        <v>21.25</v>
      </c>
      <c r="J9" s="7"/>
      <c r="K9" s="7">
        <v>21.25</v>
      </c>
      <c r="L9" s="7"/>
      <c r="M9" s="7">
        <v>21.25</v>
      </c>
      <c r="N9" s="7"/>
      <c r="O9" s="7">
        <v>21.25</v>
      </c>
      <c r="P9" s="7"/>
      <c r="Q9" s="7">
        <v>21.25</v>
      </c>
      <c r="R9" s="7"/>
      <c r="S9" s="7">
        <v>21.25</v>
      </c>
      <c r="T9" s="7"/>
      <c r="U9" s="7">
        <v>21.25</v>
      </c>
      <c r="V9" s="7"/>
      <c r="W9" s="7">
        <v>21.25</v>
      </c>
      <c r="X9" s="7"/>
      <c r="Y9" s="7">
        <v>21.25</v>
      </c>
      <c r="Z9" s="8"/>
      <c r="AA9" s="8">
        <v>21.25</v>
      </c>
      <c r="AB9" s="8"/>
      <c r="AC9" s="8">
        <v>21.25</v>
      </c>
      <c r="AD9" s="8"/>
      <c r="AE9" s="7">
        <v>21.25</v>
      </c>
      <c r="AF9" s="7"/>
      <c r="AG9" s="7">
        <v>21.25</v>
      </c>
      <c r="AH9" s="7"/>
      <c r="AI9" s="7">
        <v>21.25</v>
      </c>
      <c r="AJ9" s="8"/>
      <c r="AK9" s="7">
        <v>21.25</v>
      </c>
      <c r="AL9" s="7"/>
      <c r="AM9" s="7">
        <v>21.25</v>
      </c>
      <c r="AN9" s="7"/>
      <c r="AO9" s="7">
        <v>21.25</v>
      </c>
    </row>
    <row r="10" spans="1:41" ht="14.25" customHeight="1" x14ac:dyDescent="0.3">
      <c r="A10" s="6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>
        <v>12.71</v>
      </c>
      <c r="L10" s="7"/>
      <c r="M10" s="7"/>
      <c r="N10" s="7"/>
      <c r="O10" s="7"/>
      <c r="P10" s="7"/>
      <c r="Q10" s="7"/>
      <c r="R10" s="7"/>
      <c r="S10" s="7"/>
      <c r="T10" s="7"/>
      <c r="U10" s="7">
        <v>12.71</v>
      </c>
      <c r="V10" s="7"/>
      <c r="W10" s="7"/>
      <c r="X10" s="7"/>
      <c r="Y10" s="7"/>
      <c r="Z10" s="8"/>
      <c r="AA10" s="8"/>
      <c r="AB10" s="8"/>
      <c r="AC10" s="8"/>
      <c r="AD10" s="8"/>
      <c r="AE10" s="7">
        <v>12.71</v>
      </c>
      <c r="AF10" s="7"/>
      <c r="AG10" s="7"/>
      <c r="AH10" s="7"/>
      <c r="AI10" s="7"/>
      <c r="AJ10" s="8"/>
      <c r="AK10" s="7"/>
      <c r="AL10" s="7"/>
      <c r="AM10" s="7"/>
      <c r="AN10" s="7"/>
      <c r="AO10" s="7">
        <v>12.71</v>
      </c>
    </row>
    <row r="11" spans="1:41" ht="14.25" customHeight="1" x14ac:dyDescent="0.3">
      <c r="A11" s="6" t="s">
        <v>50</v>
      </c>
      <c r="B11" s="7"/>
      <c r="C11" s="7"/>
      <c r="D11" s="7"/>
      <c r="E11" s="7"/>
      <c r="F11" s="7"/>
      <c r="G11" s="7"/>
      <c r="H11" s="7"/>
      <c r="I11" s="7"/>
      <c r="J11" s="7"/>
      <c r="K11" s="7">
        <v>11</v>
      </c>
      <c r="L11" s="7"/>
      <c r="M11" s="7"/>
      <c r="N11" s="7"/>
      <c r="O11" s="7"/>
      <c r="P11" s="7"/>
      <c r="Q11" s="7"/>
      <c r="R11" s="7"/>
      <c r="S11" s="7"/>
      <c r="T11" s="7"/>
      <c r="U11" s="7">
        <v>11</v>
      </c>
      <c r="V11" s="7"/>
      <c r="W11" s="7"/>
      <c r="X11" s="7"/>
      <c r="Y11" s="7"/>
      <c r="Z11" s="8"/>
      <c r="AA11" s="8"/>
      <c r="AB11" s="8"/>
      <c r="AC11" s="8"/>
      <c r="AD11" s="8"/>
      <c r="AE11" s="7">
        <v>11</v>
      </c>
      <c r="AF11" s="7"/>
      <c r="AG11" s="7"/>
      <c r="AH11" s="7"/>
      <c r="AI11" s="7"/>
      <c r="AJ11" s="8"/>
      <c r="AK11" s="7"/>
      <c r="AL11" s="7"/>
      <c r="AM11" s="7"/>
      <c r="AN11" s="7"/>
      <c r="AO11" s="7">
        <v>11</v>
      </c>
    </row>
    <row r="12" spans="1:41" ht="14.25" customHeight="1" x14ac:dyDescent="0.3">
      <c r="A12" s="6" t="s">
        <v>51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125.9</v>
      </c>
      <c r="V12" s="7"/>
      <c r="W12" s="7"/>
      <c r="X12" s="7"/>
      <c r="Y12" s="7"/>
      <c r="Z12" s="8"/>
      <c r="AA12" s="8"/>
      <c r="AB12" s="8"/>
      <c r="AC12" s="8"/>
      <c r="AD12" s="8"/>
      <c r="AE12" s="7"/>
      <c r="AF12" s="7"/>
      <c r="AG12" s="7"/>
      <c r="AH12" s="7"/>
      <c r="AI12" s="7"/>
      <c r="AJ12" s="8"/>
      <c r="AK12" s="7"/>
      <c r="AL12" s="7"/>
      <c r="AM12" s="7"/>
      <c r="AN12" s="7"/>
      <c r="AO12" s="7">
        <v>125.9</v>
      </c>
    </row>
    <row r="13" spans="1:41" ht="14.25" customHeight="1" x14ac:dyDescent="0.3">
      <c r="A13" s="6" t="s">
        <v>52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>
        <v>38</v>
      </c>
      <c r="V13" s="7"/>
      <c r="W13" s="7"/>
      <c r="X13" s="7"/>
      <c r="Y13" s="7"/>
      <c r="Z13" s="8"/>
      <c r="AA13" s="8"/>
      <c r="AB13" s="8"/>
      <c r="AC13" s="8"/>
      <c r="AD13" s="8"/>
      <c r="AE13" s="7"/>
      <c r="AF13" s="7"/>
      <c r="AG13" s="7"/>
      <c r="AH13" s="7"/>
      <c r="AI13" s="7"/>
      <c r="AJ13" s="8"/>
      <c r="AK13" s="7"/>
      <c r="AL13" s="7"/>
      <c r="AM13" s="7"/>
      <c r="AN13" s="7"/>
      <c r="AO13" s="7">
        <v>38</v>
      </c>
    </row>
    <row r="14" spans="1:41" ht="14.25" customHeight="1" x14ac:dyDescent="0.3">
      <c r="A14" s="6" t="s">
        <v>53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>
        <v>88.84</v>
      </c>
      <c r="V14" s="7"/>
      <c r="W14" s="7"/>
      <c r="X14" s="7"/>
      <c r="Y14" s="7"/>
      <c r="Z14" s="8"/>
      <c r="AA14" s="8"/>
      <c r="AB14" s="8"/>
      <c r="AC14" s="8"/>
      <c r="AD14" s="8"/>
      <c r="AE14" s="7"/>
      <c r="AF14" s="7"/>
      <c r="AG14" s="7"/>
      <c r="AH14" s="7"/>
      <c r="AI14" s="7"/>
      <c r="AJ14" s="8"/>
      <c r="AK14" s="7"/>
      <c r="AL14" s="7"/>
      <c r="AM14" s="7"/>
      <c r="AN14" s="7"/>
      <c r="AO14" s="7">
        <v>88.84</v>
      </c>
    </row>
    <row r="15" spans="1:41" ht="14.25" customHeight="1" x14ac:dyDescent="0.3">
      <c r="A15" s="6" t="s">
        <v>54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>
        <v>71.41</v>
      </c>
      <c r="V15" s="7"/>
      <c r="W15" s="7"/>
      <c r="X15" s="7"/>
      <c r="Y15" s="7"/>
      <c r="Z15" s="8"/>
      <c r="AA15" s="8"/>
      <c r="AB15" s="8"/>
      <c r="AC15" s="8"/>
      <c r="AD15" s="8"/>
      <c r="AE15" s="7"/>
      <c r="AF15" s="7"/>
      <c r="AG15" s="7"/>
      <c r="AH15" s="7"/>
      <c r="AI15" s="7"/>
      <c r="AJ15" s="8"/>
      <c r="AK15" s="7"/>
      <c r="AL15" s="7"/>
      <c r="AM15" s="7"/>
      <c r="AN15" s="7"/>
      <c r="AO15" s="7">
        <v>71.41</v>
      </c>
    </row>
    <row r="16" spans="1:41" ht="14.25" customHeight="1" x14ac:dyDescent="0.3">
      <c r="A16" s="6" t="s">
        <v>55</v>
      </c>
      <c r="B16" s="7">
        <v>7.5</v>
      </c>
      <c r="C16" s="7">
        <v>7.5</v>
      </c>
      <c r="D16" s="7">
        <v>7.5</v>
      </c>
      <c r="E16" s="7">
        <v>7.5</v>
      </c>
      <c r="F16" s="7">
        <v>7.5</v>
      </c>
      <c r="G16" s="7">
        <v>7.5</v>
      </c>
      <c r="H16" s="7">
        <v>7.5</v>
      </c>
      <c r="I16" s="7">
        <v>7.5</v>
      </c>
      <c r="J16" s="7">
        <v>7.5</v>
      </c>
      <c r="K16" s="7">
        <v>7.5</v>
      </c>
      <c r="L16" s="7">
        <v>7.5</v>
      </c>
      <c r="M16" s="7">
        <v>7.5</v>
      </c>
      <c r="N16" s="7">
        <v>7.5</v>
      </c>
      <c r="O16" s="7">
        <v>7.5</v>
      </c>
      <c r="P16" s="7">
        <v>7.5</v>
      </c>
      <c r="Q16" s="7">
        <v>7.5</v>
      </c>
      <c r="R16" s="7">
        <v>7.5</v>
      </c>
      <c r="S16" s="7">
        <v>7.5</v>
      </c>
      <c r="T16" s="7">
        <v>7.5</v>
      </c>
      <c r="U16" s="7">
        <v>7.5</v>
      </c>
      <c r="V16" s="7">
        <v>7.5</v>
      </c>
      <c r="W16" s="7">
        <v>7.5</v>
      </c>
      <c r="X16" s="7">
        <v>7.5</v>
      </c>
      <c r="Y16" s="7">
        <v>7.5</v>
      </c>
      <c r="Z16" s="8">
        <v>7.5</v>
      </c>
      <c r="AA16" s="8">
        <v>7.5</v>
      </c>
      <c r="AB16" s="8">
        <v>7.5</v>
      </c>
      <c r="AC16" s="8">
        <v>7.5</v>
      </c>
      <c r="AD16" s="8">
        <v>7.5</v>
      </c>
      <c r="AE16" s="7">
        <v>7.5</v>
      </c>
      <c r="AF16" s="7">
        <v>7.5</v>
      </c>
      <c r="AG16" s="7">
        <v>7.5</v>
      </c>
      <c r="AH16" s="7">
        <v>7.5</v>
      </c>
      <c r="AI16" s="7">
        <v>7.5</v>
      </c>
      <c r="AJ16" s="8">
        <v>7.5</v>
      </c>
      <c r="AK16" s="7">
        <v>7.5</v>
      </c>
      <c r="AL16" s="7">
        <v>7.5</v>
      </c>
      <c r="AM16" s="7">
        <v>7.5</v>
      </c>
      <c r="AN16" s="7">
        <v>7.5</v>
      </c>
      <c r="AO16" s="7">
        <v>7.5</v>
      </c>
    </row>
    <row r="17" spans="1:41" ht="14.25" customHeight="1" x14ac:dyDescent="0.3">
      <c r="A17" s="9" t="s">
        <v>56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>
        <v>25</v>
      </c>
      <c r="AA17" s="8"/>
      <c r="AB17" s="8"/>
      <c r="AC17" s="8"/>
      <c r="AD17" s="8"/>
      <c r="AE17" s="7"/>
      <c r="AF17" s="7"/>
      <c r="AG17" s="7"/>
      <c r="AH17" s="7"/>
      <c r="AI17" s="7"/>
      <c r="AJ17" s="8"/>
      <c r="AK17" s="7"/>
      <c r="AL17" s="7"/>
      <c r="AM17" s="7"/>
      <c r="AN17" s="7"/>
      <c r="AO17" s="7"/>
    </row>
    <row r="18" spans="1:41" ht="14.25" customHeight="1" x14ac:dyDescent="0.3">
      <c r="A18" s="6" t="s">
        <v>57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>
        <v>71</v>
      </c>
      <c r="AA18" s="8"/>
      <c r="AB18" s="8"/>
      <c r="AC18" s="8"/>
      <c r="AD18" s="8"/>
      <c r="AE18" s="7"/>
      <c r="AF18" s="7"/>
      <c r="AG18" s="7"/>
      <c r="AH18" s="7"/>
      <c r="AI18" s="7"/>
      <c r="AJ18" s="8"/>
      <c r="AK18" s="7"/>
      <c r="AL18" s="7"/>
      <c r="AM18" s="7"/>
      <c r="AN18" s="7"/>
      <c r="AO18" s="7"/>
    </row>
    <row r="19" spans="1:41" ht="14.25" customHeight="1" x14ac:dyDescent="0.3">
      <c r="A19" s="9" t="s">
        <v>58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>
        <v>18</v>
      </c>
      <c r="AA19" s="8"/>
      <c r="AB19" s="8"/>
      <c r="AC19" s="8"/>
      <c r="AD19" s="8"/>
      <c r="AE19" s="7"/>
      <c r="AF19" s="7"/>
      <c r="AG19" s="7"/>
      <c r="AH19" s="7"/>
      <c r="AI19" s="7"/>
      <c r="AJ19" s="8"/>
      <c r="AK19" s="7"/>
      <c r="AL19" s="7"/>
      <c r="AM19" s="7"/>
      <c r="AN19" s="7"/>
      <c r="AO19" s="7"/>
    </row>
    <row r="20" spans="1:41" ht="14.25" customHeight="1" x14ac:dyDescent="0.3">
      <c r="A20" s="9" t="s">
        <v>59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>
        <v>18</v>
      </c>
      <c r="AA20" s="8"/>
      <c r="AB20" s="8"/>
      <c r="AC20" s="8"/>
      <c r="AD20" s="8"/>
      <c r="AE20" s="7"/>
      <c r="AF20" s="7"/>
      <c r="AG20" s="7"/>
      <c r="AH20" s="7"/>
      <c r="AI20" s="7"/>
      <c r="AJ20" s="8"/>
      <c r="AK20" s="7"/>
      <c r="AL20" s="7"/>
      <c r="AM20" s="7"/>
      <c r="AN20" s="7"/>
      <c r="AO20" s="7"/>
    </row>
    <row r="21" spans="1:41" ht="14.25" customHeight="1" x14ac:dyDescent="0.3">
      <c r="A21" s="6" t="s">
        <v>60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>
        <v>237.77</v>
      </c>
      <c r="AA21" s="8"/>
      <c r="AB21" s="8"/>
      <c r="AC21" s="8"/>
      <c r="AD21" s="8"/>
      <c r="AE21" s="7"/>
      <c r="AF21" s="7"/>
      <c r="AG21" s="7"/>
      <c r="AH21" s="7"/>
      <c r="AI21" s="7"/>
      <c r="AJ21" s="8"/>
      <c r="AK21" s="7"/>
      <c r="AL21" s="7"/>
      <c r="AM21" s="7"/>
      <c r="AN21" s="7"/>
      <c r="AO21" s="7"/>
    </row>
    <row r="22" spans="1:41" ht="14.25" customHeight="1" x14ac:dyDescent="0.3">
      <c r="A22" s="6" t="s">
        <v>61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>
        <v>5</v>
      </c>
      <c r="AA22" s="8"/>
      <c r="AB22" s="8"/>
      <c r="AC22" s="8"/>
      <c r="AD22" s="8"/>
      <c r="AE22" s="7"/>
      <c r="AF22" s="7"/>
      <c r="AG22" s="7"/>
      <c r="AH22" s="7"/>
      <c r="AI22" s="7"/>
      <c r="AJ22" s="8"/>
      <c r="AK22" s="7"/>
      <c r="AL22" s="7"/>
      <c r="AM22" s="7"/>
      <c r="AN22" s="7"/>
      <c r="AO22" s="7"/>
    </row>
    <row r="23" spans="1:41" ht="14.25" customHeight="1" x14ac:dyDescent="0.3">
      <c r="A23" s="9" t="s">
        <v>62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  <c r="AA23" s="8"/>
      <c r="AB23" s="8"/>
      <c r="AC23" s="8"/>
      <c r="AD23" s="8">
        <v>48.62</v>
      </c>
      <c r="AE23" s="7"/>
      <c r="AF23" s="7"/>
      <c r="AG23" s="7"/>
      <c r="AH23" s="7"/>
      <c r="AI23" s="7"/>
      <c r="AJ23" s="8"/>
      <c r="AK23" s="7"/>
      <c r="AL23" s="7"/>
      <c r="AM23" s="7"/>
      <c r="AN23" s="7"/>
      <c r="AO23" s="7"/>
    </row>
    <row r="24" spans="1:41" ht="14.25" customHeight="1" x14ac:dyDescent="0.3">
      <c r="A24" s="9" t="s">
        <v>63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  <c r="AA24" s="8"/>
      <c r="AB24" s="8"/>
      <c r="AC24" s="8"/>
      <c r="AD24" s="8">
        <v>6.95</v>
      </c>
      <c r="AE24" s="7"/>
      <c r="AF24" s="7"/>
      <c r="AG24" s="7"/>
      <c r="AH24" s="7"/>
      <c r="AI24" s="7"/>
      <c r="AJ24" s="8"/>
      <c r="AK24" s="7"/>
      <c r="AL24" s="7"/>
      <c r="AM24" s="7"/>
      <c r="AN24" s="7"/>
      <c r="AO24" s="7"/>
    </row>
    <row r="25" spans="1:41" ht="14.25" customHeight="1" x14ac:dyDescent="0.3">
      <c r="A25" s="9" t="s">
        <v>64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  <c r="AA25" s="8"/>
      <c r="AB25" s="8"/>
      <c r="AC25" s="8"/>
      <c r="AD25" s="8">
        <v>9.65</v>
      </c>
      <c r="AE25" s="7"/>
      <c r="AF25" s="7"/>
      <c r="AG25" s="7"/>
      <c r="AH25" s="7"/>
      <c r="AI25" s="7"/>
      <c r="AJ25" s="8"/>
      <c r="AK25" s="7"/>
      <c r="AL25" s="7"/>
      <c r="AM25" s="7"/>
      <c r="AN25" s="7"/>
      <c r="AO25" s="7"/>
    </row>
    <row r="26" spans="1:41" ht="14.25" customHeight="1" x14ac:dyDescent="0.3">
      <c r="A26" s="9" t="s">
        <v>65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  <c r="AA26" s="8"/>
      <c r="AB26" s="8"/>
      <c r="AC26" s="8"/>
      <c r="AD26" s="8">
        <v>13.37</v>
      </c>
      <c r="AE26" s="7"/>
      <c r="AF26" s="7"/>
      <c r="AG26" s="7"/>
      <c r="AH26" s="7"/>
      <c r="AI26" s="7"/>
      <c r="AJ26" s="8"/>
      <c r="AK26" s="7"/>
      <c r="AL26" s="7"/>
      <c r="AM26" s="7"/>
      <c r="AN26" s="7"/>
      <c r="AO26" s="7"/>
    </row>
    <row r="27" spans="1:41" ht="14.25" customHeight="1" x14ac:dyDescent="0.3">
      <c r="A27" s="9" t="s">
        <v>66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  <c r="AA27" s="8"/>
      <c r="AB27" s="8"/>
      <c r="AC27" s="8"/>
      <c r="AD27" s="8">
        <v>53.36</v>
      </c>
      <c r="AE27" s="7"/>
      <c r="AF27" s="7"/>
      <c r="AG27" s="7"/>
      <c r="AH27" s="7"/>
      <c r="AI27" s="7"/>
      <c r="AJ27" s="8"/>
      <c r="AK27" s="7"/>
      <c r="AL27" s="7"/>
      <c r="AM27" s="7"/>
      <c r="AN27" s="7"/>
      <c r="AO27" s="7"/>
    </row>
    <row r="28" spans="1:41" ht="14.25" customHeight="1" x14ac:dyDescent="0.3">
      <c r="A28" s="9" t="s">
        <v>67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  <c r="AA28" s="8"/>
      <c r="AB28" s="8"/>
      <c r="AC28" s="8"/>
      <c r="AD28" s="8">
        <v>11.39</v>
      </c>
      <c r="AE28" s="7"/>
      <c r="AF28" s="7"/>
      <c r="AG28" s="7"/>
      <c r="AH28" s="7"/>
      <c r="AI28" s="7"/>
      <c r="AJ28" s="8"/>
      <c r="AK28" s="7"/>
      <c r="AL28" s="7"/>
      <c r="AM28" s="7"/>
      <c r="AN28" s="7"/>
      <c r="AO28" s="7"/>
    </row>
    <row r="29" spans="1:41" ht="14.25" customHeight="1" x14ac:dyDescent="0.3">
      <c r="A29" s="9" t="s">
        <v>68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  <c r="AA29" s="8"/>
      <c r="AB29" s="8"/>
      <c r="AC29" s="8"/>
      <c r="AD29" s="8">
        <v>8.9</v>
      </c>
      <c r="AE29" s="7"/>
      <c r="AF29" s="7"/>
      <c r="AG29" s="7"/>
      <c r="AH29" s="7"/>
      <c r="AI29" s="7"/>
      <c r="AJ29" s="8"/>
      <c r="AK29" s="7"/>
      <c r="AL29" s="7"/>
      <c r="AM29" s="7"/>
      <c r="AN29" s="7"/>
      <c r="AO29" s="7"/>
    </row>
    <row r="30" spans="1:41" ht="14.25" customHeight="1" x14ac:dyDescent="0.3">
      <c r="A30" s="9" t="s">
        <v>69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  <c r="AA30" s="8"/>
      <c r="AB30" s="8"/>
      <c r="AC30" s="8"/>
      <c r="AD30" s="8">
        <v>6.68</v>
      </c>
      <c r="AE30" s="7"/>
      <c r="AF30" s="7"/>
      <c r="AG30" s="7"/>
      <c r="AH30" s="7"/>
      <c r="AI30" s="7"/>
      <c r="AJ30" s="8"/>
      <c r="AK30" s="7"/>
      <c r="AL30" s="7"/>
      <c r="AM30" s="7"/>
      <c r="AN30" s="7"/>
      <c r="AO30" s="7"/>
    </row>
    <row r="31" spans="1:41" ht="14.25" customHeight="1" x14ac:dyDescent="0.3">
      <c r="A31" s="9" t="s">
        <v>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  <c r="AA31" s="8"/>
      <c r="AB31" s="8"/>
      <c r="AC31" s="8"/>
      <c r="AD31" s="8">
        <v>32.61</v>
      </c>
      <c r="AE31" s="7"/>
      <c r="AF31" s="7"/>
      <c r="AG31" s="7"/>
      <c r="AH31" s="7"/>
      <c r="AI31" s="7"/>
      <c r="AJ31" s="8"/>
      <c r="AK31" s="7"/>
      <c r="AL31" s="7"/>
      <c r="AM31" s="7"/>
      <c r="AN31" s="7"/>
      <c r="AO31" s="7"/>
    </row>
    <row r="32" spans="1:41" ht="14.25" customHeight="1" x14ac:dyDescent="0.3">
      <c r="A32" s="9" t="s">
        <v>70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  <c r="AA32" s="8"/>
      <c r="AB32" s="8"/>
      <c r="AC32" s="8"/>
      <c r="AD32" s="8">
        <v>28.28</v>
      </c>
      <c r="AE32" s="7"/>
      <c r="AF32" s="7"/>
      <c r="AG32" s="7"/>
      <c r="AH32" s="7"/>
      <c r="AI32" s="7"/>
      <c r="AJ32" s="8"/>
      <c r="AK32" s="7"/>
      <c r="AL32" s="7"/>
      <c r="AM32" s="7"/>
      <c r="AN32" s="7"/>
      <c r="AO32" s="7"/>
    </row>
    <row r="33" spans="1:41" ht="14.25" customHeight="1" x14ac:dyDescent="0.3">
      <c r="A33" s="9" t="s">
        <v>71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  <c r="AA33" s="8"/>
      <c r="AB33" s="8"/>
      <c r="AC33" s="8"/>
      <c r="AD33" s="8">
        <v>34.9</v>
      </c>
      <c r="AE33" s="7"/>
      <c r="AF33" s="7"/>
      <c r="AG33" s="7"/>
      <c r="AH33" s="7"/>
      <c r="AI33" s="7"/>
      <c r="AJ33" s="8"/>
      <c r="AK33" s="7"/>
      <c r="AL33" s="7"/>
      <c r="AM33" s="7"/>
      <c r="AN33" s="7"/>
      <c r="AO33" s="7"/>
    </row>
    <row r="34" spans="1:41" ht="14.25" customHeight="1" x14ac:dyDescent="0.3">
      <c r="A34" s="9" t="s">
        <v>71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  <c r="AA34" s="8"/>
      <c r="AB34" s="8"/>
      <c r="AC34" s="8"/>
      <c r="AD34" s="8">
        <v>34.9</v>
      </c>
      <c r="AE34" s="7"/>
      <c r="AF34" s="7"/>
      <c r="AG34" s="7"/>
      <c r="AH34" s="7"/>
      <c r="AI34" s="7"/>
      <c r="AJ34" s="8"/>
      <c r="AK34" s="7"/>
      <c r="AL34" s="7"/>
      <c r="AM34" s="7"/>
      <c r="AN34" s="7"/>
      <c r="AO34" s="7"/>
    </row>
    <row r="35" spans="1:41" ht="14.25" customHeight="1" x14ac:dyDescent="0.3">
      <c r="A35" s="9" t="s">
        <v>72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  <c r="AA35" s="8"/>
      <c r="AB35" s="8"/>
      <c r="AC35" s="8"/>
      <c r="AD35" s="8">
        <v>32.049999999999997</v>
      </c>
      <c r="AE35" s="7"/>
      <c r="AF35" s="7"/>
      <c r="AG35" s="7"/>
      <c r="AH35" s="7"/>
      <c r="AI35" s="7"/>
      <c r="AJ35" s="8"/>
      <c r="AK35" s="7"/>
      <c r="AL35" s="7"/>
      <c r="AM35" s="7"/>
      <c r="AN35" s="7"/>
      <c r="AO35" s="7"/>
    </row>
    <row r="36" spans="1:41" ht="14.25" customHeight="1" x14ac:dyDescent="0.3">
      <c r="A36" s="9" t="s">
        <v>73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  <c r="AA36" s="8"/>
      <c r="AB36" s="8"/>
      <c r="AC36" s="8"/>
      <c r="AD36" s="8">
        <v>37.6</v>
      </c>
      <c r="AE36" s="7"/>
      <c r="AF36" s="7"/>
      <c r="AG36" s="7"/>
      <c r="AH36" s="7"/>
      <c r="AI36" s="7"/>
      <c r="AJ36" s="8"/>
      <c r="AK36" s="7"/>
      <c r="AL36" s="7"/>
      <c r="AM36" s="7"/>
      <c r="AN36" s="7"/>
      <c r="AO36" s="7"/>
    </row>
    <row r="37" spans="1:41" ht="14.25" customHeight="1" x14ac:dyDescent="0.3">
      <c r="A37" s="9" t="s">
        <v>74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  <c r="AA37" s="8"/>
      <c r="AB37" s="8"/>
      <c r="AC37" s="8"/>
      <c r="AD37" s="8">
        <v>148.5</v>
      </c>
      <c r="AE37" s="7"/>
      <c r="AF37" s="7"/>
      <c r="AG37" s="7"/>
      <c r="AH37" s="7"/>
      <c r="AI37" s="7"/>
      <c r="AJ37" s="8"/>
      <c r="AK37" s="7"/>
      <c r="AL37" s="7"/>
      <c r="AM37" s="7"/>
      <c r="AN37" s="7"/>
      <c r="AO37" s="7"/>
    </row>
    <row r="38" spans="1:41" ht="14.25" customHeight="1" x14ac:dyDescent="0.3">
      <c r="A38" s="9" t="s">
        <v>75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  <c r="AA38" s="8"/>
      <c r="AB38" s="8"/>
      <c r="AC38" s="8"/>
      <c r="AD38" s="8">
        <v>49.02</v>
      </c>
      <c r="AE38" s="7"/>
      <c r="AF38" s="7"/>
      <c r="AG38" s="7"/>
      <c r="AH38" s="7"/>
      <c r="AI38" s="7"/>
      <c r="AJ38" s="8"/>
      <c r="AK38" s="7"/>
      <c r="AL38" s="7"/>
      <c r="AM38" s="7"/>
      <c r="AN38" s="7"/>
      <c r="AO38" s="7"/>
    </row>
    <row r="39" spans="1:41" ht="14.25" customHeight="1" x14ac:dyDescent="0.3">
      <c r="A39" s="9" t="s">
        <v>76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  <c r="AA39" s="8"/>
      <c r="AB39" s="8"/>
      <c r="AC39" s="8"/>
      <c r="AD39" s="8">
        <v>47.41</v>
      </c>
      <c r="AE39" s="7"/>
      <c r="AF39" s="7"/>
      <c r="AG39" s="7"/>
      <c r="AH39" s="7"/>
      <c r="AI39" s="7"/>
      <c r="AJ39" s="8"/>
      <c r="AK39" s="7"/>
      <c r="AL39" s="7"/>
      <c r="AM39" s="7"/>
      <c r="AN39" s="7"/>
      <c r="AO39" s="7"/>
    </row>
    <row r="40" spans="1:41" ht="14.25" customHeight="1" x14ac:dyDescent="0.3">
      <c r="A40" s="9" t="s">
        <v>77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  <c r="AA40" s="8"/>
      <c r="AB40" s="8"/>
      <c r="AC40" s="8"/>
      <c r="AD40" s="8">
        <v>160.47999999999999</v>
      </c>
      <c r="AE40" s="7"/>
      <c r="AF40" s="7"/>
      <c r="AG40" s="7"/>
      <c r="AH40" s="7"/>
      <c r="AI40" s="7"/>
      <c r="AJ40" s="8"/>
      <c r="AK40" s="7"/>
      <c r="AL40" s="7"/>
      <c r="AM40" s="7"/>
      <c r="AN40" s="7"/>
      <c r="AO40" s="7"/>
    </row>
    <row r="41" spans="1:41" ht="14.25" customHeight="1" x14ac:dyDescent="0.3">
      <c r="A41" s="9" t="s">
        <v>78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  <c r="AA41" s="8"/>
      <c r="AB41" s="8"/>
      <c r="AC41" s="8"/>
      <c r="AD41" s="8">
        <v>350</v>
      </c>
      <c r="AE41" s="7"/>
      <c r="AF41" s="7"/>
      <c r="AG41" s="7"/>
      <c r="AH41" s="7"/>
      <c r="AI41" s="7"/>
      <c r="AJ41" s="8"/>
      <c r="AK41" s="7"/>
      <c r="AL41" s="7"/>
      <c r="AM41" s="7"/>
      <c r="AN41" s="7"/>
      <c r="AO41" s="7"/>
    </row>
    <row r="42" spans="1:41" ht="14.25" customHeight="1" x14ac:dyDescent="0.3">
      <c r="A42" s="10" t="s">
        <v>79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  <c r="AA42" s="8"/>
      <c r="AB42" s="8"/>
      <c r="AC42" s="8"/>
      <c r="AD42" s="8">
        <v>50</v>
      </c>
      <c r="AE42" s="7"/>
      <c r="AF42" s="7"/>
      <c r="AG42" s="7"/>
      <c r="AH42" s="7"/>
      <c r="AI42" s="7"/>
      <c r="AJ42" s="8"/>
      <c r="AK42" s="7"/>
      <c r="AL42" s="7"/>
      <c r="AM42" s="7"/>
      <c r="AN42" s="7"/>
      <c r="AO42" s="7"/>
    </row>
    <row r="43" spans="1:41" ht="14.25" customHeight="1" x14ac:dyDescent="0.3">
      <c r="A43" s="9" t="s">
        <v>80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  <c r="AA43" s="8"/>
      <c r="AB43" s="8"/>
      <c r="AC43" s="8"/>
      <c r="AD43" s="8">
        <v>10</v>
      </c>
      <c r="AE43" s="7"/>
      <c r="AF43" s="7"/>
      <c r="AG43" s="7"/>
      <c r="AH43" s="7"/>
      <c r="AI43" s="7"/>
      <c r="AJ43" s="8"/>
      <c r="AK43" s="7"/>
      <c r="AL43" s="7"/>
      <c r="AM43" s="7"/>
      <c r="AN43" s="7"/>
      <c r="AO43" s="7"/>
    </row>
    <row r="44" spans="1:41" ht="14.25" customHeight="1" x14ac:dyDescent="0.3">
      <c r="A44" s="9" t="s">
        <v>81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  <c r="AA44" s="8"/>
      <c r="AB44" s="8"/>
      <c r="AC44" s="8"/>
      <c r="AD44" s="8"/>
      <c r="AE44" s="7"/>
      <c r="AF44" s="7"/>
      <c r="AG44" s="7"/>
      <c r="AH44" s="7"/>
      <c r="AI44" s="7"/>
      <c r="AJ44" s="8">
        <v>52.5</v>
      </c>
      <c r="AK44" s="7"/>
      <c r="AL44" s="7"/>
      <c r="AM44" s="7"/>
      <c r="AN44" s="7"/>
      <c r="AO44" s="7"/>
    </row>
    <row r="45" spans="1:41" ht="14.25" customHeight="1" x14ac:dyDescent="0.3">
      <c r="A45" s="9" t="s">
        <v>82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  <c r="AA45" s="8"/>
      <c r="AB45" s="8"/>
      <c r="AC45" s="8"/>
      <c r="AD45" s="8"/>
      <c r="AE45" s="7"/>
      <c r="AF45" s="7"/>
      <c r="AG45" s="7"/>
      <c r="AH45" s="7"/>
      <c r="AI45" s="7"/>
      <c r="AJ45" s="8">
        <v>8.1199999999999992</v>
      </c>
      <c r="AK45" s="7"/>
      <c r="AL45" s="7"/>
      <c r="AM45" s="7"/>
      <c r="AN45" s="7"/>
      <c r="AO45" s="7"/>
    </row>
    <row r="46" spans="1:41" ht="14.25" customHeight="1" x14ac:dyDescent="0.3">
      <c r="A46" s="9" t="s">
        <v>83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  <c r="AA46" s="8"/>
      <c r="AB46" s="8"/>
      <c r="AC46" s="8"/>
      <c r="AD46" s="8"/>
      <c r="AE46" s="7"/>
      <c r="AF46" s="7"/>
      <c r="AG46" s="7"/>
      <c r="AH46" s="7"/>
      <c r="AI46" s="7"/>
      <c r="AJ46" s="8">
        <v>85.6</v>
      </c>
      <c r="AK46" s="7"/>
      <c r="AL46" s="7"/>
      <c r="AM46" s="7"/>
      <c r="AN46" s="7"/>
      <c r="AO46" s="7"/>
    </row>
    <row r="47" spans="1:41" ht="14.25" customHeight="1" x14ac:dyDescent="0.3">
      <c r="A47" s="9" t="s">
        <v>84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  <c r="AA47" s="8"/>
      <c r="AB47" s="8"/>
      <c r="AC47" s="8"/>
      <c r="AD47" s="8"/>
      <c r="AE47" s="7"/>
      <c r="AF47" s="7"/>
      <c r="AG47" s="7"/>
      <c r="AH47" s="7"/>
      <c r="AI47" s="7"/>
      <c r="AJ47" s="8">
        <v>76.08</v>
      </c>
      <c r="AK47" s="7"/>
      <c r="AL47" s="7"/>
      <c r="AM47" s="7"/>
      <c r="AN47" s="7"/>
      <c r="AO47" s="7"/>
    </row>
    <row r="48" spans="1:41" ht="14.25" customHeight="1" x14ac:dyDescent="0.3">
      <c r="A48" s="9" t="s">
        <v>85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  <c r="AA48" s="8"/>
      <c r="AB48" s="8"/>
      <c r="AC48" s="8"/>
      <c r="AD48" s="8"/>
      <c r="AE48" s="7"/>
      <c r="AF48" s="7"/>
      <c r="AG48" s="7"/>
      <c r="AH48" s="7"/>
      <c r="AI48" s="7"/>
      <c r="AJ48" s="8">
        <v>48</v>
      </c>
      <c r="AK48" s="7"/>
      <c r="AL48" s="7"/>
      <c r="AM48" s="7"/>
      <c r="AN48" s="7"/>
      <c r="AO48" s="7"/>
    </row>
    <row r="49" spans="1:42" ht="14.25" customHeight="1" x14ac:dyDescent="0.3">
      <c r="A49" s="9" t="s">
        <v>86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  <c r="AA49" s="8"/>
      <c r="AB49" s="8"/>
      <c r="AC49" s="8"/>
      <c r="AD49" s="8"/>
      <c r="AE49" s="7"/>
      <c r="AF49" s="7"/>
      <c r="AG49" s="7"/>
      <c r="AH49" s="7"/>
      <c r="AI49" s="7"/>
      <c r="AJ49" s="8">
        <v>75</v>
      </c>
      <c r="AK49" s="7"/>
      <c r="AL49" s="7"/>
      <c r="AM49" s="7"/>
      <c r="AN49" s="7"/>
      <c r="AO49" s="7"/>
    </row>
    <row r="50" spans="1:42" ht="14.25" customHeight="1" x14ac:dyDescent="0.3">
      <c r="A50" s="9" t="s">
        <v>87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  <c r="AA50" s="8"/>
      <c r="AB50" s="8"/>
      <c r="AC50" s="8"/>
      <c r="AD50" s="8"/>
      <c r="AE50" s="7"/>
      <c r="AF50" s="7"/>
      <c r="AG50" s="7"/>
      <c r="AH50" s="7"/>
      <c r="AI50" s="7"/>
      <c r="AJ50" s="8">
        <v>8.69</v>
      </c>
      <c r="AK50" s="7"/>
      <c r="AL50" s="7"/>
      <c r="AM50" s="7"/>
      <c r="AN50" s="7"/>
      <c r="AO50" s="7"/>
    </row>
    <row r="51" spans="1:42" ht="14.25" customHeight="1" x14ac:dyDescent="0.3">
      <c r="A51" s="9" t="s">
        <v>88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  <c r="AA51" s="8"/>
      <c r="AB51" s="8"/>
      <c r="AC51" s="8"/>
      <c r="AD51" s="8"/>
      <c r="AE51" s="7"/>
      <c r="AF51" s="7"/>
      <c r="AG51" s="7"/>
      <c r="AH51" s="7"/>
      <c r="AI51" s="7"/>
      <c r="AJ51" s="8">
        <v>8.5</v>
      </c>
      <c r="AK51" s="7"/>
      <c r="AL51" s="7"/>
      <c r="AM51" s="7"/>
      <c r="AN51" s="7"/>
      <c r="AO51" s="7"/>
    </row>
    <row r="52" spans="1:42" ht="14.25" customHeight="1" x14ac:dyDescent="0.3">
      <c r="A52" s="9" t="s">
        <v>89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  <c r="AA52" s="8"/>
      <c r="AB52" s="8"/>
      <c r="AC52" s="8"/>
      <c r="AD52" s="8"/>
      <c r="AE52" s="7"/>
      <c r="AF52" s="7"/>
      <c r="AG52" s="7"/>
      <c r="AH52" s="7"/>
      <c r="AI52" s="7"/>
      <c r="AJ52" s="8">
        <v>6</v>
      </c>
      <c r="AK52" s="7"/>
      <c r="AL52" s="7"/>
      <c r="AM52" s="7"/>
      <c r="AN52" s="7"/>
      <c r="AO52" s="7"/>
    </row>
    <row r="53" spans="1:42" ht="14.25" customHeight="1" x14ac:dyDescent="0.3">
      <c r="A53" s="9" t="s">
        <v>90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  <c r="AA53" s="8"/>
      <c r="AB53" s="8"/>
      <c r="AC53" s="8"/>
      <c r="AD53" s="8"/>
      <c r="AE53" s="7"/>
      <c r="AF53" s="7"/>
      <c r="AG53" s="7"/>
      <c r="AH53" s="7"/>
      <c r="AI53" s="7"/>
      <c r="AJ53" s="8">
        <v>5</v>
      </c>
      <c r="AK53" s="7"/>
      <c r="AL53" s="7"/>
      <c r="AM53" s="7"/>
      <c r="AN53" s="7"/>
      <c r="AO53" s="7"/>
    </row>
    <row r="54" spans="1:42" ht="14.25" customHeight="1" x14ac:dyDescent="0.3">
      <c r="A54" s="9" t="s">
        <v>91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  <c r="AA54" s="8"/>
      <c r="AB54" s="8"/>
      <c r="AC54" s="8"/>
      <c r="AD54" s="8"/>
      <c r="AE54" s="7"/>
      <c r="AF54" s="7"/>
      <c r="AG54" s="7"/>
      <c r="AH54" s="7"/>
      <c r="AI54" s="7"/>
      <c r="AJ54" s="8">
        <v>144</v>
      </c>
      <c r="AK54" s="7"/>
      <c r="AL54" s="7"/>
      <c r="AM54" s="7"/>
      <c r="AN54" s="7"/>
      <c r="AO54" s="7"/>
    </row>
    <row r="55" spans="1:42" ht="14.25" customHeight="1" x14ac:dyDescent="0.3">
      <c r="A55" s="11" t="s">
        <v>92</v>
      </c>
      <c r="B55" s="12">
        <f t="shared" ref="B55:AO55" si="2">SUM(B3:B54)</f>
        <v>57.099999999999994</v>
      </c>
      <c r="C55" s="12">
        <f t="shared" si="2"/>
        <v>175.43</v>
      </c>
      <c r="D55" s="12">
        <f t="shared" si="2"/>
        <v>57.099999999999994</v>
      </c>
      <c r="E55" s="12">
        <f t="shared" si="2"/>
        <v>231.28</v>
      </c>
      <c r="F55" s="12">
        <f t="shared" si="2"/>
        <v>57.099999999999994</v>
      </c>
      <c r="G55" s="12">
        <f t="shared" si="2"/>
        <v>175.43</v>
      </c>
      <c r="H55" s="12">
        <f t="shared" si="2"/>
        <v>57.099999999999994</v>
      </c>
      <c r="I55" s="12">
        <f t="shared" si="2"/>
        <v>231.28</v>
      </c>
      <c r="J55" s="12">
        <f t="shared" si="2"/>
        <v>57.099999999999994</v>
      </c>
      <c r="K55" s="12">
        <f t="shared" si="2"/>
        <v>199.14000000000001</v>
      </c>
      <c r="L55" s="12">
        <f t="shared" si="2"/>
        <v>57.099999999999994</v>
      </c>
      <c r="M55" s="12">
        <f t="shared" si="2"/>
        <v>231.28</v>
      </c>
      <c r="N55" s="12">
        <f t="shared" si="2"/>
        <v>57.099999999999994</v>
      </c>
      <c r="O55" s="12">
        <f t="shared" si="2"/>
        <v>175.43</v>
      </c>
      <c r="P55" s="12">
        <f t="shared" si="2"/>
        <v>57.099999999999994</v>
      </c>
      <c r="Q55" s="12">
        <f t="shared" si="2"/>
        <v>311.14999999999998</v>
      </c>
      <c r="R55" s="12">
        <f t="shared" si="2"/>
        <v>57.099999999999994</v>
      </c>
      <c r="S55" s="12">
        <f t="shared" si="2"/>
        <v>175.43</v>
      </c>
      <c r="T55" s="12">
        <f t="shared" si="2"/>
        <v>57.099999999999994</v>
      </c>
      <c r="U55" s="12">
        <f t="shared" si="2"/>
        <v>579.14</v>
      </c>
      <c r="V55" s="12">
        <f t="shared" si="2"/>
        <v>57.099999999999994</v>
      </c>
      <c r="W55" s="12">
        <f t="shared" si="2"/>
        <v>175.43</v>
      </c>
      <c r="X55" s="12">
        <f t="shared" si="2"/>
        <v>57.099999999999994</v>
      </c>
      <c r="Y55" s="12">
        <f t="shared" si="2"/>
        <v>231.28</v>
      </c>
      <c r="Z55" s="12">
        <f t="shared" si="2"/>
        <v>431.87</v>
      </c>
      <c r="AA55" s="12">
        <f t="shared" si="2"/>
        <v>175.43</v>
      </c>
      <c r="AB55" s="12">
        <f t="shared" si="2"/>
        <v>57.099999999999994</v>
      </c>
      <c r="AC55" s="12">
        <f t="shared" si="2"/>
        <v>231.28</v>
      </c>
      <c r="AD55" s="12">
        <f t="shared" si="2"/>
        <v>1231.77</v>
      </c>
      <c r="AE55" s="12">
        <f t="shared" si="2"/>
        <v>199.14000000000001</v>
      </c>
      <c r="AF55" s="12">
        <f t="shared" si="2"/>
        <v>57.099999999999994</v>
      </c>
      <c r="AG55" s="12">
        <f t="shared" si="2"/>
        <v>231.28</v>
      </c>
      <c r="AH55" s="12">
        <f t="shared" si="2"/>
        <v>57.099999999999994</v>
      </c>
      <c r="AI55" s="12">
        <f t="shared" si="2"/>
        <v>175.43</v>
      </c>
      <c r="AJ55" s="12">
        <f t="shared" si="2"/>
        <v>574.58999999999992</v>
      </c>
      <c r="AK55" s="12">
        <f t="shared" si="2"/>
        <v>311.14999999999998</v>
      </c>
      <c r="AL55" s="12">
        <f t="shared" si="2"/>
        <v>57.099999999999994</v>
      </c>
      <c r="AM55" s="12">
        <f t="shared" si="2"/>
        <v>175.43</v>
      </c>
      <c r="AN55" s="12">
        <f t="shared" si="2"/>
        <v>57.099999999999994</v>
      </c>
      <c r="AO55" s="12">
        <f t="shared" si="2"/>
        <v>579.14</v>
      </c>
      <c r="AP55" s="13">
        <f>SUM(B55:AO55)</f>
        <v>8178.9100000000008</v>
      </c>
    </row>
    <row r="56" spans="1:42" ht="14.25" customHeight="1" x14ac:dyDescent="0.3">
      <c r="A56" s="6" t="s">
        <v>93</v>
      </c>
      <c r="B56" s="7">
        <v>46.2</v>
      </c>
      <c r="C56" s="7">
        <v>46.2</v>
      </c>
      <c r="D56" s="7">
        <v>46.2</v>
      </c>
      <c r="E56" s="7">
        <v>46.2</v>
      </c>
      <c r="F56" s="7">
        <v>46.2</v>
      </c>
      <c r="G56" s="7">
        <v>46.2</v>
      </c>
      <c r="H56" s="7">
        <v>46.2</v>
      </c>
      <c r="I56" s="7">
        <v>46.2</v>
      </c>
      <c r="J56" s="7">
        <v>46.2</v>
      </c>
      <c r="K56" s="7">
        <v>46.2</v>
      </c>
      <c r="L56" s="7">
        <v>46.2</v>
      </c>
      <c r="M56" s="7">
        <v>46.2</v>
      </c>
      <c r="N56" s="7">
        <v>46.2</v>
      </c>
      <c r="O56" s="7">
        <v>46.2</v>
      </c>
      <c r="P56" s="7">
        <v>46.2</v>
      </c>
      <c r="Q56" s="7">
        <v>46.2</v>
      </c>
      <c r="R56" s="7">
        <v>46.2</v>
      </c>
      <c r="S56" s="7">
        <v>46.2</v>
      </c>
      <c r="T56" s="7">
        <v>46.2</v>
      </c>
      <c r="U56" s="7">
        <v>46.2</v>
      </c>
      <c r="V56" s="7">
        <v>46.2</v>
      </c>
      <c r="W56" s="7">
        <v>46.2</v>
      </c>
      <c r="X56" s="7">
        <v>46.2</v>
      </c>
      <c r="Y56" s="7">
        <v>46.2</v>
      </c>
      <c r="Z56" s="8">
        <v>46.2</v>
      </c>
      <c r="AA56" s="8">
        <v>46.2</v>
      </c>
      <c r="AB56" s="8">
        <v>46.2</v>
      </c>
      <c r="AC56" s="8">
        <v>46.2</v>
      </c>
      <c r="AD56" s="8">
        <v>46.2</v>
      </c>
      <c r="AE56" s="7">
        <v>46.2</v>
      </c>
      <c r="AF56" s="7">
        <v>46.2</v>
      </c>
      <c r="AG56" s="7">
        <v>46.2</v>
      </c>
      <c r="AH56" s="7">
        <v>46.2</v>
      </c>
      <c r="AI56" s="7">
        <v>46.2</v>
      </c>
      <c r="AJ56" s="8">
        <v>46.2</v>
      </c>
      <c r="AK56" s="7">
        <v>46.2</v>
      </c>
      <c r="AL56" s="7">
        <v>46.2</v>
      </c>
      <c r="AM56" s="7">
        <v>46.2</v>
      </c>
      <c r="AN56" s="7">
        <v>46.2</v>
      </c>
      <c r="AO56" s="7">
        <v>46.2</v>
      </c>
    </row>
    <row r="57" spans="1:42" ht="14.25" customHeight="1" x14ac:dyDescent="0.3">
      <c r="A57" s="6" t="s">
        <v>94</v>
      </c>
      <c r="B57" s="7"/>
      <c r="C57" s="7"/>
      <c r="D57" s="7"/>
      <c r="E57" s="7">
        <v>7.71</v>
      </c>
      <c r="F57" s="7"/>
      <c r="G57" s="7"/>
      <c r="H57" s="7"/>
      <c r="I57" s="7">
        <v>7.71</v>
      </c>
      <c r="J57" s="7"/>
      <c r="K57" s="7"/>
      <c r="L57" s="7"/>
      <c r="M57" s="7">
        <v>7.71</v>
      </c>
      <c r="N57" s="7"/>
      <c r="O57" s="7"/>
      <c r="P57" s="7"/>
      <c r="Q57" s="7">
        <v>7.71</v>
      </c>
      <c r="R57" s="7"/>
      <c r="S57" s="7"/>
      <c r="T57" s="7"/>
      <c r="U57" s="7">
        <v>7.71</v>
      </c>
      <c r="V57" s="7"/>
      <c r="W57" s="7"/>
      <c r="X57" s="7"/>
      <c r="Y57" s="7">
        <v>7.71</v>
      </c>
      <c r="Z57" s="8"/>
      <c r="AA57" s="8"/>
      <c r="AB57" s="8"/>
      <c r="AC57" s="8">
        <v>7.71</v>
      </c>
      <c r="AD57" s="8"/>
      <c r="AE57" s="7"/>
      <c r="AF57" s="7"/>
      <c r="AG57" s="7">
        <v>7.71</v>
      </c>
      <c r="AH57" s="7"/>
      <c r="AI57" s="7"/>
      <c r="AJ57" s="8"/>
      <c r="AK57" s="7">
        <v>7.71</v>
      </c>
      <c r="AL57" s="7"/>
      <c r="AM57" s="7"/>
      <c r="AN57" s="7"/>
      <c r="AO57" s="7">
        <v>7.71</v>
      </c>
    </row>
    <row r="58" spans="1:42" ht="14.25" customHeight="1" x14ac:dyDescent="0.3">
      <c r="A58" s="6" t="s">
        <v>95</v>
      </c>
      <c r="B58" s="7"/>
      <c r="C58" s="7">
        <v>6.16</v>
      </c>
      <c r="D58" s="7"/>
      <c r="E58" s="7">
        <v>6.16</v>
      </c>
      <c r="F58" s="7"/>
      <c r="G58" s="7">
        <v>6.16</v>
      </c>
      <c r="H58" s="7"/>
      <c r="I58" s="7">
        <v>6.16</v>
      </c>
      <c r="J58" s="7"/>
      <c r="K58" s="7">
        <v>6.16</v>
      </c>
      <c r="L58" s="7"/>
      <c r="M58" s="7">
        <v>6.16</v>
      </c>
      <c r="N58" s="7"/>
      <c r="O58" s="7">
        <v>6.16</v>
      </c>
      <c r="P58" s="7"/>
      <c r="Q58" s="7">
        <v>6.16</v>
      </c>
      <c r="R58" s="7"/>
      <c r="S58" s="7">
        <v>6.16</v>
      </c>
      <c r="T58" s="7"/>
      <c r="U58" s="7">
        <v>6.16</v>
      </c>
      <c r="V58" s="7"/>
      <c r="W58" s="7">
        <v>6.16</v>
      </c>
      <c r="X58" s="7"/>
      <c r="Y58" s="7">
        <v>6.16</v>
      </c>
      <c r="Z58" s="8"/>
      <c r="AA58" s="8">
        <v>6.16</v>
      </c>
      <c r="AB58" s="8"/>
      <c r="AC58" s="8">
        <v>6.16</v>
      </c>
      <c r="AD58" s="8"/>
      <c r="AE58" s="7">
        <v>6.16</v>
      </c>
      <c r="AF58" s="7"/>
      <c r="AG58" s="7">
        <v>6.16</v>
      </c>
      <c r="AH58" s="7"/>
      <c r="AI58" s="7">
        <v>6.16</v>
      </c>
      <c r="AJ58" s="8"/>
      <c r="AK58" s="7">
        <v>6.16</v>
      </c>
      <c r="AL58" s="7"/>
      <c r="AM58" s="7">
        <v>6.16</v>
      </c>
      <c r="AN58" s="7"/>
      <c r="AO58" s="7">
        <v>6.16</v>
      </c>
    </row>
    <row r="59" spans="1:42" ht="14.25" customHeight="1" x14ac:dyDescent="0.3">
      <c r="A59" s="6" t="s">
        <v>96</v>
      </c>
      <c r="B59" s="7"/>
      <c r="C59" s="7">
        <v>6.62</v>
      </c>
      <c r="D59" s="7"/>
      <c r="E59" s="7">
        <v>6.62</v>
      </c>
      <c r="F59" s="7"/>
      <c r="G59" s="7">
        <v>6.62</v>
      </c>
      <c r="H59" s="7"/>
      <c r="I59" s="7">
        <v>6.62</v>
      </c>
      <c r="J59" s="7"/>
      <c r="K59" s="7">
        <v>6.62</v>
      </c>
      <c r="L59" s="7"/>
      <c r="M59" s="7">
        <v>6.62</v>
      </c>
      <c r="N59" s="7"/>
      <c r="O59" s="7">
        <v>6.62</v>
      </c>
      <c r="P59" s="7"/>
      <c r="Q59" s="7">
        <v>6.62</v>
      </c>
      <c r="R59" s="7"/>
      <c r="S59" s="7">
        <v>6.62</v>
      </c>
      <c r="T59" s="7"/>
      <c r="U59" s="7">
        <v>6.62</v>
      </c>
      <c r="V59" s="7"/>
      <c r="W59" s="7">
        <v>6.62</v>
      </c>
      <c r="X59" s="7"/>
      <c r="Y59" s="7">
        <v>6.62</v>
      </c>
      <c r="Z59" s="8"/>
      <c r="AA59" s="8">
        <v>6.62</v>
      </c>
      <c r="AB59" s="8"/>
      <c r="AC59" s="8">
        <v>6.62</v>
      </c>
      <c r="AD59" s="8"/>
      <c r="AE59" s="7">
        <v>6.62</v>
      </c>
      <c r="AF59" s="7"/>
      <c r="AG59" s="7">
        <v>6.62</v>
      </c>
      <c r="AH59" s="7"/>
      <c r="AI59" s="7">
        <v>6.62</v>
      </c>
      <c r="AJ59" s="8"/>
      <c r="AK59" s="7">
        <v>6.62</v>
      </c>
      <c r="AL59" s="7"/>
      <c r="AM59" s="7">
        <v>6.62</v>
      </c>
      <c r="AN59" s="7"/>
      <c r="AO59" s="7">
        <v>6.62</v>
      </c>
    </row>
    <row r="60" spans="1:42" ht="14.25" customHeight="1" x14ac:dyDescent="0.3">
      <c r="A60" s="6" t="s">
        <v>97</v>
      </c>
      <c r="B60" s="7"/>
      <c r="C60" s="7"/>
      <c r="D60" s="7"/>
      <c r="E60" s="7"/>
      <c r="F60" s="7"/>
      <c r="G60" s="7"/>
      <c r="H60" s="7"/>
      <c r="I60" s="7"/>
      <c r="J60" s="7"/>
      <c r="K60" s="7">
        <v>35.44</v>
      </c>
      <c r="L60" s="7"/>
      <c r="M60" s="7"/>
      <c r="N60" s="7"/>
      <c r="O60" s="7"/>
      <c r="P60" s="7"/>
      <c r="Q60" s="7"/>
      <c r="R60" s="7"/>
      <c r="S60" s="7"/>
      <c r="T60" s="7"/>
      <c r="U60" s="7">
        <v>35.44</v>
      </c>
      <c r="V60" s="7"/>
      <c r="W60" s="7"/>
      <c r="X60" s="7"/>
      <c r="Y60" s="7"/>
      <c r="Z60" s="8">
        <v>35.44</v>
      </c>
      <c r="AA60" s="8"/>
      <c r="AB60" s="8"/>
      <c r="AC60" s="8"/>
      <c r="AD60" s="8"/>
      <c r="AE60" s="7">
        <v>35.44</v>
      </c>
      <c r="AF60" s="7"/>
      <c r="AG60" s="7"/>
      <c r="AH60" s="7"/>
      <c r="AI60" s="7"/>
      <c r="AJ60" s="8"/>
      <c r="AK60" s="7"/>
      <c r="AL60" s="7"/>
      <c r="AM60" s="7"/>
      <c r="AN60" s="7"/>
      <c r="AO60" s="7">
        <v>35.44</v>
      </c>
    </row>
    <row r="61" spans="1:42" ht="14.25" customHeight="1" x14ac:dyDescent="0.3">
      <c r="A61" s="6" t="s">
        <v>98</v>
      </c>
      <c r="B61" s="7">
        <v>28.23</v>
      </c>
      <c r="C61" s="7"/>
      <c r="D61" s="7"/>
      <c r="E61" s="7"/>
      <c r="F61" s="7"/>
      <c r="G61" s="7"/>
      <c r="H61" s="7"/>
      <c r="I61" s="7"/>
      <c r="J61" s="7"/>
      <c r="K61" s="7">
        <v>28.23</v>
      </c>
      <c r="L61" s="7"/>
      <c r="M61" s="7"/>
      <c r="N61" s="7"/>
      <c r="O61" s="7"/>
      <c r="P61" s="7"/>
      <c r="Q61" s="7"/>
      <c r="R61" s="7"/>
      <c r="S61" s="7"/>
      <c r="T61" s="7"/>
      <c r="U61" s="7">
        <v>28.23</v>
      </c>
      <c r="V61" s="7"/>
      <c r="W61" s="7"/>
      <c r="X61" s="7"/>
      <c r="Y61" s="7"/>
      <c r="Z61" s="8"/>
      <c r="AA61" s="8"/>
      <c r="AB61" s="8"/>
      <c r="AC61" s="8"/>
      <c r="AD61" s="8">
        <v>28.23</v>
      </c>
      <c r="AE61" s="7"/>
      <c r="AF61" s="7"/>
      <c r="AG61" s="7"/>
      <c r="AH61" s="7"/>
      <c r="AI61" s="7"/>
      <c r="AJ61" s="8"/>
      <c r="AK61" s="7"/>
      <c r="AL61" s="7"/>
      <c r="AM61" s="7"/>
      <c r="AN61" s="7"/>
      <c r="AO61" s="7">
        <v>28.23</v>
      </c>
    </row>
    <row r="62" spans="1:42" ht="14.25" customHeight="1" x14ac:dyDescent="0.3">
      <c r="A62" s="6" t="s">
        <v>99</v>
      </c>
      <c r="B62" s="7">
        <v>26.61</v>
      </c>
      <c r="C62" s="7"/>
      <c r="D62" s="7"/>
      <c r="E62" s="7"/>
      <c r="F62" s="7"/>
      <c r="G62" s="7"/>
      <c r="H62" s="7"/>
      <c r="I62" s="7"/>
      <c r="J62" s="7"/>
      <c r="K62" s="7">
        <v>26.61</v>
      </c>
      <c r="L62" s="7"/>
      <c r="M62" s="7"/>
      <c r="N62" s="7"/>
      <c r="O62" s="7"/>
      <c r="P62" s="7"/>
      <c r="Q62" s="7"/>
      <c r="R62" s="7"/>
      <c r="S62" s="7"/>
      <c r="T62" s="7"/>
      <c r="U62" s="7">
        <v>26.61</v>
      </c>
      <c r="V62" s="7"/>
      <c r="W62" s="7"/>
      <c r="X62" s="7"/>
      <c r="Y62" s="7"/>
      <c r="Z62" s="8"/>
      <c r="AA62" s="8"/>
      <c r="AB62" s="8"/>
      <c r="AC62" s="8"/>
      <c r="AD62" s="8"/>
      <c r="AE62" s="7">
        <v>26.61</v>
      </c>
      <c r="AF62" s="7"/>
      <c r="AG62" s="7"/>
      <c r="AH62" s="7"/>
      <c r="AI62" s="7"/>
      <c r="AJ62" s="8"/>
      <c r="AK62" s="7"/>
      <c r="AL62" s="7"/>
      <c r="AM62" s="7"/>
      <c r="AN62" s="7"/>
      <c r="AO62" s="7">
        <v>26.61</v>
      </c>
    </row>
    <row r="63" spans="1:42" ht="14.25" customHeight="1" x14ac:dyDescent="0.3">
      <c r="A63" s="6" t="s">
        <v>100</v>
      </c>
      <c r="B63" s="7">
        <v>26.61</v>
      </c>
      <c r="C63" s="7"/>
      <c r="D63" s="7"/>
      <c r="E63" s="7"/>
      <c r="F63" s="7"/>
      <c r="G63" s="7"/>
      <c r="H63" s="7"/>
      <c r="I63" s="7"/>
      <c r="J63" s="7"/>
      <c r="K63" s="7">
        <v>26.61</v>
      </c>
      <c r="L63" s="7"/>
      <c r="M63" s="7"/>
      <c r="N63" s="7"/>
      <c r="O63" s="7"/>
      <c r="P63" s="7"/>
      <c r="Q63" s="7"/>
      <c r="R63" s="7"/>
      <c r="S63" s="7"/>
      <c r="T63" s="7"/>
      <c r="U63" s="7">
        <v>26.61</v>
      </c>
      <c r="V63" s="7"/>
      <c r="W63" s="7"/>
      <c r="X63" s="7"/>
      <c r="Y63" s="7"/>
      <c r="Z63" s="8"/>
      <c r="AA63" s="8"/>
      <c r="AB63" s="8"/>
      <c r="AC63" s="8"/>
      <c r="AD63" s="8"/>
      <c r="AE63" s="7">
        <v>26.61</v>
      </c>
      <c r="AF63" s="7"/>
      <c r="AG63" s="7"/>
      <c r="AH63" s="7"/>
      <c r="AI63" s="7"/>
      <c r="AJ63" s="8"/>
      <c r="AK63" s="7"/>
      <c r="AL63" s="7"/>
      <c r="AM63" s="7"/>
      <c r="AN63" s="7"/>
      <c r="AO63" s="7">
        <v>26.61</v>
      </c>
    </row>
    <row r="64" spans="1:42" ht="14.25" customHeight="1" x14ac:dyDescent="0.3">
      <c r="A64" s="6" t="s">
        <v>101</v>
      </c>
      <c r="B64" s="7"/>
      <c r="C64" s="7"/>
      <c r="D64" s="7"/>
      <c r="E64" s="7"/>
      <c r="F64" s="7"/>
      <c r="G64" s="7"/>
      <c r="H64" s="7"/>
      <c r="I64" s="7"/>
      <c r="J64" s="7"/>
      <c r="K64" s="7">
        <v>17.420000000000002</v>
      </c>
      <c r="L64" s="7"/>
      <c r="M64" s="7"/>
      <c r="N64" s="7"/>
      <c r="O64" s="7"/>
      <c r="P64" s="7"/>
      <c r="Q64" s="7"/>
      <c r="R64" s="7"/>
      <c r="S64" s="7"/>
      <c r="T64" s="7"/>
      <c r="U64" s="7">
        <v>17.420000000000002</v>
      </c>
      <c r="V64" s="7"/>
      <c r="W64" s="7"/>
      <c r="X64" s="7"/>
      <c r="Y64" s="7"/>
      <c r="Z64" s="8"/>
      <c r="AA64" s="8"/>
      <c r="AB64" s="8"/>
      <c r="AC64" s="8"/>
      <c r="AD64" s="8"/>
      <c r="AE64" s="7">
        <v>17.420000000000002</v>
      </c>
      <c r="AF64" s="7"/>
      <c r="AG64" s="7"/>
      <c r="AH64" s="7"/>
      <c r="AI64" s="7"/>
      <c r="AJ64" s="8"/>
      <c r="AK64" s="7"/>
      <c r="AL64" s="7"/>
      <c r="AM64" s="7"/>
      <c r="AN64" s="7"/>
      <c r="AO64" s="7">
        <v>17.420000000000002</v>
      </c>
    </row>
    <row r="65" spans="1:42" ht="14.25" customHeight="1" x14ac:dyDescent="0.3">
      <c r="A65" s="6" t="s">
        <v>102</v>
      </c>
      <c r="B65" s="7"/>
      <c r="C65" s="7"/>
      <c r="D65" s="7"/>
      <c r="E65" s="7"/>
      <c r="F65" s="7"/>
      <c r="G65" s="7"/>
      <c r="H65" s="7"/>
      <c r="I65" s="7"/>
      <c r="J65" s="7"/>
      <c r="K65" s="7">
        <v>8.7100000000000009</v>
      </c>
      <c r="L65" s="7"/>
      <c r="M65" s="7"/>
      <c r="N65" s="7"/>
      <c r="O65" s="7"/>
      <c r="P65" s="7"/>
      <c r="Q65" s="7"/>
      <c r="R65" s="7"/>
      <c r="S65" s="7"/>
      <c r="T65" s="7"/>
      <c r="U65" s="7">
        <v>8.7100000000000009</v>
      </c>
      <c r="V65" s="7"/>
      <c r="W65" s="7"/>
      <c r="X65" s="7"/>
      <c r="Y65" s="7"/>
      <c r="Z65" s="8"/>
      <c r="AA65" s="8"/>
      <c r="AB65" s="8"/>
      <c r="AC65" s="8"/>
      <c r="AD65" s="8"/>
      <c r="AE65" s="7">
        <v>8.7100000000000009</v>
      </c>
      <c r="AF65" s="7"/>
      <c r="AG65" s="7"/>
      <c r="AH65" s="7"/>
      <c r="AI65" s="7"/>
      <c r="AJ65" s="8"/>
      <c r="AK65" s="7"/>
      <c r="AL65" s="7"/>
      <c r="AM65" s="7"/>
      <c r="AN65" s="7"/>
      <c r="AO65" s="7">
        <v>8.7100000000000009</v>
      </c>
    </row>
    <row r="66" spans="1:42" ht="13.5" customHeight="1" x14ac:dyDescent="0.3">
      <c r="A66" s="6" t="s">
        <v>103</v>
      </c>
      <c r="B66" s="7"/>
      <c r="C66" s="7"/>
      <c r="D66" s="7"/>
      <c r="E66" s="7">
        <v>15</v>
      </c>
      <c r="F66" s="7"/>
      <c r="G66" s="7"/>
      <c r="H66" s="7"/>
      <c r="I66" s="7">
        <v>15</v>
      </c>
      <c r="J66" s="7"/>
      <c r="K66" s="7"/>
      <c r="L66" s="7"/>
      <c r="M66" s="7">
        <v>15</v>
      </c>
      <c r="N66" s="7"/>
      <c r="O66" s="7"/>
      <c r="P66" s="7"/>
      <c r="Q66" s="7">
        <v>15</v>
      </c>
      <c r="R66" s="7"/>
      <c r="S66" s="7"/>
      <c r="T66" s="7"/>
      <c r="U66" s="7">
        <v>15</v>
      </c>
      <c r="V66" s="7"/>
      <c r="W66" s="7"/>
      <c r="X66" s="7"/>
      <c r="Y66" s="7">
        <v>15</v>
      </c>
      <c r="Z66" s="8"/>
      <c r="AA66" s="8"/>
      <c r="AB66" s="8"/>
      <c r="AC66" s="8">
        <v>15</v>
      </c>
      <c r="AD66" s="8"/>
      <c r="AE66" s="7"/>
      <c r="AF66" s="7"/>
      <c r="AG66" s="7">
        <v>15</v>
      </c>
      <c r="AH66" s="7"/>
      <c r="AI66" s="7"/>
      <c r="AJ66" s="8"/>
      <c r="AK66" s="7">
        <v>15</v>
      </c>
      <c r="AL66" s="7"/>
      <c r="AM66" s="7"/>
      <c r="AN66" s="7"/>
      <c r="AO66" s="7">
        <v>15</v>
      </c>
    </row>
    <row r="67" spans="1:42" ht="14.25" customHeight="1" x14ac:dyDescent="0.3">
      <c r="A67" s="14" t="s">
        <v>104</v>
      </c>
      <c r="B67" s="15">
        <f t="shared" ref="B67:AO67" si="3">SUM(B56:B66)</f>
        <v>127.65</v>
      </c>
      <c r="C67" s="15">
        <f t="shared" si="3"/>
        <v>58.98</v>
      </c>
      <c r="D67" s="15">
        <f t="shared" si="3"/>
        <v>46.2</v>
      </c>
      <c r="E67" s="15">
        <f t="shared" si="3"/>
        <v>81.690000000000012</v>
      </c>
      <c r="F67" s="15">
        <f t="shared" si="3"/>
        <v>46.2</v>
      </c>
      <c r="G67" s="15">
        <f t="shared" si="3"/>
        <v>58.98</v>
      </c>
      <c r="H67" s="15">
        <f t="shared" si="3"/>
        <v>46.2</v>
      </c>
      <c r="I67" s="15">
        <f t="shared" si="3"/>
        <v>81.690000000000012</v>
      </c>
      <c r="J67" s="15">
        <f t="shared" si="3"/>
        <v>46.2</v>
      </c>
      <c r="K67" s="15">
        <f t="shared" si="3"/>
        <v>202.00000000000003</v>
      </c>
      <c r="L67" s="15">
        <f t="shared" si="3"/>
        <v>46.2</v>
      </c>
      <c r="M67" s="15">
        <f t="shared" si="3"/>
        <v>81.690000000000012</v>
      </c>
      <c r="N67" s="15">
        <f t="shared" si="3"/>
        <v>46.2</v>
      </c>
      <c r="O67" s="15">
        <f t="shared" si="3"/>
        <v>58.98</v>
      </c>
      <c r="P67" s="15">
        <f t="shared" si="3"/>
        <v>46.2</v>
      </c>
      <c r="Q67" s="15">
        <f t="shared" si="3"/>
        <v>81.690000000000012</v>
      </c>
      <c r="R67" s="15">
        <f t="shared" si="3"/>
        <v>46.2</v>
      </c>
      <c r="S67" s="15">
        <f t="shared" si="3"/>
        <v>58.98</v>
      </c>
      <c r="T67" s="15">
        <f t="shared" si="3"/>
        <v>46.2</v>
      </c>
      <c r="U67" s="15">
        <f t="shared" si="3"/>
        <v>224.71000000000006</v>
      </c>
      <c r="V67" s="15">
        <f t="shared" si="3"/>
        <v>46.2</v>
      </c>
      <c r="W67" s="15">
        <f t="shared" si="3"/>
        <v>58.98</v>
      </c>
      <c r="X67" s="15">
        <f t="shared" si="3"/>
        <v>46.2</v>
      </c>
      <c r="Y67" s="15">
        <f t="shared" si="3"/>
        <v>81.690000000000012</v>
      </c>
      <c r="Z67" s="15">
        <f t="shared" si="3"/>
        <v>81.64</v>
      </c>
      <c r="AA67" s="15">
        <f t="shared" si="3"/>
        <v>58.98</v>
      </c>
      <c r="AB67" s="15">
        <f t="shared" si="3"/>
        <v>46.2</v>
      </c>
      <c r="AC67" s="15">
        <f t="shared" si="3"/>
        <v>81.690000000000012</v>
      </c>
      <c r="AD67" s="15">
        <f t="shared" si="3"/>
        <v>74.430000000000007</v>
      </c>
      <c r="AE67" s="15">
        <f t="shared" si="3"/>
        <v>173.77</v>
      </c>
      <c r="AF67" s="15">
        <f t="shared" si="3"/>
        <v>46.2</v>
      </c>
      <c r="AG67" s="15">
        <f t="shared" si="3"/>
        <v>81.690000000000012</v>
      </c>
      <c r="AH67" s="15">
        <f t="shared" si="3"/>
        <v>46.2</v>
      </c>
      <c r="AI67" s="15">
        <f t="shared" si="3"/>
        <v>58.98</v>
      </c>
      <c r="AJ67" s="15">
        <f t="shared" si="3"/>
        <v>46.2</v>
      </c>
      <c r="AK67" s="15">
        <f t="shared" si="3"/>
        <v>81.690000000000012</v>
      </c>
      <c r="AL67" s="15">
        <f t="shared" si="3"/>
        <v>46.2</v>
      </c>
      <c r="AM67" s="15">
        <f t="shared" si="3"/>
        <v>58.98</v>
      </c>
      <c r="AN67" s="15">
        <f t="shared" si="3"/>
        <v>46.2</v>
      </c>
      <c r="AO67" s="15">
        <f t="shared" si="3"/>
        <v>224.71000000000006</v>
      </c>
      <c r="AP67" s="13">
        <f>SUM(B67:AO67)</f>
        <v>3019.67</v>
      </c>
    </row>
    <row r="68" spans="1:42" ht="14.25" customHeight="1" x14ac:dyDescent="0.3">
      <c r="A68" s="6" t="s">
        <v>105</v>
      </c>
      <c r="B68" s="7">
        <v>20.79</v>
      </c>
      <c r="C68" s="7">
        <v>137.28</v>
      </c>
      <c r="D68" s="7">
        <v>15.18</v>
      </c>
      <c r="E68" s="7">
        <v>146.19</v>
      </c>
      <c r="F68" s="7">
        <v>15.18</v>
      </c>
      <c r="G68" s="7">
        <v>157.08000000000001</v>
      </c>
      <c r="H68" s="7">
        <v>15.18</v>
      </c>
      <c r="I68" s="7">
        <v>181.5</v>
      </c>
      <c r="J68" s="7">
        <v>15.18</v>
      </c>
      <c r="K68" s="7">
        <v>150.81</v>
      </c>
      <c r="L68" s="7">
        <v>15.18</v>
      </c>
      <c r="M68" s="7">
        <v>163.35</v>
      </c>
      <c r="N68" s="7">
        <v>15.18</v>
      </c>
      <c r="O68" s="7">
        <v>128.04</v>
      </c>
      <c r="P68" s="7">
        <v>15.18</v>
      </c>
      <c r="Q68" s="7">
        <v>147.51</v>
      </c>
      <c r="R68" s="7">
        <v>15.18</v>
      </c>
      <c r="S68" s="7">
        <v>161.04</v>
      </c>
      <c r="T68" s="7">
        <v>15.18</v>
      </c>
      <c r="U68" s="7">
        <v>289.74</v>
      </c>
      <c r="V68" s="7">
        <v>15.18</v>
      </c>
      <c r="W68" s="7">
        <v>137.28</v>
      </c>
      <c r="X68" s="7">
        <v>15.18</v>
      </c>
      <c r="Y68" s="7">
        <v>163.35</v>
      </c>
      <c r="Z68" s="8">
        <v>15.18</v>
      </c>
      <c r="AA68" s="7">
        <v>157.08000000000001</v>
      </c>
      <c r="AB68" s="7">
        <v>15.18</v>
      </c>
      <c r="AC68" s="7">
        <v>181.5</v>
      </c>
      <c r="AD68" s="8">
        <v>15.18</v>
      </c>
      <c r="AE68" s="7">
        <v>150.81</v>
      </c>
      <c r="AF68" s="7">
        <v>15.18</v>
      </c>
      <c r="AG68" s="7">
        <v>163.35</v>
      </c>
      <c r="AH68" s="7">
        <v>15.18</v>
      </c>
      <c r="AI68" s="7">
        <v>128.04</v>
      </c>
      <c r="AJ68" s="8">
        <v>15.18</v>
      </c>
      <c r="AK68" s="7">
        <v>147.51</v>
      </c>
      <c r="AL68" s="7">
        <v>15.18</v>
      </c>
      <c r="AM68" s="7">
        <v>161.04</v>
      </c>
      <c r="AN68" s="7">
        <v>15.18</v>
      </c>
      <c r="AO68" s="7">
        <v>289.74</v>
      </c>
    </row>
    <row r="69" spans="1:42" ht="14.25" customHeight="1" x14ac:dyDescent="0.3">
      <c r="A69" s="6" t="s">
        <v>106</v>
      </c>
      <c r="B69" s="7"/>
      <c r="C69" s="7">
        <v>17.16</v>
      </c>
      <c r="D69" s="7"/>
      <c r="E69" s="7">
        <v>17.16</v>
      </c>
      <c r="F69" s="7"/>
      <c r="G69" s="7">
        <v>17.16</v>
      </c>
      <c r="H69" s="7"/>
      <c r="I69" s="7">
        <v>17.16</v>
      </c>
      <c r="J69" s="7"/>
      <c r="K69" s="7">
        <v>17.16</v>
      </c>
      <c r="L69" s="7"/>
      <c r="M69" s="7">
        <v>17.16</v>
      </c>
      <c r="N69" s="7"/>
      <c r="O69" s="7">
        <v>17.16</v>
      </c>
      <c r="P69" s="7"/>
      <c r="Q69" s="7">
        <v>17.16</v>
      </c>
      <c r="R69" s="7"/>
      <c r="S69" s="7">
        <v>17.16</v>
      </c>
      <c r="T69" s="7"/>
      <c r="U69" s="7">
        <v>17.16</v>
      </c>
      <c r="V69" s="7"/>
      <c r="W69" s="7">
        <v>17.16</v>
      </c>
      <c r="X69" s="7"/>
      <c r="Y69" s="7">
        <v>17.16</v>
      </c>
      <c r="Z69" s="8"/>
      <c r="AA69" s="7">
        <v>17.16</v>
      </c>
      <c r="AB69" s="7"/>
      <c r="AC69" s="7">
        <v>17.16</v>
      </c>
      <c r="AD69" s="8"/>
      <c r="AE69" s="7">
        <v>17.16</v>
      </c>
      <c r="AF69" s="7"/>
      <c r="AG69" s="7">
        <v>17.16</v>
      </c>
      <c r="AH69" s="7"/>
      <c r="AI69" s="7">
        <v>17.16</v>
      </c>
      <c r="AJ69" s="8"/>
      <c r="AK69" s="7">
        <v>17.16</v>
      </c>
      <c r="AL69" s="7"/>
      <c r="AM69" s="7">
        <v>17.16</v>
      </c>
      <c r="AN69" s="7"/>
      <c r="AO69" s="7">
        <v>17.16</v>
      </c>
    </row>
    <row r="70" spans="1:42" ht="14.25" customHeight="1" x14ac:dyDescent="0.3">
      <c r="A70" s="6" t="s">
        <v>107</v>
      </c>
      <c r="B70" s="7"/>
      <c r="C70" s="7">
        <v>15.84</v>
      </c>
      <c r="D70" s="7"/>
      <c r="E70" s="7">
        <v>15.84</v>
      </c>
      <c r="F70" s="7"/>
      <c r="G70" s="7">
        <v>15.84</v>
      </c>
      <c r="H70" s="7"/>
      <c r="I70" s="7">
        <v>15.84</v>
      </c>
      <c r="J70" s="7"/>
      <c r="K70" s="7">
        <v>15.84</v>
      </c>
      <c r="L70" s="7"/>
      <c r="M70" s="7">
        <v>15.84</v>
      </c>
      <c r="N70" s="7"/>
      <c r="O70" s="7">
        <v>15.84</v>
      </c>
      <c r="P70" s="7"/>
      <c r="Q70" s="7">
        <v>15.84</v>
      </c>
      <c r="R70" s="7"/>
      <c r="S70" s="7">
        <v>15.84</v>
      </c>
      <c r="T70" s="7"/>
      <c r="U70" s="7">
        <v>15.84</v>
      </c>
      <c r="V70" s="7"/>
      <c r="W70" s="7">
        <v>15.84</v>
      </c>
      <c r="X70" s="7"/>
      <c r="Y70" s="7">
        <v>15.84</v>
      </c>
      <c r="Z70" s="8"/>
      <c r="AA70" s="7">
        <v>15.84</v>
      </c>
      <c r="AB70" s="7"/>
      <c r="AC70" s="7">
        <v>15.84</v>
      </c>
      <c r="AD70" s="8"/>
      <c r="AE70" s="7">
        <v>15.84</v>
      </c>
      <c r="AF70" s="7"/>
      <c r="AG70" s="7">
        <v>15.84</v>
      </c>
      <c r="AH70" s="7"/>
      <c r="AI70" s="7">
        <v>15.84</v>
      </c>
      <c r="AJ70" s="8"/>
      <c r="AK70" s="7">
        <v>15.84</v>
      </c>
      <c r="AL70" s="7"/>
      <c r="AM70" s="7">
        <v>15.84</v>
      </c>
      <c r="AN70" s="7"/>
      <c r="AO70" s="7">
        <v>15.84</v>
      </c>
    </row>
    <row r="71" spans="1:42" ht="14.25" customHeight="1" x14ac:dyDescent="0.3">
      <c r="A71" s="6" t="s">
        <v>108</v>
      </c>
      <c r="B71" s="7"/>
      <c r="C71" s="7"/>
      <c r="D71" s="7"/>
      <c r="E71" s="7">
        <v>16.5</v>
      </c>
      <c r="F71" s="7"/>
      <c r="G71" s="7"/>
      <c r="H71" s="7"/>
      <c r="I71" s="7">
        <v>16.5</v>
      </c>
      <c r="J71" s="7"/>
      <c r="K71" s="7"/>
      <c r="L71" s="7"/>
      <c r="M71" s="7">
        <v>16.5</v>
      </c>
      <c r="N71" s="7"/>
      <c r="O71" s="7"/>
      <c r="P71" s="7"/>
      <c r="Q71" s="7">
        <v>16.5</v>
      </c>
      <c r="R71" s="7"/>
      <c r="S71" s="7"/>
      <c r="T71" s="7"/>
      <c r="U71" s="7">
        <v>16.5</v>
      </c>
      <c r="V71" s="7"/>
      <c r="W71" s="7"/>
      <c r="X71" s="7"/>
      <c r="Y71" s="7">
        <v>16.5</v>
      </c>
      <c r="Z71" s="8"/>
      <c r="AA71" s="7"/>
      <c r="AB71" s="7"/>
      <c r="AC71" s="7">
        <v>16.5</v>
      </c>
      <c r="AD71" s="8"/>
      <c r="AE71" s="7"/>
      <c r="AF71" s="7"/>
      <c r="AG71" s="7">
        <v>16.5</v>
      </c>
      <c r="AH71" s="7"/>
      <c r="AI71" s="7"/>
      <c r="AJ71" s="8"/>
      <c r="AK71" s="7">
        <v>16.5</v>
      </c>
      <c r="AL71" s="7"/>
      <c r="AM71" s="7"/>
      <c r="AN71" s="7"/>
      <c r="AO71" s="7">
        <v>16.5</v>
      </c>
    </row>
    <row r="72" spans="1:42" ht="14.25" customHeight="1" x14ac:dyDescent="0.3">
      <c r="A72" s="6" t="s">
        <v>109</v>
      </c>
      <c r="B72" s="7"/>
      <c r="C72" s="7">
        <v>9.9</v>
      </c>
      <c r="D72" s="7"/>
      <c r="E72" s="7">
        <v>9.9</v>
      </c>
      <c r="F72" s="7"/>
      <c r="G72" s="7">
        <v>9.9</v>
      </c>
      <c r="H72" s="7"/>
      <c r="I72" s="7">
        <v>9.9</v>
      </c>
      <c r="J72" s="7"/>
      <c r="K72" s="7">
        <v>9.9</v>
      </c>
      <c r="L72" s="7"/>
      <c r="M72" s="7">
        <v>9.9</v>
      </c>
      <c r="N72" s="7"/>
      <c r="O72" s="7">
        <v>9.9</v>
      </c>
      <c r="P72" s="7"/>
      <c r="Q72" s="7">
        <v>9.9</v>
      </c>
      <c r="R72" s="7"/>
      <c r="S72" s="7">
        <v>9.9</v>
      </c>
      <c r="T72" s="7"/>
      <c r="U72" s="7">
        <v>9.9</v>
      </c>
      <c r="V72" s="7"/>
      <c r="W72" s="7">
        <v>9.9</v>
      </c>
      <c r="X72" s="7"/>
      <c r="Y72" s="7">
        <v>9.9</v>
      </c>
      <c r="Z72" s="8"/>
      <c r="AA72" s="7">
        <v>9.9</v>
      </c>
      <c r="AB72" s="7"/>
      <c r="AC72" s="7">
        <v>9.9</v>
      </c>
      <c r="AD72" s="8"/>
      <c r="AE72" s="7">
        <v>9.9</v>
      </c>
      <c r="AF72" s="7"/>
      <c r="AG72" s="7">
        <v>9.9</v>
      </c>
      <c r="AH72" s="7"/>
      <c r="AI72" s="7">
        <v>9.9</v>
      </c>
      <c r="AJ72" s="8"/>
      <c r="AK72" s="7">
        <v>9.9</v>
      </c>
      <c r="AL72" s="7"/>
      <c r="AM72" s="7">
        <v>9.9</v>
      </c>
      <c r="AN72" s="7"/>
      <c r="AO72" s="7">
        <v>9.9</v>
      </c>
    </row>
    <row r="73" spans="1:42" ht="14.25" customHeight="1" x14ac:dyDescent="0.3">
      <c r="A73" s="6" t="s">
        <v>110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>
        <v>510</v>
      </c>
      <c r="AA73" s="7"/>
      <c r="AB73" s="7"/>
      <c r="AC73" s="7"/>
      <c r="AD73" s="8"/>
      <c r="AE73" s="7"/>
      <c r="AF73" s="7"/>
      <c r="AG73" s="7"/>
      <c r="AH73" s="7"/>
      <c r="AI73" s="7"/>
      <c r="AJ73" s="8"/>
      <c r="AK73" s="7"/>
      <c r="AL73" s="7"/>
      <c r="AM73" s="7"/>
      <c r="AN73" s="7"/>
      <c r="AO73" s="7"/>
    </row>
    <row r="74" spans="1:42" ht="14.25" customHeight="1" x14ac:dyDescent="0.3">
      <c r="A74" s="6" t="s">
        <v>111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  <c r="AA74" s="7"/>
      <c r="AB74" s="7"/>
      <c r="AC74" s="7"/>
      <c r="AD74" s="8">
        <v>270</v>
      </c>
      <c r="AE74" s="7"/>
      <c r="AF74" s="7"/>
      <c r="AG74" s="7"/>
      <c r="AH74" s="7"/>
      <c r="AI74" s="7"/>
      <c r="AJ74" s="8"/>
      <c r="AK74" s="7"/>
      <c r="AL74" s="7"/>
      <c r="AM74" s="7"/>
      <c r="AN74" s="7"/>
      <c r="AO74" s="7"/>
    </row>
    <row r="75" spans="1:42" ht="14.25" customHeight="1" x14ac:dyDescent="0.3">
      <c r="A75" s="6" t="s">
        <v>112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  <c r="AA75" s="7"/>
      <c r="AB75" s="7"/>
      <c r="AC75" s="7"/>
      <c r="AD75" s="8"/>
      <c r="AE75" s="7"/>
      <c r="AF75" s="7"/>
      <c r="AG75" s="7"/>
      <c r="AH75" s="7"/>
      <c r="AI75" s="7"/>
      <c r="AJ75" s="8">
        <v>650</v>
      </c>
      <c r="AK75" s="7"/>
      <c r="AL75" s="7"/>
      <c r="AM75" s="7"/>
      <c r="AN75" s="7"/>
      <c r="AO75" s="7"/>
    </row>
    <row r="76" spans="1:42" ht="14.25" customHeight="1" x14ac:dyDescent="0.3">
      <c r="A76" s="16" t="s">
        <v>113</v>
      </c>
      <c r="B76" s="17">
        <f t="shared" ref="B76:AO76" si="4">SUM(B68:B75)</f>
        <v>20.79</v>
      </c>
      <c r="C76" s="17">
        <f t="shared" si="4"/>
        <v>180.18</v>
      </c>
      <c r="D76" s="17">
        <f t="shared" si="4"/>
        <v>15.18</v>
      </c>
      <c r="E76" s="17">
        <f t="shared" si="4"/>
        <v>205.59</v>
      </c>
      <c r="F76" s="17">
        <f t="shared" si="4"/>
        <v>15.18</v>
      </c>
      <c r="G76" s="17">
        <f t="shared" si="4"/>
        <v>199.98000000000002</v>
      </c>
      <c r="H76" s="17">
        <f t="shared" si="4"/>
        <v>15.18</v>
      </c>
      <c r="I76" s="17">
        <f t="shared" si="4"/>
        <v>240.9</v>
      </c>
      <c r="J76" s="17">
        <f t="shared" si="4"/>
        <v>15.18</v>
      </c>
      <c r="K76" s="17">
        <f t="shared" si="4"/>
        <v>193.71</v>
      </c>
      <c r="L76" s="17">
        <f t="shared" si="4"/>
        <v>15.18</v>
      </c>
      <c r="M76" s="17">
        <f t="shared" si="4"/>
        <v>222.75</v>
      </c>
      <c r="N76" s="17">
        <f t="shared" si="4"/>
        <v>15.18</v>
      </c>
      <c r="O76" s="17">
        <f t="shared" si="4"/>
        <v>170.94</v>
      </c>
      <c r="P76" s="17">
        <f t="shared" si="4"/>
        <v>15.18</v>
      </c>
      <c r="Q76" s="17">
        <f t="shared" si="4"/>
        <v>206.91</v>
      </c>
      <c r="R76" s="17">
        <f t="shared" si="4"/>
        <v>15.18</v>
      </c>
      <c r="S76" s="17">
        <f t="shared" si="4"/>
        <v>203.94</v>
      </c>
      <c r="T76" s="17">
        <f t="shared" si="4"/>
        <v>15.18</v>
      </c>
      <c r="U76" s="17">
        <f t="shared" si="4"/>
        <v>349.14</v>
      </c>
      <c r="V76" s="17">
        <f t="shared" si="4"/>
        <v>15.18</v>
      </c>
      <c r="W76" s="17">
        <f t="shared" si="4"/>
        <v>180.18</v>
      </c>
      <c r="X76" s="17">
        <f t="shared" si="4"/>
        <v>15.18</v>
      </c>
      <c r="Y76" s="17">
        <f t="shared" si="4"/>
        <v>222.75</v>
      </c>
      <c r="Z76" s="17">
        <f t="shared" si="4"/>
        <v>525.17999999999995</v>
      </c>
      <c r="AA76" s="17">
        <f t="shared" si="4"/>
        <v>199.98000000000002</v>
      </c>
      <c r="AB76" s="17">
        <f t="shared" si="4"/>
        <v>15.18</v>
      </c>
      <c r="AC76" s="17">
        <f t="shared" si="4"/>
        <v>240.9</v>
      </c>
      <c r="AD76" s="17">
        <f t="shared" si="4"/>
        <v>285.18</v>
      </c>
      <c r="AE76" s="17">
        <f t="shared" si="4"/>
        <v>193.71</v>
      </c>
      <c r="AF76" s="17">
        <f t="shared" si="4"/>
        <v>15.18</v>
      </c>
      <c r="AG76" s="17">
        <f t="shared" si="4"/>
        <v>222.75</v>
      </c>
      <c r="AH76" s="17">
        <f t="shared" si="4"/>
        <v>15.18</v>
      </c>
      <c r="AI76" s="17">
        <f t="shared" si="4"/>
        <v>170.94</v>
      </c>
      <c r="AJ76" s="17">
        <f t="shared" si="4"/>
        <v>665.18</v>
      </c>
      <c r="AK76" s="17">
        <f t="shared" si="4"/>
        <v>206.91</v>
      </c>
      <c r="AL76" s="17">
        <f t="shared" si="4"/>
        <v>15.18</v>
      </c>
      <c r="AM76" s="17">
        <f t="shared" si="4"/>
        <v>203.94</v>
      </c>
      <c r="AN76" s="17">
        <f t="shared" si="4"/>
        <v>15.18</v>
      </c>
      <c r="AO76" s="17">
        <f t="shared" si="4"/>
        <v>349.14</v>
      </c>
      <c r="AP76" s="13">
        <f t="shared" ref="AP76:AP77" si="5">SUM(B76:AO76)</f>
        <v>6104.45</v>
      </c>
    </row>
    <row r="77" spans="1:42" ht="14.25" customHeight="1" x14ac:dyDescent="0.3">
      <c r="A77" s="18" t="s">
        <v>114</v>
      </c>
      <c r="B77" s="19">
        <f t="shared" ref="B77:AO77" si="6">+B55+B67+B76</f>
        <v>205.54</v>
      </c>
      <c r="C77" s="19">
        <f t="shared" si="6"/>
        <v>414.59000000000003</v>
      </c>
      <c r="D77" s="19">
        <f t="shared" si="6"/>
        <v>118.47999999999999</v>
      </c>
      <c r="E77" s="19">
        <f t="shared" si="6"/>
        <v>518.56000000000006</v>
      </c>
      <c r="F77" s="19">
        <f t="shared" si="6"/>
        <v>118.47999999999999</v>
      </c>
      <c r="G77" s="19">
        <f t="shared" si="6"/>
        <v>434.39</v>
      </c>
      <c r="H77" s="19">
        <f t="shared" si="6"/>
        <v>118.47999999999999</v>
      </c>
      <c r="I77" s="19">
        <f t="shared" si="6"/>
        <v>553.87</v>
      </c>
      <c r="J77" s="19">
        <f t="shared" si="6"/>
        <v>118.47999999999999</v>
      </c>
      <c r="K77" s="19">
        <f t="shared" si="6"/>
        <v>594.85</v>
      </c>
      <c r="L77" s="19">
        <f t="shared" si="6"/>
        <v>118.47999999999999</v>
      </c>
      <c r="M77" s="19">
        <f t="shared" si="6"/>
        <v>535.72</v>
      </c>
      <c r="N77" s="19">
        <f t="shared" si="6"/>
        <v>118.47999999999999</v>
      </c>
      <c r="O77" s="19">
        <f t="shared" si="6"/>
        <v>405.35</v>
      </c>
      <c r="P77" s="19">
        <f t="shared" si="6"/>
        <v>118.47999999999999</v>
      </c>
      <c r="Q77" s="19">
        <f t="shared" si="6"/>
        <v>599.75</v>
      </c>
      <c r="R77" s="19">
        <f t="shared" si="6"/>
        <v>118.47999999999999</v>
      </c>
      <c r="S77" s="19">
        <f t="shared" si="6"/>
        <v>438.35</v>
      </c>
      <c r="T77" s="19">
        <f t="shared" si="6"/>
        <v>118.47999999999999</v>
      </c>
      <c r="U77" s="19">
        <f t="shared" si="6"/>
        <v>1152.99</v>
      </c>
      <c r="V77" s="19">
        <f t="shared" si="6"/>
        <v>118.47999999999999</v>
      </c>
      <c r="W77" s="19">
        <f t="shared" si="6"/>
        <v>414.59000000000003</v>
      </c>
      <c r="X77" s="19">
        <f t="shared" si="6"/>
        <v>118.47999999999999</v>
      </c>
      <c r="Y77" s="19">
        <f t="shared" si="6"/>
        <v>535.72</v>
      </c>
      <c r="Z77" s="19">
        <f t="shared" si="6"/>
        <v>1038.69</v>
      </c>
      <c r="AA77" s="19">
        <f t="shared" si="6"/>
        <v>434.39</v>
      </c>
      <c r="AB77" s="19">
        <f t="shared" si="6"/>
        <v>118.47999999999999</v>
      </c>
      <c r="AC77" s="19">
        <f t="shared" si="6"/>
        <v>553.87</v>
      </c>
      <c r="AD77" s="19">
        <f t="shared" si="6"/>
        <v>1591.38</v>
      </c>
      <c r="AE77" s="19">
        <f t="shared" si="6"/>
        <v>566.62</v>
      </c>
      <c r="AF77" s="19">
        <f t="shared" si="6"/>
        <v>118.47999999999999</v>
      </c>
      <c r="AG77" s="19">
        <f t="shared" si="6"/>
        <v>535.72</v>
      </c>
      <c r="AH77" s="19">
        <f t="shared" si="6"/>
        <v>118.47999999999999</v>
      </c>
      <c r="AI77" s="19">
        <f t="shared" si="6"/>
        <v>405.35</v>
      </c>
      <c r="AJ77" s="19">
        <f t="shared" si="6"/>
        <v>1285.9699999999998</v>
      </c>
      <c r="AK77" s="19">
        <f t="shared" si="6"/>
        <v>599.75</v>
      </c>
      <c r="AL77" s="19">
        <f t="shared" si="6"/>
        <v>118.47999999999999</v>
      </c>
      <c r="AM77" s="19">
        <f t="shared" si="6"/>
        <v>438.35</v>
      </c>
      <c r="AN77" s="19">
        <f t="shared" si="6"/>
        <v>118.47999999999999</v>
      </c>
      <c r="AO77" s="19">
        <f t="shared" si="6"/>
        <v>1152.99</v>
      </c>
      <c r="AP77" s="13">
        <f t="shared" si="5"/>
        <v>17303.029999999995</v>
      </c>
    </row>
    <row r="78" spans="1:42" ht="14.25" customHeight="1" x14ac:dyDescent="0.3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1"/>
      <c r="AD78" s="22"/>
      <c r="AJ78" s="22"/>
    </row>
    <row r="79" spans="1:42" ht="14.25" customHeight="1" x14ac:dyDescent="0.3">
      <c r="A79" s="1"/>
      <c r="B79" s="23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1"/>
      <c r="AD79" s="22"/>
      <c r="AJ79" s="22"/>
    </row>
    <row r="80" spans="1:42" ht="14.25" customHeight="1" x14ac:dyDescent="0.3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1"/>
      <c r="AD80" s="22"/>
      <c r="AJ80" s="22"/>
    </row>
    <row r="81" spans="1:36" ht="14.25" customHeight="1" x14ac:dyDescent="0.3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1"/>
      <c r="AD81" s="22"/>
      <c r="AJ81" s="22"/>
    </row>
    <row r="82" spans="1:36" ht="14.25" customHeight="1" x14ac:dyDescent="0.3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1"/>
      <c r="AD82" s="22"/>
      <c r="AJ82" s="22"/>
    </row>
    <row r="83" spans="1:36" ht="14.25" customHeight="1" x14ac:dyDescent="0.3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1"/>
      <c r="AD83" s="22"/>
      <c r="AJ83" s="22"/>
    </row>
    <row r="84" spans="1:36" ht="14.25" customHeight="1" x14ac:dyDescent="0.3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1"/>
      <c r="AD84" s="22"/>
      <c r="AJ84" s="22"/>
    </row>
    <row r="85" spans="1:36" ht="14.25" customHeight="1" x14ac:dyDescent="0.3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1"/>
      <c r="AD85" s="22"/>
      <c r="AJ85" s="22"/>
    </row>
    <row r="86" spans="1:36" ht="14.25" customHeight="1" x14ac:dyDescent="0.3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1"/>
      <c r="AD86" s="22"/>
      <c r="AJ86" s="22"/>
    </row>
    <row r="87" spans="1:36" ht="14.25" customHeight="1" x14ac:dyDescent="0.3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1"/>
      <c r="AD87" s="22"/>
      <c r="AJ87" s="22"/>
    </row>
    <row r="88" spans="1:36" ht="14.25" customHeight="1" x14ac:dyDescent="0.3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1"/>
      <c r="AD88" s="22"/>
      <c r="AJ88" s="22"/>
    </row>
    <row r="89" spans="1:36" ht="14.25" customHeight="1" x14ac:dyDescent="0.3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1"/>
      <c r="AD89" s="22"/>
      <c r="AJ89" s="22"/>
    </row>
    <row r="90" spans="1:36" ht="14.25" customHeight="1" x14ac:dyDescent="0.3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1"/>
      <c r="AD90" s="22"/>
      <c r="AJ90" s="22"/>
    </row>
    <row r="91" spans="1:36" ht="14.25" customHeight="1" x14ac:dyDescent="0.3">
      <c r="A91" s="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1"/>
      <c r="AD91" s="22"/>
      <c r="AJ91" s="22"/>
    </row>
    <row r="92" spans="1:36" ht="14.25" customHeight="1" x14ac:dyDescent="0.3">
      <c r="A92" s="1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1"/>
      <c r="AD92" s="22"/>
      <c r="AJ92" s="22"/>
    </row>
    <row r="93" spans="1:36" ht="14.2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1"/>
      <c r="AD93" s="22"/>
      <c r="AJ93" s="22"/>
    </row>
    <row r="94" spans="1:36" ht="14.2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1"/>
      <c r="AD94" s="22"/>
      <c r="AJ94" s="22"/>
    </row>
    <row r="95" spans="1:36" ht="14.2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1"/>
      <c r="AD95" s="22"/>
      <c r="AJ95" s="22"/>
    </row>
    <row r="96" spans="1:36" ht="14.2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1"/>
      <c r="AD96" s="22"/>
      <c r="AJ96" s="22"/>
    </row>
    <row r="97" spans="1:36" ht="14.2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1"/>
      <c r="AD97" s="22"/>
      <c r="AJ97" s="22"/>
    </row>
    <row r="98" spans="1:36" ht="14.2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1"/>
      <c r="AD98" s="22"/>
      <c r="AJ98" s="22"/>
    </row>
    <row r="99" spans="1:36" ht="14.2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1"/>
      <c r="AD99" s="22"/>
      <c r="AJ99" s="22"/>
    </row>
    <row r="100" spans="1:36" ht="14.2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1"/>
      <c r="AD100" s="22"/>
      <c r="AJ100" s="22"/>
    </row>
    <row r="101" spans="1:36" ht="14.2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1"/>
      <c r="AD101" s="22"/>
      <c r="AJ101" s="22"/>
    </row>
    <row r="102" spans="1:36" ht="14.2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1"/>
      <c r="AD102" s="22"/>
      <c r="AJ102" s="22"/>
    </row>
    <row r="103" spans="1:36" ht="14.2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1"/>
      <c r="AD103" s="22"/>
      <c r="AJ103" s="22"/>
    </row>
    <row r="104" spans="1:36" ht="14.2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1"/>
      <c r="AD104" s="22"/>
      <c r="AJ104" s="22"/>
    </row>
    <row r="105" spans="1:36" ht="14.2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1"/>
      <c r="AD105" s="22"/>
      <c r="AJ105" s="22"/>
    </row>
    <row r="106" spans="1:36" ht="14.2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1"/>
      <c r="AD106" s="22"/>
      <c r="AJ106" s="22"/>
    </row>
    <row r="107" spans="1:36" ht="14.2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1"/>
      <c r="AD107" s="22"/>
      <c r="AJ107" s="22"/>
    </row>
    <row r="108" spans="1:36" ht="14.2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1"/>
      <c r="AD108" s="22"/>
      <c r="AJ108" s="22"/>
    </row>
    <row r="109" spans="1:36" ht="14.2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1"/>
      <c r="AD109" s="22"/>
      <c r="AJ109" s="22"/>
    </row>
    <row r="110" spans="1:36" ht="14.2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1"/>
      <c r="AD110" s="22"/>
      <c r="AJ110" s="22"/>
    </row>
    <row r="111" spans="1:36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1"/>
      <c r="AD111" s="22"/>
      <c r="AJ111" s="22"/>
    </row>
    <row r="112" spans="1:36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1"/>
      <c r="AD112" s="22"/>
      <c r="AJ112" s="22"/>
    </row>
    <row r="113" spans="1:36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1"/>
      <c r="AD113" s="22"/>
      <c r="AJ113" s="22"/>
    </row>
    <row r="114" spans="1:36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1"/>
      <c r="AD114" s="22"/>
      <c r="AJ114" s="22"/>
    </row>
    <row r="115" spans="1:36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1"/>
      <c r="AD115" s="22"/>
      <c r="AJ115" s="22"/>
    </row>
    <row r="116" spans="1:36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1"/>
      <c r="AD116" s="22"/>
      <c r="AJ116" s="22"/>
    </row>
    <row r="117" spans="1:36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1"/>
      <c r="AD117" s="22"/>
      <c r="AJ117" s="22"/>
    </row>
    <row r="118" spans="1:36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1"/>
      <c r="AD118" s="22"/>
      <c r="AJ118" s="22"/>
    </row>
    <row r="119" spans="1:36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1"/>
      <c r="AD119" s="22"/>
      <c r="AJ119" s="22"/>
    </row>
    <row r="120" spans="1:36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1"/>
      <c r="AD120" s="22"/>
      <c r="AJ120" s="22"/>
    </row>
    <row r="121" spans="1:36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1"/>
      <c r="AD121" s="22"/>
      <c r="AJ121" s="22"/>
    </row>
    <row r="122" spans="1:36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1"/>
      <c r="AD122" s="22"/>
      <c r="AJ122" s="22"/>
    </row>
    <row r="123" spans="1:36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1"/>
      <c r="AD123" s="22"/>
      <c r="AJ123" s="22"/>
    </row>
    <row r="124" spans="1:36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1"/>
      <c r="AD124" s="22"/>
      <c r="AJ124" s="22"/>
    </row>
    <row r="125" spans="1:36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1"/>
      <c r="AD125" s="22"/>
      <c r="AJ125" s="22"/>
    </row>
    <row r="126" spans="1:36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1"/>
      <c r="AD126" s="22"/>
      <c r="AJ126" s="22"/>
    </row>
    <row r="127" spans="1:36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1"/>
      <c r="AD127" s="22"/>
      <c r="AJ127" s="22"/>
    </row>
    <row r="128" spans="1:36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1"/>
      <c r="AD128" s="22"/>
      <c r="AJ128" s="22"/>
    </row>
    <row r="129" spans="1:36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1"/>
      <c r="AD129" s="22"/>
      <c r="AJ129" s="22"/>
    </row>
    <row r="130" spans="1:36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1"/>
      <c r="AD130" s="22"/>
      <c r="AJ130" s="22"/>
    </row>
    <row r="131" spans="1:36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1"/>
      <c r="AD131" s="22"/>
      <c r="AJ131" s="22"/>
    </row>
    <row r="132" spans="1:36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1"/>
      <c r="AD132" s="22"/>
      <c r="AJ132" s="22"/>
    </row>
    <row r="133" spans="1:36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1"/>
      <c r="AD133" s="22"/>
      <c r="AJ133" s="22"/>
    </row>
    <row r="134" spans="1:36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1"/>
      <c r="AD134" s="22"/>
      <c r="AJ134" s="22"/>
    </row>
    <row r="135" spans="1:36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1"/>
      <c r="AD135" s="22"/>
      <c r="AJ135" s="22"/>
    </row>
    <row r="136" spans="1:36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1"/>
      <c r="AD136" s="22"/>
      <c r="AJ136" s="22"/>
    </row>
    <row r="137" spans="1:36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1"/>
      <c r="AD137" s="22"/>
      <c r="AJ137" s="22"/>
    </row>
    <row r="138" spans="1:36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1"/>
      <c r="AD138" s="22"/>
      <c r="AJ138" s="22"/>
    </row>
    <row r="139" spans="1:36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1"/>
      <c r="AD139" s="22"/>
      <c r="AJ139" s="22"/>
    </row>
    <row r="140" spans="1:36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1"/>
      <c r="AD140" s="22"/>
      <c r="AJ140" s="22"/>
    </row>
    <row r="141" spans="1:36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1"/>
      <c r="AD141" s="22"/>
      <c r="AJ141" s="22"/>
    </row>
    <row r="142" spans="1:36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1"/>
      <c r="AD142" s="22"/>
      <c r="AJ142" s="22"/>
    </row>
    <row r="143" spans="1:36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1"/>
      <c r="AD143" s="22"/>
      <c r="AJ143" s="22"/>
    </row>
    <row r="144" spans="1:36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1"/>
      <c r="AD144" s="22"/>
      <c r="AJ144" s="22"/>
    </row>
    <row r="145" spans="1:36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1"/>
      <c r="AD145" s="22"/>
      <c r="AJ145" s="22"/>
    </row>
    <row r="146" spans="1:36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1"/>
      <c r="AD146" s="22"/>
      <c r="AJ146" s="22"/>
    </row>
    <row r="147" spans="1:36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1"/>
      <c r="AD147" s="22"/>
      <c r="AJ147" s="22"/>
    </row>
    <row r="148" spans="1:36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1"/>
      <c r="AD148" s="22"/>
      <c r="AJ148" s="22"/>
    </row>
    <row r="149" spans="1:36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1"/>
      <c r="AD149" s="22"/>
      <c r="AJ149" s="22"/>
    </row>
    <row r="150" spans="1:36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1"/>
      <c r="AD150" s="22"/>
      <c r="AJ150" s="22"/>
    </row>
    <row r="151" spans="1:36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1"/>
      <c r="AD151" s="22"/>
      <c r="AJ151" s="22"/>
    </row>
    <row r="152" spans="1:36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1"/>
      <c r="AD152" s="22"/>
      <c r="AJ152" s="22"/>
    </row>
    <row r="153" spans="1:36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1"/>
      <c r="AD153" s="22"/>
      <c r="AJ153" s="22"/>
    </row>
    <row r="154" spans="1:36" ht="14.2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1"/>
      <c r="AD154" s="22"/>
      <c r="AJ154" s="22"/>
    </row>
    <row r="155" spans="1:36" ht="14.2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1"/>
      <c r="AD155" s="22"/>
      <c r="AJ155" s="22"/>
    </row>
    <row r="156" spans="1:36" ht="14.2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1"/>
      <c r="AD156" s="22"/>
      <c r="AJ156" s="22"/>
    </row>
    <row r="157" spans="1:36" ht="14.2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1"/>
      <c r="AD157" s="22"/>
      <c r="AJ157" s="22"/>
    </row>
    <row r="158" spans="1:36" ht="14.2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1"/>
      <c r="AD158" s="22"/>
      <c r="AJ158" s="22"/>
    </row>
    <row r="159" spans="1:36" ht="14.2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1"/>
      <c r="AD159" s="22"/>
      <c r="AJ159" s="22"/>
    </row>
    <row r="160" spans="1:36" ht="14.2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1"/>
      <c r="AD160" s="22"/>
      <c r="AJ160" s="22"/>
    </row>
    <row r="161" spans="1:36" ht="14.2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1"/>
      <c r="AD161" s="22"/>
      <c r="AJ161" s="22"/>
    </row>
    <row r="162" spans="1:36" ht="14.2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1"/>
      <c r="AD162" s="22"/>
      <c r="AJ162" s="22"/>
    </row>
    <row r="163" spans="1:36" ht="14.2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1"/>
      <c r="AD163" s="22"/>
      <c r="AJ163" s="22"/>
    </row>
    <row r="164" spans="1:36" ht="14.2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1"/>
      <c r="AD164" s="22"/>
      <c r="AJ164" s="22"/>
    </row>
    <row r="165" spans="1:36" ht="14.2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1"/>
      <c r="AD165" s="22"/>
      <c r="AJ165" s="22"/>
    </row>
    <row r="166" spans="1:36" ht="14.2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1"/>
      <c r="AD166" s="22"/>
      <c r="AJ166" s="22"/>
    </row>
    <row r="167" spans="1:36" ht="14.2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1"/>
      <c r="AD167" s="22"/>
      <c r="AJ167" s="22"/>
    </row>
    <row r="168" spans="1:36" ht="14.2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1"/>
      <c r="AD168" s="22"/>
      <c r="AJ168" s="22"/>
    </row>
    <row r="169" spans="1:36" ht="14.2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1"/>
      <c r="AD169" s="22"/>
      <c r="AJ169" s="22"/>
    </row>
    <row r="170" spans="1:36" ht="14.2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1"/>
      <c r="AD170" s="22"/>
      <c r="AJ170" s="22"/>
    </row>
    <row r="171" spans="1:36" ht="14.2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1"/>
      <c r="AD171" s="22"/>
      <c r="AJ171" s="22"/>
    </row>
    <row r="172" spans="1:36" ht="14.2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1"/>
      <c r="AD172" s="22"/>
      <c r="AJ172" s="22"/>
    </row>
    <row r="173" spans="1:36" ht="14.2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1"/>
      <c r="AD173" s="22"/>
      <c r="AJ173" s="22"/>
    </row>
    <row r="174" spans="1:36" ht="14.2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1"/>
      <c r="AD174" s="22"/>
      <c r="AJ174" s="22"/>
    </row>
    <row r="175" spans="1:36" ht="14.2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1"/>
      <c r="AD175" s="22"/>
      <c r="AJ175" s="22"/>
    </row>
    <row r="176" spans="1:36" ht="14.2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1"/>
      <c r="AD176" s="22"/>
      <c r="AJ176" s="22"/>
    </row>
    <row r="177" spans="1:36" ht="14.2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1"/>
      <c r="AD177" s="22"/>
      <c r="AJ177" s="22"/>
    </row>
    <row r="178" spans="1:36" ht="14.2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1"/>
      <c r="AD178" s="22"/>
      <c r="AJ178" s="22"/>
    </row>
    <row r="179" spans="1:36" ht="14.2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1"/>
      <c r="AD179" s="22"/>
      <c r="AJ179" s="22"/>
    </row>
    <row r="180" spans="1:36" ht="14.2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1"/>
      <c r="AD180" s="22"/>
      <c r="AJ180" s="22"/>
    </row>
    <row r="181" spans="1:36" ht="14.2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1"/>
      <c r="AD181" s="22"/>
      <c r="AJ181" s="22"/>
    </row>
    <row r="182" spans="1:36" ht="14.2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1"/>
      <c r="AD182" s="22"/>
      <c r="AJ182" s="22"/>
    </row>
    <row r="183" spans="1:36" ht="14.2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1"/>
      <c r="AD183" s="22"/>
      <c r="AJ183" s="22"/>
    </row>
    <row r="184" spans="1:36" ht="14.2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1"/>
      <c r="AD184" s="22"/>
      <c r="AJ184" s="22"/>
    </row>
    <row r="185" spans="1:36" ht="14.2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1"/>
      <c r="AD185" s="22"/>
      <c r="AJ185" s="22"/>
    </row>
    <row r="186" spans="1:36" ht="14.2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1"/>
      <c r="AD186" s="22"/>
      <c r="AJ186" s="22"/>
    </row>
    <row r="187" spans="1:36" ht="14.2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1"/>
      <c r="AD187" s="22"/>
      <c r="AJ187" s="22"/>
    </row>
    <row r="188" spans="1:36" ht="14.2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1"/>
      <c r="AD188" s="22"/>
      <c r="AJ188" s="22"/>
    </row>
    <row r="189" spans="1:36" ht="14.2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1"/>
      <c r="AD189" s="22"/>
      <c r="AJ189" s="22"/>
    </row>
    <row r="190" spans="1:36" ht="14.2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1"/>
      <c r="AD190" s="22"/>
      <c r="AJ190" s="22"/>
    </row>
    <row r="191" spans="1:36" ht="14.2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1"/>
      <c r="AD191" s="22"/>
      <c r="AJ191" s="22"/>
    </row>
    <row r="192" spans="1:36" ht="14.2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1"/>
      <c r="AD192" s="22"/>
      <c r="AJ192" s="22"/>
    </row>
    <row r="193" spans="1:36" ht="14.2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1"/>
      <c r="AD193" s="22"/>
      <c r="AJ193" s="22"/>
    </row>
    <row r="194" spans="1:36" ht="14.2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1"/>
      <c r="AD194" s="22"/>
      <c r="AJ194" s="22"/>
    </row>
    <row r="195" spans="1:36" ht="14.2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1"/>
      <c r="AD195" s="22"/>
      <c r="AJ195" s="22"/>
    </row>
    <row r="196" spans="1:36" ht="14.2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1"/>
      <c r="AD196" s="22"/>
      <c r="AJ196" s="22"/>
    </row>
    <row r="197" spans="1:36" ht="14.2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1"/>
      <c r="AD197" s="22"/>
      <c r="AJ197" s="22"/>
    </row>
    <row r="198" spans="1:36" ht="14.2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1"/>
      <c r="AD198" s="22"/>
      <c r="AJ198" s="22"/>
    </row>
    <row r="199" spans="1:36" ht="14.2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1"/>
      <c r="AD199" s="22"/>
      <c r="AJ199" s="22"/>
    </row>
    <row r="200" spans="1:36" ht="14.2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1"/>
      <c r="AD200" s="22"/>
      <c r="AJ200" s="22"/>
    </row>
    <row r="201" spans="1:36" ht="14.2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1"/>
      <c r="AD201" s="22"/>
      <c r="AJ201" s="22"/>
    </row>
    <row r="202" spans="1:36" ht="14.2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1"/>
      <c r="AD202" s="22"/>
      <c r="AJ202" s="22"/>
    </row>
    <row r="203" spans="1:36" ht="14.2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1"/>
      <c r="AD203" s="22"/>
      <c r="AJ203" s="22"/>
    </row>
    <row r="204" spans="1:36" ht="14.2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1"/>
      <c r="AD204" s="22"/>
      <c r="AJ204" s="22"/>
    </row>
    <row r="205" spans="1:36" ht="14.2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1"/>
      <c r="AD205" s="22"/>
      <c r="AJ205" s="22"/>
    </row>
    <row r="206" spans="1:36" ht="14.2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1"/>
      <c r="AD206" s="22"/>
      <c r="AJ206" s="22"/>
    </row>
    <row r="207" spans="1:36" ht="14.2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1"/>
      <c r="AD207" s="22"/>
      <c r="AJ207" s="22"/>
    </row>
    <row r="208" spans="1:36" ht="14.2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1"/>
      <c r="AD208" s="22"/>
      <c r="AJ208" s="22"/>
    </row>
    <row r="209" spans="1:36" ht="14.2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1"/>
      <c r="AD209" s="22"/>
      <c r="AJ209" s="22"/>
    </row>
    <row r="210" spans="1:36" ht="14.2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1"/>
      <c r="AD210" s="22"/>
      <c r="AJ210" s="22"/>
    </row>
    <row r="211" spans="1:36" ht="14.2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1"/>
      <c r="AD211" s="22"/>
      <c r="AJ211" s="22"/>
    </row>
    <row r="212" spans="1:36" ht="14.2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1"/>
      <c r="AD212" s="22"/>
      <c r="AJ212" s="22"/>
    </row>
    <row r="213" spans="1:36" ht="14.2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1"/>
      <c r="AD213" s="22"/>
      <c r="AJ213" s="22"/>
    </row>
    <row r="214" spans="1:36" ht="14.2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1"/>
      <c r="AD214" s="22"/>
      <c r="AJ214" s="22"/>
    </row>
    <row r="215" spans="1:36" ht="14.2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1"/>
      <c r="AD215" s="22"/>
      <c r="AJ215" s="22"/>
    </row>
    <row r="216" spans="1:36" ht="14.2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1"/>
      <c r="AD216" s="22"/>
      <c r="AJ216" s="22"/>
    </row>
    <row r="217" spans="1:36" ht="14.2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1"/>
      <c r="AD217" s="22"/>
      <c r="AJ217" s="22"/>
    </row>
    <row r="218" spans="1:36" ht="14.2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1"/>
      <c r="AD218" s="22"/>
      <c r="AJ218" s="22"/>
    </row>
    <row r="219" spans="1:36" ht="14.2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1"/>
      <c r="AD219" s="22"/>
      <c r="AJ219" s="22"/>
    </row>
    <row r="220" spans="1:36" ht="14.2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1"/>
      <c r="AD220" s="22"/>
      <c r="AJ220" s="22"/>
    </row>
    <row r="221" spans="1:36" ht="14.2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1"/>
      <c r="AD221" s="22"/>
      <c r="AJ221" s="22"/>
    </row>
    <row r="222" spans="1:36" ht="14.2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1"/>
      <c r="AD222" s="22"/>
      <c r="AJ222" s="22"/>
    </row>
    <row r="223" spans="1:36" ht="14.2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1"/>
      <c r="AD223" s="22"/>
      <c r="AJ223" s="22"/>
    </row>
    <row r="224" spans="1:36" ht="14.2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1"/>
      <c r="AD224" s="22"/>
      <c r="AJ224" s="22"/>
    </row>
    <row r="225" spans="1:36" ht="14.2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1"/>
      <c r="AD225" s="22"/>
      <c r="AJ225" s="22"/>
    </row>
    <row r="226" spans="1:36" ht="14.2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1"/>
      <c r="AD226" s="22"/>
      <c r="AJ226" s="22"/>
    </row>
    <row r="227" spans="1:36" ht="14.2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1"/>
      <c r="AD227" s="22"/>
      <c r="AJ227" s="22"/>
    </row>
    <row r="228" spans="1:36" ht="14.2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1"/>
      <c r="AD228" s="22"/>
      <c r="AJ228" s="22"/>
    </row>
    <row r="229" spans="1:36" ht="14.2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1"/>
      <c r="AD229" s="22"/>
      <c r="AJ229" s="22"/>
    </row>
    <row r="230" spans="1:36" ht="14.2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1"/>
      <c r="AD230" s="22"/>
      <c r="AJ230" s="22"/>
    </row>
    <row r="231" spans="1:36" ht="14.2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1"/>
      <c r="AD231" s="22"/>
      <c r="AJ231" s="22"/>
    </row>
    <row r="232" spans="1:36" ht="14.2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1"/>
      <c r="AD232" s="22"/>
      <c r="AJ232" s="22"/>
    </row>
    <row r="233" spans="1:36" ht="14.2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1"/>
      <c r="AD233" s="22"/>
      <c r="AJ233" s="22"/>
    </row>
    <row r="234" spans="1:36" ht="14.2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1"/>
      <c r="AD234" s="22"/>
      <c r="AJ234" s="22"/>
    </row>
    <row r="235" spans="1:36" ht="14.2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1"/>
      <c r="AD235" s="22"/>
      <c r="AJ235" s="22"/>
    </row>
    <row r="236" spans="1:36" ht="14.2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1"/>
      <c r="AD236" s="22"/>
      <c r="AJ236" s="22"/>
    </row>
    <row r="237" spans="1:36" ht="14.2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1"/>
      <c r="AD237" s="22"/>
      <c r="AJ237" s="22"/>
    </row>
    <row r="238" spans="1:36" ht="14.2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1"/>
      <c r="AD238" s="22"/>
      <c r="AJ238" s="22"/>
    </row>
    <row r="239" spans="1:36" ht="14.2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1"/>
      <c r="AD239" s="22"/>
      <c r="AJ239" s="22"/>
    </row>
    <row r="240" spans="1:36" ht="14.2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1"/>
      <c r="AD240" s="22"/>
      <c r="AJ240" s="22"/>
    </row>
    <row r="241" spans="1:36" ht="14.2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1"/>
      <c r="AD241" s="22"/>
      <c r="AJ241" s="22"/>
    </row>
    <row r="242" spans="1:36" ht="14.2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1"/>
      <c r="AD242" s="22"/>
      <c r="AJ242" s="22"/>
    </row>
    <row r="243" spans="1:36" ht="14.2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1"/>
      <c r="AD243" s="22"/>
      <c r="AJ243" s="22"/>
    </row>
    <row r="244" spans="1:36" ht="14.2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1"/>
      <c r="AD244" s="22"/>
      <c r="AJ244" s="22"/>
    </row>
    <row r="245" spans="1:36" ht="14.2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1"/>
      <c r="AD245" s="22"/>
      <c r="AJ245" s="22"/>
    </row>
    <row r="246" spans="1:36" ht="14.2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1"/>
      <c r="AD246" s="22"/>
      <c r="AJ246" s="22"/>
    </row>
    <row r="247" spans="1:36" ht="14.2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1"/>
      <c r="AD247" s="22"/>
      <c r="AJ247" s="22"/>
    </row>
    <row r="248" spans="1:36" ht="14.2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1"/>
      <c r="AD248" s="22"/>
      <c r="AJ248" s="22"/>
    </row>
    <row r="249" spans="1:36" ht="14.2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1"/>
      <c r="AD249" s="22"/>
      <c r="AJ249" s="22"/>
    </row>
    <row r="250" spans="1:36" ht="14.2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1"/>
      <c r="AD250" s="22"/>
      <c r="AJ250" s="22"/>
    </row>
    <row r="251" spans="1:36" ht="14.2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1"/>
      <c r="AD251" s="22"/>
      <c r="AJ251" s="22"/>
    </row>
    <row r="252" spans="1:36" ht="14.2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1"/>
      <c r="AD252" s="22"/>
      <c r="AJ252" s="22"/>
    </row>
    <row r="253" spans="1:36" ht="14.2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1"/>
      <c r="AD253" s="22"/>
      <c r="AJ253" s="22"/>
    </row>
    <row r="254" spans="1:36" ht="14.2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1"/>
      <c r="AD254" s="22"/>
      <c r="AJ254" s="22"/>
    </row>
    <row r="255" spans="1:36" ht="14.2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1"/>
      <c r="AD255" s="22"/>
      <c r="AJ255" s="22"/>
    </row>
    <row r="256" spans="1:36" ht="14.2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1"/>
      <c r="AD256" s="22"/>
      <c r="AJ256" s="22"/>
    </row>
    <row r="257" spans="1:36" ht="14.2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1"/>
      <c r="AD257" s="22"/>
      <c r="AJ257" s="22"/>
    </row>
    <row r="258" spans="1:36" ht="14.2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1"/>
      <c r="AD258" s="22"/>
      <c r="AJ258" s="22"/>
    </row>
    <row r="259" spans="1:36" ht="14.2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1"/>
      <c r="AD259" s="22"/>
      <c r="AJ259" s="22"/>
    </row>
    <row r="260" spans="1:36" ht="14.2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1"/>
      <c r="AD260" s="22"/>
      <c r="AJ260" s="22"/>
    </row>
    <row r="261" spans="1:36" ht="14.2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1"/>
      <c r="AD261" s="22"/>
      <c r="AJ261" s="22"/>
    </row>
    <row r="262" spans="1:36" ht="14.2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1"/>
      <c r="AD262" s="22"/>
      <c r="AJ262" s="22"/>
    </row>
    <row r="263" spans="1:36" ht="14.2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1"/>
      <c r="AD263" s="22"/>
      <c r="AJ263" s="22"/>
    </row>
    <row r="264" spans="1:36" ht="14.2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1"/>
      <c r="AD264" s="22"/>
      <c r="AJ264" s="22"/>
    </row>
    <row r="265" spans="1:36" ht="14.2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1"/>
      <c r="AD265" s="22"/>
      <c r="AJ265" s="22"/>
    </row>
    <row r="266" spans="1:36" ht="14.2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1"/>
      <c r="AD266" s="22"/>
      <c r="AJ266" s="22"/>
    </row>
    <row r="267" spans="1:36" ht="14.2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1"/>
      <c r="AD267" s="22"/>
      <c r="AJ267" s="22"/>
    </row>
    <row r="268" spans="1:36" ht="14.2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1"/>
      <c r="AD268" s="22"/>
      <c r="AJ268" s="22"/>
    </row>
    <row r="269" spans="1:36" ht="14.2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1"/>
      <c r="AD269" s="22"/>
      <c r="AJ269" s="22"/>
    </row>
    <row r="270" spans="1:36" ht="14.2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1"/>
      <c r="AD270" s="22"/>
      <c r="AJ270" s="22"/>
    </row>
    <row r="271" spans="1:36" ht="14.2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1"/>
      <c r="AD271" s="22"/>
      <c r="AJ271" s="22"/>
    </row>
    <row r="272" spans="1:36" ht="14.2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1"/>
      <c r="AD272" s="22"/>
      <c r="AJ272" s="22"/>
    </row>
    <row r="273" spans="1:36" ht="14.2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1"/>
      <c r="AD273" s="22"/>
      <c r="AJ273" s="22"/>
    </row>
    <row r="274" spans="1:36" ht="14.2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1"/>
      <c r="AD274" s="22"/>
      <c r="AJ274" s="22"/>
    </row>
    <row r="275" spans="1:36" ht="14.2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1"/>
      <c r="AD275" s="22"/>
      <c r="AJ275" s="22"/>
    </row>
    <row r="276" spans="1:36" ht="14.2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1"/>
      <c r="AD276" s="22"/>
      <c r="AJ276" s="22"/>
    </row>
    <row r="277" spans="1:36" ht="14.2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1"/>
      <c r="AD277" s="22"/>
      <c r="AJ277" s="22"/>
    </row>
    <row r="278" spans="1:36" ht="14.25" customHeight="1" x14ac:dyDescent="0.3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1"/>
      <c r="AD278" s="22"/>
      <c r="AJ278" s="22"/>
    </row>
    <row r="279" spans="1:36" ht="14.25" customHeight="1" x14ac:dyDescent="0.3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1"/>
      <c r="AD279" s="22"/>
      <c r="AJ279" s="22"/>
    </row>
    <row r="280" spans="1:36" ht="14.25" customHeight="1" x14ac:dyDescent="0.3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1"/>
      <c r="AD280" s="22"/>
      <c r="AJ280" s="22"/>
    </row>
    <row r="281" spans="1:36" ht="14.25" customHeight="1" x14ac:dyDescent="0.3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1"/>
      <c r="AD281" s="22"/>
      <c r="AJ281" s="22"/>
    </row>
    <row r="282" spans="1:36" ht="14.25" customHeight="1" x14ac:dyDescent="0.3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1"/>
      <c r="AD282" s="22"/>
      <c r="AJ282" s="22"/>
    </row>
    <row r="283" spans="1:36" ht="14.25" customHeight="1" x14ac:dyDescent="0.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1"/>
      <c r="AD283" s="22"/>
      <c r="AJ283" s="22"/>
    </row>
    <row r="284" spans="1:36" ht="14.25" customHeight="1" x14ac:dyDescent="0.3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1"/>
      <c r="AD284" s="22"/>
      <c r="AJ284" s="22"/>
    </row>
    <row r="285" spans="1:36" ht="14.25" customHeight="1" x14ac:dyDescent="0.3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1"/>
      <c r="AD285" s="22"/>
      <c r="AJ285" s="22"/>
    </row>
    <row r="286" spans="1:36" ht="14.25" customHeight="1" x14ac:dyDescent="0.3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1"/>
      <c r="AD286" s="22"/>
      <c r="AJ286" s="22"/>
    </row>
    <row r="287" spans="1:36" ht="14.25" customHeight="1" x14ac:dyDescent="0.3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1"/>
      <c r="AD287" s="22"/>
      <c r="AJ287" s="22"/>
    </row>
    <row r="288" spans="1:36" ht="14.25" customHeight="1" x14ac:dyDescent="0.3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1"/>
      <c r="AD288" s="22"/>
      <c r="AJ288" s="22"/>
    </row>
    <row r="289" spans="1:36" ht="14.25" customHeight="1" x14ac:dyDescent="0.3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1"/>
      <c r="AD289" s="22"/>
      <c r="AJ289" s="22"/>
    </row>
    <row r="290" spans="1:36" ht="14.25" customHeight="1" x14ac:dyDescent="0.3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1"/>
      <c r="AD290" s="22"/>
      <c r="AJ290" s="22"/>
    </row>
    <row r="291" spans="1:36" ht="14.25" customHeight="1" x14ac:dyDescent="0.3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1"/>
      <c r="AD291" s="22"/>
      <c r="AJ291" s="22"/>
    </row>
    <row r="292" spans="1:36" ht="14.25" customHeight="1" x14ac:dyDescent="0.3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1"/>
      <c r="AD292" s="22"/>
      <c r="AJ292" s="22"/>
    </row>
    <row r="293" spans="1:36" ht="14.25" customHeight="1" x14ac:dyDescent="0.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1"/>
      <c r="AD293" s="22"/>
      <c r="AJ293" s="22"/>
    </row>
    <row r="294" spans="1:36" ht="14.25" customHeight="1" x14ac:dyDescent="0.3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1"/>
      <c r="AD294" s="22"/>
      <c r="AJ294" s="22"/>
    </row>
    <row r="295" spans="1:36" ht="14.25" customHeight="1" x14ac:dyDescent="0.3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1"/>
      <c r="AD295" s="22"/>
      <c r="AJ295" s="22"/>
    </row>
    <row r="296" spans="1:36" ht="14.25" customHeight="1" x14ac:dyDescent="0.3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1"/>
      <c r="AD296" s="22"/>
      <c r="AJ296" s="22"/>
    </row>
    <row r="297" spans="1:36" ht="14.25" customHeight="1" x14ac:dyDescent="0.3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1"/>
      <c r="AD297" s="22"/>
      <c r="AJ297" s="22"/>
    </row>
    <row r="298" spans="1:36" ht="14.25" customHeight="1" x14ac:dyDescent="0.3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1"/>
      <c r="AD298" s="22"/>
      <c r="AJ298" s="22"/>
    </row>
    <row r="299" spans="1:36" ht="14.25" customHeight="1" x14ac:dyDescent="0.3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1"/>
      <c r="AD299" s="22"/>
      <c r="AJ299" s="22"/>
    </row>
    <row r="300" spans="1:36" ht="14.25" customHeight="1" x14ac:dyDescent="0.3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1"/>
      <c r="AD300" s="22"/>
      <c r="AJ300" s="22"/>
    </row>
    <row r="301" spans="1:36" ht="14.25" customHeight="1" x14ac:dyDescent="0.3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1"/>
      <c r="AD301" s="22"/>
      <c r="AJ301" s="22"/>
    </row>
    <row r="302" spans="1:36" ht="14.25" customHeight="1" x14ac:dyDescent="0.3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1"/>
      <c r="AD302" s="22"/>
      <c r="AJ302" s="22"/>
    </row>
    <row r="303" spans="1:36" ht="14.25" customHeight="1" x14ac:dyDescent="0.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1"/>
      <c r="AD303" s="22"/>
      <c r="AJ303" s="22"/>
    </row>
    <row r="304" spans="1:36" ht="14.25" customHeight="1" x14ac:dyDescent="0.3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1"/>
      <c r="AD304" s="22"/>
      <c r="AJ304" s="22"/>
    </row>
    <row r="305" spans="1:36" ht="14.25" customHeight="1" x14ac:dyDescent="0.3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1"/>
      <c r="AD305" s="22"/>
      <c r="AJ305" s="22"/>
    </row>
    <row r="306" spans="1:36" ht="14.25" customHeight="1" x14ac:dyDescent="0.3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1"/>
      <c r="AD306" s="22"/>
      <c r="AJ306" s="22"/>
    </row>
    <row r="307" spans="1:36" ht="14.25" customHeight="1" x14ac:dyDescent="0.3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1"/>
      <c r="AD307" s="22"/>
      <c r="AJ307" s="22"/>
    </row>
    <row r="308" spans="1:36" ht="14.25" customHeight="1" x14ac:dyDescent="0.3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1"/>
      <c r="AD308" s="22"/>
      <c r="AJ308" s="22"/>
    </row>
    <row r="309" spans="1:36" ht="14.25" customHeight="1" x14ac:dyDescent="0.3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1"/>
      <c r="AD309" s="22"/>
      <c r="AJ309" s="22"/>
    </row>
    <row r="310" spans="1:36" ht="14.25" customHeight="1" x14ac:dyDescent="0.3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1"/>
      <c r="AD310" s="22"/>
      <c r="AJ310" s="22"/>
    </row>
    <row r="311" spans="1:36" ht="14.25" customHeight="1" x14ac:dyDescent="0.3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1"/>
      <c r="AD311" s="22"/>
      <c r="AJ311" s="22"/>
    </row>
    <row r="312" spans="1:36" ht="14.25" customHeight="1" x14ac:dyDescent="0.3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1"/>
      <c r="AD312" s="22"/>
      <c r="AJ312" s="22"/>
    </row>
    <row r="313" spans="1:36" ht="14.25" customHeight="1" x14ac:dyDescent="0.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1"/>
      <c r="AD313" s="22"/>
      <c r="AJ313" s="22"/>
    </row>
    <row r="314" spans="1:36" ht="14.25" customHeight="1" x14ac:dyDescent="0.3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1"/>
      <c r="AD314" s="22"/>
      <c r="AJ314" s="22"/>
    </row>
    <row r="315" spans="1:36" ht="14.25" customHeight="1" x14ac:dyDescent="0.3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1"/>
      <c r="AD315" s="22"/>
      <c r="AJ315" s="22"/>
    </row>
    <row r="316" spans="1:36" ht="14.25" customHeight="1" x14ac:dyDescent="0.3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1"/>
      <c r="AD316" s="22"/>
      <c r="AJ316" s="22"/>
    </row>
    <row r="317" spans="1:36" ht="14.25" customHeight="1" x14ac:dyDescent="0.3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1"/>
      <c r="AD317" s="22"/>
      <c r="AJ317" s="22"/>
    </row>
    <row r="318" spans="1:36" ht="14.25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1"/>
      <c r="AD318" s="22"/>
      <c r="AJ318" s="22"/>
    </row>
    <row r="319" spans="1:36" ht="14.25" customHeight="1" x14ac:dyDescent="0.3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1"/>
      <c r="AD319" s="22"/>
      <c r="AJ319" s="22"/>
    </row>
    <row r="320" spans="1:36" ht="14.25" customHeight="1" x14ac:dyDescent="0.3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1"/>
      <c r="AD320" s="22"/>
      <c r="AJ320" s="22"/>
    </row>
    <row r="321" spans="1:36" ht="14.25" customHeight="1" x14ac:dyDescent="0.3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1"/>
      <c r="AD321" s="22"/>
      <c r="AJ321" s="22"/>
    </row>
    <row r="322" spans="1:36" ht="14.25" customHeight="1" x14ac:dyDescent="0.3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1"/>
      <c r="AD322" s="22"/>
      <c r="AJ322" s="22"/>
    </row>
    <row r="323" spans="1:36" ht="14.25" customHeight="1" x14ac:dyDescent="0.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1"/>
      <c r="AD323" s="22"/>
      <c r="AJ323" s="22"/>
    </row>
    <row r="324" spans="1:36" ht="14.25" customHeight="1" x14ac:dyDescent="0.3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1"/>
      <c r="AD324" s="22"/>
      <c r="AJ324" s="22"/>
    </row>
    <row r="325" spans="1:36" ht="14.25" customHeight="1" x14ac:dyDescent="0.3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1"/>
      <c r="AD325" s="22"/>
      <c r="AJ325" s="22"/>
    </row>
    <row r="326" spans="1:36" ht="14.25" customHeight="1" x14ac:dyDescent="0.3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1"/>
      <c r="AD326" s="22"/>
      <c r="AJ326" s="22"/>
    </row>
    <row r="327" spans="1:36" ht="14.25" customHeight="1" x14ac:dyDescent="0.3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1"/>
      <c r="AD327" s="22"/>
      <c r="AJ327" s="22"/>
    </row>
    <row r="328" spans="1:36" ht="14.25" customHeight="1" x14ac:dyDescent="0.3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1"/>
      <c r="AD328" s="22"/>
      <c r="AJ328" s="22"/>
    </row>
    <row r="329" spans="1:36" ht="14.25" customHeight="1" x14ac:dyDescent="0.3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1"/>
      <c r="AD329" s="22"/>
      <c r="AJ329" s="22"/>
    </row>
    <row r="330" spans="1:36" ht="14.25" customHeight="1" x14ac:dyDescent="0.3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1"/>
      <c r="AD330" s="22"/>
      <c r="AJ330" s="22"/>
    </row>
    <row r="331" spans="1:36" ht="14.25" customHeight="1" x14ac:dyDescent="0.3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1"/>
      <c r="AD331" s="22"/>
      <c r="AJ331" s="22"/>
    </row>
    <row r="332" spans="1:36" ht="14.25" customHeight="1" x14ac:dyDescent="0.3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1"/>
      <c r="AD332" s="22"/>
      <c r="AJ332" s="22"/>
    </row>
    <row r="333" spans="1:36" ht="14.25" customHeight="1" x14ac:dyDescent="0.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1"/>
      <c r="AD333" s="22"/>
      <c r="AJ333" s="22"/>
    </row>
    <row r="334" spans="1:36" ht="14.25" customHeight="1" x14ac:dyDescent="0.3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1"/>
      <c r="AD334" s="22"/>
      <c r="AJ334" s="22"/>
    </row>
    <row r="335" spans="1:36" ht="14.25" customHeight="1" x14ac:dyDescent="0.3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1"/>
      <c r="AD335" s="22"/>
      <c r="AJ335" s="22"/>
    </row>
    <row r="336" spans="1:36" ht="14.25" customHeight="1" x14ac:dyDescent="0.3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1"/>
      <c r="AD336" s="22"/>
      <c r="AJ336" s="22"/>
    </row>
    <row r="337" spans="1:36" ht="14.25" customHeight="1" x14ac:dyDescent="0.3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1"/>
      <c r="AD337" s="22"/>
      <c r="AJ337" s="22"/>
    </row>
    <row r="338" spans="1:36" ht="14.25" customHeight="1" x14ac:dyDescent="0.3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1"/>
      <c r="AD338" s="22"/>
      <c r="AJ338" s="22"/>
    </row>
    <row r="339" spans="1:36" ht="14.25" customHeight="1" x14ac:dyDescent="0.3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1"/>
      <c r="AD339" s="22"/>
      <c r="AJ339" s="22"/>
    </row>
    <row r="340" spans="1:36" ht="14.25" customHeight="1" x14ac:dyDescent="0.3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1"/>
      <c r="AD340" s="22"/>
      <c r="AJ340" s="22"/>
    </row>
    <row r="341" spans="1:36" ht="14.25" customHeight="1" x14ac:dyDescent="0.3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1"/>
      <c r="AD341" s="22"/>
      <c r="AJ341" s="22"/>
    </row>
    <row r="342" spans="1:36" ht="14.25" customHeight="1" x14ac:dyDescent="0.3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1"/>
      <c r="AD342" s="22"/>
      <c r="AJ342" s="22"/>
    </row>
    <row r="343" spans="1:36" ht="14.25" customHeight="1" x14ac:dyDescent="0.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1"/>
      <c r="AD343" s="22"/>
      <c r="AJ343" s="22"/>
    </row>
    <row r="344" spans="1:36" ht="14.25" customHeight="1" x14ac:dyDescent="0.3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1"/>
      <c r="AD344" s="22"/>
      <c r="AJ344" s="22"/>
    </row>
    <row r="345" spans="1:36" ht="14.25" customHeight="1" x14ac:dyDescent="0.3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1"/>
      <c r="AD345" s="22"/>
      <c r="AJ345" s="22"/>
    </row>
    <row r="346" spans="1:36" ht="14.25" customHeight="1" x14ac:dyDescent="0.3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1"/>
      <c r="AD346" s="22"/>
      <c r="AJ346" s="22"/>
    </row>
    <row r="347" spans="1:36" ht="14.25" customHeight="1" x14ac:dyDescent="0.3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1"/>
      <c r="AD347" s="22"/>
      <c r="AJ347" s="22"/>
    </row>
    <row r="348" spans="1:36" ht="14.25" customHeight="1" x14ac:dyDescent="0.3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1"/>
      <c r="AD348" s="22"/>
      <c r="AJ348" s="22"/>
    </row>
    <row r="349" spans="1:36" ht="14.25" customHeight="1" x14ac:dyDescent="0.3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1"/>
      <c r="AD349" s="22"/>
      <c r="AJ349" s="22"/>
    </row>
    <row r="350" spans="1:36" ht="14.25" customHeight="1" x14ac:dyDescent="0.3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1"/>
      <c r="AD350" s="22"/>
      <c r="AJ350" s="22"/>
    </row>
    <row r="351" spans="1:36" ht="14.25" customHeight="1" x14ac:dyDescent="0.3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1"/>
      <c r="AD351" s="22"/>
      <c r="AJ351" s="22"/>
    </row>
    <row r="352" spans="1:36" ht="14.25" customHeight="1" x14ac:dyDescent="0.3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1"/>
      <c r="AD352" s="22"/>
      <c r="AJ352" s="22"/>
    </row>
    <row r="353" spans="1:36" ht="14.25" customHeight="1" x14ac:dyDescent="0.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1"/>
      <c r="AD353" s="22"/>
      <c r="AJ353" s="22"/>
    </row>
    <row r="354" spans="1:36" ht="14.25" customHeight="1" x14ac:dyDescent="0.3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1"/>
      <c r="AD354" s="22"/>
      <c r="AJ354" s="22"/>
    </row>
    <row r="355" spans="1:36" ht="14.25" customHeight="1" x14ac:dyDescent="0.3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1"/>
      <c r="AD355" s="22"/>
      <c r="AJ355" s="22"/>
    </row>
    <row r="356" spans="1:36" ht="14.25" customHeight="1" x14ac:dyDescent="0.3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1"/>
      <c r="AD356" s="22"/>
      <c r="AJ356" s="22"/>
    </row>
    <row r="357" spans="1:36" ht="14.25" customHeight="1" x14ac:dyDescent="0.3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1"/>
      <c r="AD357" s="22"/>
      <c r="AJ357" s="22"/>
    </row>
    <row r="358" spans="1:36" ht="14.25" customHeight="1" x14ac:dyDescent="0.3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1"/>
      <c r="AD358" s="22"/>
      <c r="AJ358" s="22"/>
    </row>
    <row r="359" spans="1:36" ht="14.25" customHeight="1" x14ac:dyDescent="0.3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1"/>
      <c r="AD359" s="22"/>
      <c r="AJ359" s="22"/>
    </row>
    <row r="360" spans="1:36" ht="14.25" customHeight="1" x14ac:dyDescent="0.3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1"/>
      <c r="AD360" s="22"/>
      <c r="AJ360" s="22"/>
    </row>
    <row r="361" spans="1:36" ht="14.25" customHeight="1" x14ac:dyDescent="0.3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1"/>
      <c r="AD361" s="22"/>
      <c r="AJ361" s="22"/>
    </row>
    <row r="362" spans="1:36" ht="14.25" customHeight="1" x14ac:dyDescent="0.3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1"/>
      <c r="AD362" s="22"/>
      <c r="AJ362" s="22"/>
    </row>
    <row r="363" spans="1:36" ht="14.25" customHeight="1" x14ac:dyDescent="0.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1"/>
      <c r="AD363" s="22"/>
      <c r="AJ363" s="22"/>
    </row>
    <row r="364" spans="1:36" ht="14.25" customHeight="1" x14ac:dyDescent="0.3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1"/>
      <c r="AD364" s="22"/>
      <c r="AJ364" s="22"/>
    </row>
    <row r="365" spans="1:36" ht="14.25" customHeight="1" x14ac:dyDescent="0.3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1"/>
      <c r="AD365" s="22"/>
      <c r="AJ365" s="22"/>
    </row>
    <row r="366" spans="1:36" ht="14.25" customHeight="1" x14ac:dyDescent="0.3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1"/>
      <c r="AD366" s="22"/>
      <c r="AJ366" s="22"/>
    </row>
    <row r="367" spans="1:36" ht="14.25" customHeight="1" x14ac:dyDescent="0.3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1"/>
      <c r="AD367" s="22"/>
      <c r="AJ367" s="22"/>
    </row>
    <row r="368" spans="1:36" ht="14.25" customHeight="1" x14ac:dyDescent="0.3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1"/>
      <c r="AD368" s="22"/>
      <c r="AJ368" s="22"/>
    </row>
    <row r="369" spans="1:36" ht="14.25" customHeight="1" x14ac:dyDescent="0.3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1"/>
      <c r="AD369" s="22"/>
      <c r="AJ369" s="22"/>
    </row>
    <row r="370" spans="1:36" ht="14.25" customHeight="1" x14ac:dyDescent="0.3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1"/>
      <c r="AD370" s="22"/>
      <c r="AJ370" s="22"/>
    </row>
    <row r="371" spans="1:36" ht="14.25" customHeight="1" x14ac:dyDescent="0.3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1"/>
      <c r="AD371" s="22"/>
      <c r="AJ371" s="22"/>
    </row>
    <row r="372" spans="1:36" ht="14.25" customHeight="1" x14ac:dyDescent="0.3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1"/>
      <c r="AD372" s="22"/>
      <c r="AJ372" s="22"/>
    </row>
    <row r="373" spans="1:36" ht="14.25" customHeight="1" x14ac:dyDescent="0.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1"/>
      <c r="AD373" s="22"/>
      <c r="AJ373" s="22"/>
    </row>
    <row r="374" spans="1:36" ht="14.25" customHeight="1" x14ac:dyDescent="0.3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1"/>
      <c r="AD374" s="22"/>
      <c r="AJ374" s="22"/>
    </row>
    <row r="375" spans="1:36" ht="14.25" customHeight="1" x14ac:dyDescent="0.3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1"/>
      <c r="AD375" s="22"/>
      <c r="AJ375" s="22"/>
    </row>
    <row r="376" spans="1:36" ht="14.25" customHeight="1" x14ac:dyDescent="0.3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1"/>
      <c r="AD376" s="22"/>
      <c r="AJ376" s="22"/>
    </row>
    <row r="377" spans="1:36" ht="14.25" customHeight="1" x14ac:dyDescent="0.3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1"/>
      <c r="AD377" s="22"/>
      <c r="AJ377" s="22"/>
    </row>
    <row r="378" spans="1:36" ht="14.25" customHeight="1" x14ac:dyDescent="0.3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1"/>
      <c r="AD378" s="22"/>
      <c r="AJ378" s="22"/>
    </row>
    <row r="379" spans="1:36" ht="14.25" customHeight="1" x14ac:dyDescent="0.3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1"/>
      <c r="AD379" s="22"/>
      <c r="AJ379" s="22"/>
    </row>
    <row r="380" spans="1:36" ht="14.25" customHeight="1" x14ac:dyDescent="0.3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1"/>
      <c r="AD380" s="22"/>
      <c r="AJ380" s="22"/>
    </row>
    <row r="381" spans="1:36" ht="14.25" customHeight="1" x14ac:dyDescent="0.3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1"/>
      <c r="AD381" s="22"/>
      <c r="AJ381" s="22"/>
    </row>
    <row r="382" spans="1:36" ht="14.25" customHeight="1" x14ac:dyDescent="0.3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1"/>
      <c r="AD382" s="22"/>
      <c r="AJ382" s="22"/>
    </row>
    <row r="383" spans="1:36" ht="14.25" customHeight="1" x14ac:dyDescent="0.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1"/>
      <c r="AD383" s="22"/>
      <c r="AJ383" s="22"/>
    </row>
    <row r="384" spans="1:36" ht="14.25" customHeight="1" x14ac:dyDescent="0.3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1"/>
      <c r="AD384" s="22"/>
      <c r="AJ384" s="22"/>
    </row>
    <row r="385" spans="1:36" ht="14.25" customHeight="1" x14ac:dyDescent="0.3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1"/>
      <c r="AD385" s="22"/>
      <c r="AJ385" s="22"/>
    </row>
    <row r="386" spans="1:36" ht="14.25" customHeight="1" x14ac:dyDescent="0.3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1"/>
      <c r="AD386" s="22"/>
      <c r="AJ386" s="22"/>
    </row>
    <row r="387" spans="1:36" ht="14.25" customHeight="1" x14ac:dyDescent="0.3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1"/>
      <c r="AD387" s="22"/>
      <c r="AJ387" s="22"/>
    </row>
    <row r="388" spans="1:36" ht="14.25" customHeight="1" x14ac:dyDescent="0.3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1"/>
      <c r="AD388" s="22"/>
      <c r="AJ388" s="22"/>
    </row>
    <row r="389" spans="1:36" ht="14.25" customHeight="1" x14ac:dyDescent="0.3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1"/>
      <c r="AD389" s="22"/>
      <c r="AJ389" s="22"/>
    </row>
    <row r="390" spans="1:36" ht="14.25" customHeight="1" x14ac:dyDescent="0.3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1"/>
      <c r="AD390" s="22"/>
      <c r="AJ390" s="22"/>
    </row>
    <row r="391" spans="1:36" ht="14.25" customHeight="1" x14ac:dyDescent="0.3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1"/>
      <c r="AD391" s="22"/>
      <c r="AJ391" s="22"/>
    </row>
    <row r="392" spans="1:36" ht="14.25" customHeight="1" x14ac:dyDescent="0.3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1"/>
      <c r="AD392" s="22"/>
      <c r="AJ392" s="22"/>
    </row>
    <row r="393" spans="1:36" ht="14.25" customHeight="1" x14ac:dyDescent="0.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1"/>
      <c r="AD393" s="22"/>
      <c r="AJ393" s="22"/>
    </row>
    <row r="394" spans="1:36" ht="14.25" customHeight="1" x14ac:dyDescent="0.3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1"/>
      <c r="AD394" s="22"/>
      <c r="AJ394" s="22"/>
    </row>
    <row r="395" spans="1:36" ht="14.25" customHeight="1" x14ac:dyDescent="0.3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1"/>
      <c r="AD395" s="22"/>
      <c r="AJ395" s="22"/>
    </row>
    <row r="396" spans="1:36" ht="14.25" customHeight="1" x14ac:dyDescent="0.3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1"/>
      <c r="AD396" s="22"/>
      <c r="AJ396" s="22"/>
    </row>
    <row r="397" spans="1:36" ht="14.25" customHeight="1" x14ac:dyDescent="0.3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1"/>
      <c r="AD397" s="22"/>
      <c r="AJ397" s="22"/>
    </row>
    <row r="398" spans="1:36" ht="14.25" customHeight="1" x14ac:dyDescent="0.3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1"/>
      <c r="AD398" s="22"/>
      <c r="AJ398" s="22"/>
    </row>
    <row r="399" spans="1:36" ht="14.25" customHeight="1" x14ac:dyDescent="0.3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1"/>
      <c r="AD399" s="22"/>
      <c r="AJ399" s="22"/>
    </row>
    <row r="400" spans="1:36" ht="14.25" customHeight="1" x14ac:dyDescent="0.3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1"/>
      <c r="AD400" s="22"/>
      <c r="AJ400" s="22"/>
    </row>
    <row r="401" spans="1:36" ht="14.25" customHeight="1" x14ac:dyDescent="0.3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1"/>
      <c r="AD401" s="22"/>
      <c r="AJ401" s="22"/>
    </row>
    <row r="402" spans="1:36" ht="14.25" customHeight="1" x14ac:dyDescent="0.3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1"/>
      <c r="AD402" s="22"/>
      <c r="AJ402" s="22"/>
    </row>
    <row r="403" spans="1:36" ht="14.25" customHeight="1" x14ac:dyDescent="0.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1"/>
      <c r="AD403" s="22"/>
      <c r="AJ403" s="22"/>
    </row>
    <row r="404" spans="1:36" ht="14.25" customHeight="1" x14ac:dyDescent="0.3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1"/>
      <c r="AD404" s="22"/>
      <c r="AJ404" s="22"/>
    </row>
    <row r="405" spans="1:36" ht="14.25" customHeight="1" x14ac:dyDescent="0.3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1"/>
      <c r="AD405" s="22"/>
      <c r="AJ405" s="22"/>
    </row>
    <row r="406" spans="1:36" ht="14.25" customHeight="1" x14ac:dyDescent="0.3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1"/>
      <c r="AD406" s="22"/>
      <c r="AJ406" s="22"/>
    </row>
    <row r="407" spans="1:36" ht="14.25" customHeight="1" x14ac:dyDescent="0.3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1"/>
      <c r="AD407" s="22"/>
      <c r="AJ407" s="22"/>
    </row>
    <row r="408" spans="1:36" ht="14.25" customHeight="1" x14ac:dyDescent="0.3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1"/>
      <c r="AD408" s="22"/>
      <c r="AJ408" s="22"/>
    </row>
    <row r="409" spans="1:36" ht="14.25" customHeight="1" x14ac:dyDescent="0.3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1"/>
      <c r="AD409" s="22"/>
      <c r="AJ409" s="22"/>
    </row>
    <row r="410" spans="1:36" ht="14.25" customHeight="1" x14ac:dyDescent="0.3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1"/>
      <c r="AD410" s="22"/>
      <c r="AJ410" s="22"/>
    </row>
    <row r="411" spans="1:36" ht="14.25" customHeight="1" x14ac:dyDescent="0.3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1"/>
      <c r="AD411" s="22"/>
      <c r="AJ411" s="22"/>
    </row>
    <row r="412" spans="1:36" ht="14.25" customHeight="1" x14ac:dyDescent="0.3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1"/>
      <c r="AD412" s="22"/>
      <c r="AJ412" s="22"/>
    </row>
    <row r="413" spans="1:36" ht="14.25" customHeight="1" x14ac:dyDescent="0.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1"/>
      <c r="AD413" s="22"/>
      <c r="AJ413" s="22"/>
    </row>
    <row r="414" spans="1:36" ht="14.25" customHeight="1" x14ac:dyDescent="0.3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1"/>
      <c r="AD414" s="22"/>
      <c r="AJ414" s="22"/>
    </row>
    <row r="415" spans="1:36" ht="14.25" customHeight="1" x14ac:dyDescent="0.3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1"/>
      <c r="AD415" s="22"/>
      <c r="AJ415" s="22"/>
    </row>
    <row r="416" spans="1:36" ht="14.25" customHeight="1" x14ac:dyDescent="0.3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1"/>
      <c r="AD416" s="22"/>
      <c r="AJ416" s="22"/>
    </row>
    <row r="417" spans="1:36" ht="14.25" customHeight="1" x14ac:dyDescent="0.3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1"/>
      <c r="AD417" s="22"/>
      <c r="AJ417" s="22"/>
    </row>
    <row r="418" spans="1:36" ht="14.25" customHeight="1" x14ac:dyDescent="0.3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1"/>
      <c r="AD418" s="22"/>
      <c r="AJ418" s="22"/>
    </row>
    <row r="419" spans="1:36" ht="14.25" customHeight="1" x14ac:dyDescent="0.3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1"/>
      <c r="AD419" s="22"/>
      <c r="AJ419" s="22"/>
    </row>
    <row r="420" spans="1:36" ht="14.25" customHeight="1" x14ac:dyDescent="0.3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1"/>
      <c r="AD420" s="22"/>
      <c r="AJ420" s="22"/>
    </row>
    <row r="421" spans="1:36" ht="14.25" customHeight="1" x14ac:dyDescent="0.3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1"/>
      <c r="AD421" s="22"/>
      <c r="AJ421" s="22"/>
    </row>
    <row r="422" spans="1:36" ht="14.25" customHeight="1" x14ac:dyDescent="0.3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1"/>
      <c r="AD422" s="22"/>
      <c r="AJ422" s="22"/>
    </row>
    <row r="423" spans="1:36" ht="14.25" customHeight="1" x14ac:dyDescent="0.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1"/>
      <c r="AD423" s="22"/>
      <c r="AJ423" s="22"/>
    </row>
    <row r="424" spans="1:36" ht="14.25" customHeight="1" x14ac:dyDescent="0.3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1"/>
      <c r="AD424" s="22"/>
      <c r="AJ424" s="22"/>
    </row>
    <row r="425" spans="1:36" ht="14.25" customHeight="1" x14ac:dyDescent="0.3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1"/>
      <c r="AD425" s="22"/>
      <c r="AJ425" s="22"/>
    </row>
    <row r="426" spans="1:36" ht="14.25" customHeight="1" x14ac:dyDescent="0.3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1"/>
      <c r="AD426" s="22"/>
      <c r="AJ426" s="22"/>
    </row>
    <row r="427" spans="1:36" ht="14.25" customHeight="1" x14ac:dyDescent="0.3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1"/>
      <c r="AD427" s="22"/>
      <c r="AJ427" s="22"/>
    </row>
    <row r="428" spans="1:36" ht="14.25" customHeight="1" x14ac:dyDescent="0.3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1"/>
      <c r="AD428" s="22"/>
      <c r="AJ428" s="22"/>
    </row>
    <row r="429" spans="1:36" ht="14.25" customHeight="1" x14ac:dyDescent="0.3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1"/>
      <c r="AD429" s="22"/>
      <c r="AJ429" s="22"/>
    </row>
    <row r="430" spans="1:36" ht="14.25" customHeight="1" x14ac:dyDescent="0.3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1"/>
      <c r="AD430" s="22"/>
      <c r="AJ430" s="22"/>
    </row>
    <row r="431" spans="1:36" ht="14.25" customHeight="1" x14ac:dyDescent="0.3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1"/>
      <c r="AD431" s="22"/>
      <c r="AJ431" s="22"/>
    </row>
    <row r="432" spans="1:36" ht="14.25" customHeight="1" x14ac:dyDescent="0.3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1"/>
      <c r="AD432" s="22"/>
      <c r="AJ432" s="22"/>
    </row>
    <row r="433" spans="1:36" ht="14.25" customHeight="1" x14ac:dyDescent="0.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1"/>
      <c r="AD433" s="22"/>
      <c r="AJ433" s="22"/>
    </row>
    <row r="434" spans="1:36" ht="14.25" customHeight="1" x14ac:dyDescent="0.3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1"/>
      <c r="AD434" s="22"/>
      <c r="AJ434" s="22"/>
    </row>
    <row r="435" spans="1:36" ht="14.25" customHeight="1" x14ac:dyDescent="0.3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1"/>
      <c r="AD435" s="22"/>
      <c r="AJ435" s="22"/>
    </row>
    <row r="436" spans="1:36" ht="14.25" customHeight="1" x14ac:dyDescent="0.3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1"/>
      <c r="AD436" s="22"/>
      <c r="AJ436" s="22"/>
    </row>
    <row r="437" spans="1:36" ht="14.25" customHeight="1" x14ac:dyDescent="0.3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1"/>
      <c r="AD437" s="22"/>
      <c r="AJ437" s="22"/>
    </row>
    <row r="438" spans="1:36" ht="14.25" customHeight="1" x14ac:dyDescent="0.3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1"/>
      <c r="AD438" s="22"/>
      <c r="AJ438" s="22"/>
    </row>
    <row r="439" spans="1:36" ht="14.25" customHeight="1" x14ac:dyDescent="0.3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1"/>
      <c r="AD439" s="22"/>
      <c r="AJ439" s="22"/>
    </row>
    <row r="440" spans="1:36" ht="14.25" customHeight="1" x14ac:dyDescent="0.3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1"/>
      <c r="AD440" s="22"/>
      <c r="AJ440" s="22"/>
    </row>
    <row r="441" spans="1:36" ht="14.25" customHeight="1" x14ac:dyDescent="0.3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1"/>
      <c r="AD441" s="22"/>
      <c r="AJ441" s="22"/>
    </row>
    <row r="442" spans="1:36" ht="14.25" customHeight="1" x14ac:dyDescent="0.3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1"/>
      <c r="AD442" s="22"/>
      <c r="AJ442" s="22"/>
    </row>
    <row r="443" spans="1:36" ht="14.25" customHeight="1" x14ac:dyDescent="0.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1"/>
      <c r="AD443" s="22"/>
      <c r="AJ443" s="22"/>
    </row>
    <row r="444" spans="1:36" ht="14.25" customHeight="1" x14ac:dyDescent="0.3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1"/>
      <c r="AD444" s="22"/>
      <c r="AJ444" s="22"/>
    </row>
    <row r="445" spans="1:36" ht="14.25" customHeight="1" x14ac:dyDescent="0.3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1"/>
      <c r="AD445" s="22"/>
      <c r="AJ445" s="22"/>
    </row>
    <row r="446" spans="1:36" ht="14.25" customHeight="1" x14ac:dyDescent="0.3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1"/>
      <c r="AD446" s="22"/>
      <c r="AJ446" s="22"/>
    </row>
    <row r="447" spans="1:36" ht="14.25" customHeight="1" x14ac:dyDescent="0.3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1"/>
      <c r="AD447" s="22"/>
      <c r="AJ447" s="22"/>
    </row>
    <row r="448" spans="1:36" ht="14.25" customHeight="1" x14ac:dyDescent="0.3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1"/>
      <c r="AD448" s="22"/>
      <c r="AJ448" s="22"/>
    </row>
    <row r="449" spans="1:36" ht="14.25" customHeight="1" x14ac:dyDescent="0.3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1"/>
      <c r="AD449" s="22"/>
      <c r="AJ449" s="22"/>
    </row>
    <row r="450" spans="1:36" ht="14.25" customHeight="1" x14ac:dyDescent="0.3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1"/>
      <c r="AD450" s="22"/>
      <c r="AJ450" s="22"/>
    </row>
    <row r="451" spans="1:36" ht="14.25" customHeight="1" x14ac:dyDescent="0.3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1"/>
      <c r="AD451" s="22"/>
      <c r="AJ451" s="22"/>
    </row>
    <row r="452" spans="1:36" ht="14.25" customHeight="1" x14ac:dyDescent="0.3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1"/>
      <c r="AD452" s="22"/>
      <c r="AJ452" s="22"/>
    </row>
    <row r="453" spans="1:36" ht="14.25" customHeight="1" x14ac:dyDescent="0.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1"/>
      <c r="AD453" s="22"/>
      <c r="AJ453" s="22"/>
    </row>
    <row r="454" spans="1:36" ht="14.25" customHeight="1" x14ac:dyDescent="0.3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1"/>
      <c r="AD454" s="22"/>
      <c r="AJ454" s="22"/>
    </row>
    <row r="455" spans="1:36" ht="14.25" customHeight="1" x14ac:dyDescent="0.3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1"/>
      <c r="AD455" s="22"/>
      <c r="AJ455" s="22"/>
    </row>
    <row r="456" spans="1:36" ht="14.25" customHeight="1" x14ac:dyDescent="0.3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1"/>
      <c r="AD456" s="22"/>
      <c r="AJ456" s="22"/>
    </row>
    <row r="457" spans="1:36" ht="14.25" customHeight="1" x14ac:dyDescent="0.3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1"/>
      <c r="AD457" s="22"/>
      <c r="AJ457" s="22"/>
    </row>
    <row r="458" spans="1:36" ht="14.25" customHeight="1" x14ac:dyDescent="0.3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1"/>
      <c r="AD458" s="22"/>
      <c r="AJ458" s="22"/>
    </row>
    <row r="459" spans="1:36" ht="14.25" customHeight="1" x14ac:dyDescent="0.3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1"/>
      <c r="AD459" s="22"/>
      <c r="AJ459" s="22"/>
    </row>
    <row r="460" spans="1:36" ht="14.25" customHeight="1" x14ac:dyDescent="0.3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1"/>
      <c r="AD460" s="22"/>
      <c r="AJ460" s="22"/>
    </row>
    <row r="461" spans="1:36" ht="14.25" customHeight="1" x14ac:dyDescent="0.3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1"/>
      <c r="AD461" s="22"/>
      <c r="AJ461" s="22"/>
    </row>
    <row r="462" spans="1:36" ht="14.25" customHeight="1" x14ac:dyDescent="0.3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1"/>
      <c r="AD462" s="22"/>
      <c r="AJ462" s="22"/>
    </row>
    <row r="463" spans="1:36" ht="14.25" customHeight="1" x14ac:dyDescent="0.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1"/>
      <c r="AD463" s="22"/>
      <c r="AJ463" s="22"/>
    </row>
    <row r="464" spans="1:36" ht="14.25" customHeight="1" x14ac:dyDescent="0.3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1"/>
      <c r="AD464" s="22"/>
      <c r="AJ464" s="22"/>
    </row>
    <row r="465" spans="1:36" ht="14.25" customHeight="1" x14ac:dyDescent="0.3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1"/>
      <c r="AD465" s="22"/>
      <c r="AJ465" s="22"/>
    </row>
    <row r="466" spans="1:36" ht="14.25" customHeight="1" x14ac:dyDescent="0.3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1"/>
      <c r="AD466" s="22"/>
      <c r="AJ466" s="22"/>
    </row>
    <row r="467" spans="1:36" ht="14.25" customHeight="1" x14ac:dyDescent="0.3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1"/>
      <c r="AD467" s="22"/>
      <c r="AJ467" s="22"/>
    </row>
    <row r="468" spans="1:36" ht="14.25" customHeight="1" x14ac:dyDescent="0.3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1"/>
      <c r="AD468" s="22"/>
      <c r="AJ468" s="22"/>
    </row>
    <row r="469" spans="1:36" ht="14.25" customHeight="1" x14ac:dyDescent="0.3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1"/>
      <c r="AD469" s="22"/>
      <c r="AJ469" s="22"/>
    </row>
    <row r="470" spans="1:36" ht="14.25" customHeight="1" x14ac:dyDescent="0.3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1"/>
      <c r="AD470" s="22"/>
      <c r="AJ470" s="22"/>
    </row>
    <row r="471" spans="1:36" ht="14.25" customHeight="1" x14ac:dyDescent="0.3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1"/>
      <c r="AD471" s="22"/>
      <c r="AJ471" s="22"/>
    </row>
    <row r="472" spans="1:36" ht="14.25" customHeight="1" x14ac:dyDescent="0.3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1"/>
      <c r="AD472" s="22"/>
      <c r="AJ472" s="22"/>
    </row>
    <row r="473" spans="1:36" ht="14.25" customHeight="1" x14ac:dyDescent="0.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1"/>
      <c r="AD473" s="22"/>
      <c r="AJ473" s="22"/>
    </row>
    <row r="474" spans="1:36" ht="14.25" customHeight="1" x14ac:dyDescent="0.3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1"/>
      <c r="AD474" s="22"/>
      <c r="AJ474" s="22"/>
    </row>
    <row r="475" spans="1:36" ht="14.25" customHeight="1" x14ac:dyDescent="0.3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1"/>
      <c r="AD475" s="22"/>
      <c r="AJ475" s="22"/>
    </row>
    <row r="476" spans="1:36" ht="14.25" customHeight="1" x14ac:dyDescent="0.3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1"/>
      <c r="AD476" s="22"/>
      <c r="AJ476" s="22"/>
    </row>
    <row r="477" spans="1:36" ht="14.25" customHeight="1" x14ac:dyDescent="0.3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1"/>
      <c r="AD477" s="22"/>
      <c r="AJ477" s="22"/>
    </row>
    <row r="478" spans="1:36" ht="14.25" customHeight="1" x14ac:dyDescent="0.3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1"/>
      <c r="AD478" s="22"/>
      <c r="AJ478" s="22"/>
    </row>
    <row r="479" spans="1:36" ht="14.25" customHeight="1" x14ac:dyDescent="0.3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1"/>
      <c r="AD479" s="22"/>
      <c r="AJ479" s="22"/>
    </row>
    <row r="480" spans="1:36" ht="14.25" customHeight="1" x14ac:dyDescent="0.3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1"/>
      <c r="AD480" s="22"/>
      <c r="AJ480" s="22"/>
    </row>
    <row r="481" spans="1:36" ht="14.25" customHeight="1" x14ac:dyDescent="0.3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1"/>
      <c r="AD481" s="22"/>
      <c r="AJ481" s="22"/>
    </row>
    <row r="482" spans="1:36" ht="14.25" customHeight="1" x14ac:dyDescent="0.3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1"/>
      <c r="AD482" s="22"/>
      <c r="AJ482" s="22"/>
    </row>
    <row r="483" spans="1:36" ht="14.25" customHeight="1" x14ac:dyDescent="0.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1"/>
      <c r="AD483" s="22"/>
      <c r="AJ483" s="22"/>
    </row>
    <row r="484" spans="1:36" ht="14.25" customHeight="1" x14ac:dyDescent="0.3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1"/>
      <c r="AD484" s="22"/>
      <c r="AJ484" s="22"/>
    </row>
    <row r="485" spans="1:36" ht="14.25" customHeight="1" x14ac:dyDescent="0.3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1"/>
      <c r="AD485" s="22"/>
      <c r="AJ485" s="22"/>
    </row>
    <row r="486" spans="1:36" ht="14.25" customHeight="1" x14ac:dyDescent="0.3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1"/>
      <c r="AD486" s="22"/>
      <c r="AJ486" s="22"/>
    </row>
    <row r="487" spans="1:36" ht="14.25" customHeight="1" x14ac:dyDescent="0.3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1"/>
      <c r="AD487" s="22"/>
      <c r="AJ487" s="22"/>
    </row>
    <row r="488" spans="1:36" ht="14.25" customHeight="1" x14ac:dyDescent="0.3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1"/>
      <c r="AD488" s="22"/>
      <c r="AJ488" s="22"/>
    </row>
    <row r="489" spans="1:36" ht="14.25" customHeight="1" x14ac:dyDescent="0.3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1"/>
      <c r="AD489" s="22"/>
      <c r="AJ489" s="22"/>
    </row>
    <row r="490" spans="1:36" ht="14.25" customHeight="1" x14ac:dyDescent="0.3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1"/>
      <c r="AD490" s="22"/>
      <c r="AJ490" s="22"/>
    </row>
    <row r="491" spans="1:36" ht="14.25" customHeight="1" x14ac:dyDescent="0.3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1"/>
      <c r="AD491" s="22"/>
      <c r="AJ491" s="22"/>
    </row>
    <row r="492" spans="1:36" ht="14.25" customHeight="1" x14ac:dyDescent="0.3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1"/>
      <c r="AD492" s="22"/>
      <c r="AJ492" s="22"/>
    </row>
    <row r="493" spans="1:36" ht="14.25" customHeight="1" x14ac:dyDescent="0.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1"/>
      <c r="AD493" s="22"/>
      <c r="AJ493" s="22"/>
    </row>
    <row r="494" spans="1:36" ht="14.25" customHeight="1" x14ac:dyDescent="0.3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1"/>
      <c r="AD494" s="22"/>
      <c r="AJ494" s="22"/>
    </row>
    <row r="495" spans="1:36" ht="14.25" customHeight="1" x14ac:dyDescent="0.3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1"/>
      <c r="AD495" s="22"/>
      <c r="AJ495" s="22"/>
    </row>
    <row r="496" spans="1:36" ht="14.25" customHeight="1" x14ac:dyDescent="0.3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1"/>
      <c r="AD496" s="22"/>
      <c r="AJ496" s="22"/>
    </row>
    <row r="497" spans="1:36" ht="14.25" customHeight="1" x14ac:dyDescent="0.3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1"/>
      <c r="AD497" s="22"/>
      <c r="AJ497" s="22"/>
    </row>
    <row r="498" spans="1:36" ht="14.25" customHeight="1" x14ac:dyDescent="0.3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1"/>
      <c r="AD498" s="22"/>
      <c r="AJ498" s="22"/>
    </row>
    <row r="499" spans="1:36" ht="14.25" customHeight="1" x14ac:dyDescent="0.3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1"/>
      <c r="AD499" s="22"/>
      <c r="AJ499" s="22"/>
    </row>
    <row r="500" spans="1:36" ht="14.25" customHeight="1" x14ac:dyDescent="0.3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1"/>
      <c r="AD500" s="22"/>
      <c r="AJ500" s="22"/>
    </row>
    <row r="501" spans="1:36" ht="14.25" customHeight="1" x14ac:dyDescent="0.3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1"/>
      <c r="AD501" s="22"/>
      <c r="AJ501" s="22"/>
    </row>
    <row r="502" spans="1:36" ht="14.25" customHeight="1" x14ac:dyDescent="0.3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1"/>
      <c r="AD502" s="22"/>
      <c r="AJ502" s="22"/>
    </row>
    <row r="503" spans="1:36" ht="14.25" customHeight="1" x14ac:dyDescent="0.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1"/>
      <c r="AD503" s="22"/>
      <c r="AJ503" s="22"/>
    </row>
    <row r="504" spans="1:36" ht="14.25" customHeight="1" x14ac:dyDescent="0.3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1"/>
      <c r="AD504" s="22"/>
      <c r="AJ504" s="22"/>
    </row>
    <row r="505" spans="1:36" ht="14.25" customHeight="1" x14ac:dyDescent="0.3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1"/>
      <c r="AD505" s="22"/>
      <c r="AJ505" s="22"/>
    </row>
    <row r="506" spans="1:36" ht="14.25" customHeight="1" x14ac:dyDescent="0.3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1"/>
      <c r="AD506" s="22"/>
      <c r="AJ506" s="22"/>
    </row>
    <row r="507" spans="1:36" ht="14.25" customHeight="1" x14ac:dyDescent="0.3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1"/>
      <c r="AD507" s="22"/>
      <c r="AJ507" s="22"/>
    </row>
    <row r="508" spans="1:36" ht="14.25" customHeight="1" x14ac:dyDescent="0.3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1"/>
      <c r="AD508" s="22"/>
      <c r="AJ508" s="22"/>
    </row>
    <row r="509" spans="1:36" ht="14.25" customHeight="1" x14ac:dyDescent="0.3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1"/>
      <c r="AD509" s="22"/>
      <c r="AJ509" s="22"/>
    </row>
    <row r="510" spans="1:36" ht="14.25" customHeight="1" x14ac:dyDescent="0.3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1"/>
      <c r="AD510" s="22"/>
      <c r="AJ510" s="22"/>
    </row>
    <row r="511" spans="1:36" ht="14.25" customHeight="1" x14ac:dyDescent="0.3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1"/>
      <c r="AD511" s="22"/>
      <c r="AJ511" s="22"/>
    </row>
    <row r="512" spans="1:36" ht="14.25" customHeight="1" x14ac:dyDescent="0.3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1"/>
      <c r="AD512" s="22"/>
      <c r="AJ512" s="22"/>
    </row>
    <row r="513" spans="1:36" ht="14.25" customHeight="1" x14ac:dyDescent="0.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1"/>
      <c r="AD513" s="22"/>
      <c r="AJ513" s="22"/>
    </row>
    <row r="514" spans="1:36" ht="14.25" customHeight="1" x14ac:dyDescent="0.3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1"/>
      <c r="AD514" s="22"/>
      <c r="AJ514" s="22"/>
    </row>
    <row r="515" spans="1:36" ht="14.25" customHeight="1" x14ac:dyDescent="0.3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1"/>
      <c r="AD515" s="22"/>
      <c r="AJ515" s="22"/>
    </row>
    <row r="516" spans="1:36" ht="14.25" customHeight="1" x14ac:dyDescent="0.3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1"/>
      <c r="AD516" s="22"/>
      <c r="AJ516" s="22"/>
    </row>
    <row r="517" spans="1:36" ht="14.25" customHeight="1" x14ac:dyDescent="0.3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1"/>
      <c r="AD517" s="22"/>
      <c r="AJ517" s="22"/>
    </row>
    <row r="518" spans="1:36" ht="14.25" customHeight="1" x14ac:dyDescent="0.3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1"/>
      <c r="AD518" s="22"/>
      <c r="AJ518" s="22"/>
    </row>
    <row r="519" spans="1:36" ht="14.25" customHeight="1" x14ac:dyDescent="0.3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1"/>
      <c r="AD519" s="22"/>
      <c r="AJ519" s="22"/>
    </row>
    <row r="520" spans="1:36" ht="14.25" customHeight="1" x14ac:dyDescent="0.3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1"/>
      <c r="AD520" s="22"/>
      <c r="AJ520" s="22"/>
    </row>
    <row r="521" spans="1:36" ht="14.25" customHeight="1" x14ac:dyDescent="0.3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1"/>
      <c r="AD521" s="22"/>
      <c r="AJ521" s="22"/>
    </row>
    <row r="522" spans="1:36" ht="14.25" customHeight="1" x14ac:dyDescent="0.3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1"/>
      <c r="AD522" s="22"/>
      <c r="AJ522" s="22"/>
    </row>
    <row r="523" spans="1:36" ht="14.25" customHeight="1" x14ac:dyDescent="0.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1"/>
      <c r="AD523" s="22"/>
      <c r="AJ523" s="22"/>
    </row>
    <row r="524" spans="1:36" ht="14.25" customHeight="1" x14ac:dyDescent="0.3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1"/>
      <c r="AD524" s="22"/>
      <c r="AJ524" s="22"/>
    </row>
    <row r="525" spans="1:36" ht="14.25" customHeight="1" x14ac:dyDescent="0.3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1"/>
      <c r="AD525" s="22"/>
      <c r="AJ525" s="22"/>
    </row>
    <row r="526" spans="1:36" ht="14.25" customHeight="1" x14ac:dyDescent="0.3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1"/>
      <c r="AD526" s="22"/>
      <c r="AJ526" s="22"/>
    </row>
    <row r="527" spans="1:36" ht="14.25" customHeight="1" x14ac:dyDescent="0.3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1"/>
      <c r="AD527" s="22"/>
      <c r="AJ527" s="22"/>
    </row>
    <row r="528" spans="1:36" ht="14.25" customHeight="1" x14ac:dyDescent="0.3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1"/>
      <c r="AD528" s="22"/>
      <c r="AJ528" s="22"/>
    </row>
    <row r="529" spans="1:36" ht="14.25" customHeight="1" x14ac:dyDescent="0.3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1"/>
      <c r="AD529" s="22"/>
      <c r="AJ529" s="22"/>
    </row>
    <row r="530" spans="1:36" ht="14.25" customHeight="1" x14ac:dyDescent="0.3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1"/>
      <c r="AD530" s="22"/>
      <c r="AJ530" s="22"/>
    </row>
    <row r="531" spans="1:36" ht="14.25" customHeight="1" x14ac:dyDescent="0.3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1"/>
      <c r="AD531" s="22"/>
      <c r="AJ531" s="22"/>
    </row>
    <row r="532" spans="1:36" ht="14.25" customHeight="1" x14ac:dyDescent="0.3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1"/>
      <c r="AD532" s="22"/>
      <c r="AJ532" s="22"/>
    </row>
    <row r="533" spans="1:36" ht="14.25" customHeight="1" x14ac:dyDescent="0.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1"/>
      <c r="AD533" s="22"/>
      <c r="AJ533" s="22"/>
    </row>
    <row r="534" spans="1:36" ht="14.25" customHeight="1" x14ac:dyDescent="0.3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1"/>
      <c r="AD534" s="22"/>
      <c r="AJ534" s="22"/>
    </row>
    <row r="535" spans="1:36" ht="14.25" customHeight="1" x14ac:dyDescent="0.3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1"/>
      <c r="AD535" s="22"/>
      <c r="AJ535" s="22"/>
    </row>
    <row r="536" spans="1:36" ht="14.25" customHeight="1" x14ac:dyDescent="0.3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1"/>
      <c r="AD536" s="22"/>
      <c r="AJ536" s="22"/>
    </row>
    <row r="537" spans="1:36" ht="14.25" customHeight="1" x14ac:dyDescent="0.3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1"/>
      <c r="AD537" s="22"/>
      <c r="AJ537" s="22"/>
    </row>
    <row r="538" spans="1:36" ht="14.25" customHeight="1" x14ac:dyDescent="0.3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1"/>
      <c r="AD538" s="22"/>
      <c r="AJ538" s="22"/>
    </row>
    <row r="539" spans="1:36" ht="14.25" customHeight="1" x14ac:dyDescent="0.3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1"/>
      <c r="AD539" s="22"/>
      <c r="AJ539" s="22"/>
    </row>
    <row r="540" spans="1:36" ht="14.25" customHeight="1" x14ac:dyDescent="0.3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1"/>
      <c r="AD540" s="22"/>
      <c r="AJ540" s="22"/>
    </row>
    <row r="541" spans="1:36" ht="14.25" customHeight="1" x14ac:dyDescent="0.3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1"/>
      <c r="AD541" s="22"/>
      <c r="AJ541" s="22"/>
    </row>
    <row r="542" spans="1:36" ht="14.25" customHeight="1" x14ac:dyDescent="0.3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1"/>
      <c r="AD542" s="22"/>
      <c r="AJ542" s="22"/>
    </row>
    <row r="543" spans="1:36" ht="14.25" customHeight="1" x14ac:dyDescent="0.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1"/>
      <c r="AD543" s="22"/>
      <c r="AJ543" s="22"/>
    </row>
    <row r="544" spans="1:36" ht="14.25" customHeight="1" x14ac:dyDescent="0.3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1"/>
      <c r="AD544" s="22"/>
      <c r="AJ544" s="22"/>
    </row>
    <row r="545" spans="1:36" ht="14.25" customHeight="1" x14ac:dyDescent="0.3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1"/>
      <c r="AD545" s="22"/>
      <c r="AJ545" s="22"/>
    </row>
    <row r="546" spans="1:36" ht="14.25" customHeight="1" x14ac:dyDescent="0.3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1"/>
      <c r="AD546" s="22"/>
      <c r="AJ546" s="22"/>
    </row>
    <row r="547" spans="1:36" ht="14.25" customHeight="1" x14ac:dyDescent="0.3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1"/>
      <c r="AD547" s="22"/>
      <c r="AJ547" s="22"/>
    </row>
    <row r="548" spans="1:36" ht="14.25" customHeight="1" x14ac:dyDescent="0.3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1"/>
      <c r="AD548" s="22"/>
      <c r="AJ548" s="22"/>
    </row>
    <row r="549" spans="1:36" ht="14.25" customHeight="1" x14ac:dyDescent="0.3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1"/>
      <c r="AD549" s="22"/>
      <c r="AJ549" s="22"/>
    </row>
    <row r="550" spans="1:36" ht="14.25" customHeight="1" x14ac:dyDescent="0.3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1"/>
      <c r="AD550" s="22"/>
      <c r="AJ550" s="22"/>
    </row>
    <row r="551" spans="1:36" ht="14.25" customHeight="1" x14ac:dyDescent="0.3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1"/>
      <c r="AD551" s="22"/>
      <c r="AJ551" s="22"/>
    </row>
    <row r="552" spans="1:36" ht="14.25" customHeight="1" x14ac:dyDescent="0.3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1"/>
      <c r="AD552" s="22"/>
      <c r="AJ552" s="22"/>
    </row>
    <row r="553" spans="1:36" ht="14.25" customHeight="1" x14ac:dyDescent="0.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1"/>
      <c r="AD553" s="22"/>
      <c r="AJ553" s="22"/>
    </row>
    <row r="554" spans="1:36" ht="14.25" customHeight="1" x14ac:dyDescent="0.3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1"/>
      <c r="AD554" s="22"/>
      <c r="AJ554" s="22"/>
    </row>
    <row r="555" spans="1:36" ht="14.25" customHeight="1" x14ac:dyDescent="0.3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1"/>
      <c r="AD555" s="22"/>
      <c r="AJ555" s="22"/>
    </row>
    <row r="556" spans="1:36" ht="14.25" customHeight="1" x14ac:dyDescent="0.3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1"/>
      <c r="AD556" s="22"/>
      <c r="AJ556" s="22"/>
    </row>
    <row r="557" spans="1:36" ht="14.25" customHeight="1" x14ac:dyDescent="0.3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1"/>
      <c r="AD557" s="22"/>
      <c r="AJ557" s="22"/>
    </row>
    <row r="558" spans="1:36" ht="14.25" customHeight="1" x14ac:dyDescent="0.3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1"/>
      <c r="AD558" s="22"/>
      <c r="AJ558" s="22"/>
    </row>
    <row r="559" spans="1:36" ht="14.25" customHeight="1" x14ac:dyDescent="0.3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1"/>
      <c r="AD559" s="22"/>
      <c r="AJ559" s="22"/>
    </row>
    <row r="560" spans="1:36" ht="14.25" customHeight="1" x14ac:dyDescent="0.3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1"/>
      <c r="AD560" s="22"/>
      <c r="AJ560" s="22"/>
    </row>
    <row r="561" spans="1:36" ht="14.25" customHeight="1" x14ac:dyDescent="0.3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1"/>
      <c r="AD561" s="22"/>
      <c r="AJ561" s="22"/>
    </row>
    <row r="562" spans="1:36" ht="14.25" customHeight="1" x14ac:dyDescent="0.3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1"/>
      <c r="AD562" s="22"/>
      <c r="AJ562" s="22"/>
    </row>
    <row r="563" spans="1:36" ht="14.25" customHeight="1" x14ac:dyDescent="0.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1"/>
      <c r="AD563" s="22"/>
      <c r="AJ563" s="22"/>
    </row>
    <row r="564" spans="1:36" ht="14.25" customHeight="1" x14ac:dyDescent="0.3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1"/>
      <c r="AD564" s="22"/>
      <c r="AJ564" s="22"/>
    </row>
    <row r="565" spans="1:36" ht="14.25" customHeight="1" x14ac:dyDescent="0.3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1"/>
      <c r="AD565" s="22"/>
      <c r="AJ565" s="22"/>
    </row>
    <row r="566" spans="1:36" ht="14.25" customHeight="1" x14ac:dyDescent="0.3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1"/>
      <c r="AD566" s="22"/>
      <c r="AJ566" s="22"/>
    </row>
    <row r="567" spans="1:36" ht="14.25" customHeight="1" x14ac:dyDescent="0.3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1"/>
      <c r="AD567" s="22"/>
      <c r="AJ567" s="22"/>
    </row>
    <row r="568" spans="1:36" ht="14.25" customHeight="1" x14ac:dyDescent="0.3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1"/>
      <c r="AD568" s="22"/>
      <c r="AJ568" s="22"/>
    </row>
    <row r="569" spans="1:36" ht="14.25" customHeight="1" x14ac:dyDescent="0.3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1"/>
      <c r="AD569" s="22"/>
      <c r="AJ569" s="22"/>
    </row>
    <row r="570" spans="1:36" ht="14.25" customHeight="1" x14ac:dyDescent="0.3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1"/>
      <c r="AD570" s="22"/>
      <c r="AJ570" s="22"/>
    </row>
    <row r="571" spans="1:36" ht="14.25" customHeight="1" x14ac:dyDescent="0.3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1"/>
      <c r="AD571" s="22"/>
      <c r="AJ571" s="22"/>
    </row>
    <row r="572" spans="1:36" ht="14.25" customHeight="1" x14ac:dyDescent="0.3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1"/>
      <c r="AD572" s="22"/>
      <c r="AJ572" s="22"/>
    </row>
    <row r="573" spans="1:36" ht="14.25" customHeight="1" x14ac:dyDescent="0.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1"/>
      <c r="AD573" s="22"/>
      <c r="AJ573" s="22"/>
    </row>
    <row r="574" spans="1:36" ht="14.25" customHeight="1" x14ac:dyDescent="0.3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1"/>
      <c r="AD574" s="22"/>
      <c r="AJ574" s="22"/>
    </row>
    <row r="575" spans="1:36" ht="14.25" customHeight="1" x14ac:dyDescent="0.3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1"/>
      <c r="AD575" s="22"/>
      <c r="AJ575" s="22"/>
    </row>
    <row r="576" spans="1:36" ht="14.25" customHeight="1" x14ac:dyDescent="0.3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1"/>
      <c r="AD576" s="22"/>
      <c r="AJ576" s="22"/>
    </row>
    <row r="577" spans="1:36" ht="14.25" customHeight="1" x14ac:dyDescent="0.3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1"/>
      <c r="AD577" s="22"/>
      <c r="AJ577" s="22"/>
    </row>
    <row r="578" spans="1:36" ht="14.25" customHeight="1" x14ac:dyDescent="0.3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1"/>
      <c r="AD578" s="22"/>
      <c r="AJ578" s="22"/>
    </row>
    <row r="579" spans="1:36" ht="14.25" customHeight="1" x14ac:dyDescent="0.3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1"/>
      <c r="AD579" s="22"/>
      <c r="AJ579" s="22"/>
    </row>
    <row r="580" spans="1:36" ht="14.25" customHeight="1" x14ac:dyDescent="0.3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1"/>
      <c r="AD580" s="22"/>
      <c r="AJ580" s="22"/>
    </row>
    <row r="581" spans="1:36" ht="14.25" customHeight="1" x14ac:dyDescent="0.3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1"/>
      <c r="AD581" s="22"/>
      <c r="AJ581" s="22"/>
    </row>
    <row r="582" spans="1:36" ht="14.25" customHeight="1" x14ac:dyDescent="0.3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1"/>
      <c r="AD582" s="22"/>
      <c r="AJ582" s="22"/>
    </row>
    <row r="583" spans="1:36" ht="14.25" customHeight="1" x14ac:dyDescent="0.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1"/>
      <c r="AD583" s="22"/>
      <c r="AJ583" s="22"/>
    </row>
    <row r="584" spans="1:36" ht="14.25" customHeight="1" x14ac:dyDescent="0.3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1"/>
      <c r="AD584" s="22"/>
      <c r="AJ584" s="22"/>
    </row>
    <row r="585" spans="1:36" ht="14.25" customHeight="1" x14ac:dyDescent="0.3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1"/>
      <c r="AD585" s="22"/>
      <c r="AJ585" s="22"/>
    </row>
    <row r="586" spans="1:36" ht="14.25" customHeight="1" x14ac:dyDescent="0.3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1"/>
      <c r="AD586" s="22"/>
      <c r="AJ586" s="22"/>
    </row>
    <row r="587" spans="1:36" ht="14.25" customHeight="1" x14ac:dyDescent="0.3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1"/>
      <c r="AD587" s="22"/>
      <c r="AJ587" s="22"/>
    </row>
    <row r="588" spans="1:36" ht="14.25" customHeight="1" x14ac:dyDescent="0.3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1"/>
      <c r="AD588" s="22"/>
      <c r="AJ588" s="22"/>
    </row>
    <row r="589" spans="1:36" ht="14.25" customHeight="1" x14ac:dyDescent="0.3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1"/>
      <c r="AD589" s="22"/>
      <c r="AJ589" s="22"/>
    </row>
    <row r="590" spans="1:36" ht="14.25" customHeight="1" x14ac:dyDescent="0.3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1"/>
      <c r="AD590" s="22"/>
      <c r="AJ590" s="22"/>
    </row>
    <row r="591" spans="1:36" ht="14.25" customHeight="1" x14ac:dyDescent="0.3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1"/>
      <c r="AD591" s="22"/>
      <c r="AJ591" s="22"/>
    </row>
    <row r="592" spans="1:36" ht="14.25" customHeight="1" x14ac:dyDescent="0.3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1"/>
      <c r="AD592" s="22"/>
      <c r="AJ592" s="22"/>
    </row>
    <row r="593" spans="1:36" ht="14.25" customHeight="1" x14ac:dyDescent="0.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1"/>
      <c r="AD593" s="22"/>
      <c r="AJ593" s="22"/>
    </row>
    <row r="594" spans="1:36" ht="14.25" customHeight="1" x14ac:dyDescent="0.3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1"/>
      <c r="AD594" s="22"/>
      <c r="AJ594" s="22"/>
    </row>
    <row r="595" spans="1:36" ht="14.25" customHeight="1" x14ac:dyDescent="0.3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1"/>
      <c r="AD595" s="22"/>
      <c r="AJ595" s="22"/>
    </row>
    <row r="596" spans="1:36" ht="14.25" customHeight="1" x14ac:dyDescent="0.3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1"/>
      <c r="AD596" s="22"/>
      <c r="AJ596" s="22"/>
    </row>
    <row r="597" spans="1:36" ht="14.25" customHeight="1" x14ac:dyDescent="0.3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1"/>
      <c r="AD597" s="22"/>
      <c r="AJ597" s="22"/>
    </row>
    <row r="598" spans="1:36" ht="14.25" customHeight="1" x14ac:dyDescent="0.3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1"/>
      <c r="AD598" s="22"/>
      <c r="AJ598" s="22"/>
    </row>
    <row r="599" spans="1:36" ht="14.25" customHeight="1" x14ac:dyDescent="0.3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1"/>
      <c r="AD599" s="22"/>
      <c r="AJ599" s="22"/>
    </row>
    <row r="600" spans="1:36" ht="14.25" customHeight="1" x14ac:dyDescent="0.3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1"/>
      <c r="AD600" s="22"/>
      <c r="AJ600" s="22"/>
    </row>
    <row r="601" spans="1:36" ht="14.25" customHeight="1" x14ac:dyDescent="0.3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1"/>
      <c r="AD601" s="22"/>
      <c r="AJ601" s="22"/>
    </row>
    <row r="602" spans="1:36" ht="14.25" customHeight="1" x14ac:dyDescent="0.3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1"/>
      <c r="AD602" s="22"/>
      <c r="AJ602" s="22"/>
    </row>
    <row r="603" spans="1:36" ht="14.25" customHeight="1" x14ac:dyDescent="0.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1"/>
      <c r="AD603" s="22"/>
      <c r="AJ603" s="22"/>
    </row>
    <row r="604" spans="1:36" ht="14.25" customHeight="1" x14ac:dyDescent="0.3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1"/>
      <c r="AD604" s="22"/>
      <c r="AJ604" s="22"/>
    </row>
    <row r="605" spans="1:36" ht="14.25" customHeight="1" x14ac:dyDescent="0.3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1"/>
      <c r="AD605" s="22"/>
      <c r="AJ605" s="22"/>
    </row>
    <row r="606" spans="1:36" ht="14.25" customHeight="1" x14ac:dyDescent="0.3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1"/>
      <c r="AD606" s="22"/>
      <c r="AJ606" s="22"/>
    </row>
    <row r="607" spans="1:36" ht="14.25" customHeight="1" x14ac:dyDescent="0.3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1"/>
      <c r="AD607" s="22"/>
      <c r="AJ607" s="22"/>
    </row>
    <row r="608" spans="1:36" ht="14.25" customHeight="1" x14ac:dyDescent="0.3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1"/>
      <c r="AD608" s="22"/>
      <c r="AJ608" s="22"/>
    </row>
    <row r="609" spans="1:36" ht="14.25" customHeight="1" x14ac:dyDescent="0.3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1"/>
      <c r="AD609" s="22"/>
      <c r="AJ609" s="22"/>
    </row>
    <row r="610" spans="1:36" ht="14.25" customHeight="1" x14ac:dyDescent="0.3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1"/>
      <c r="AD610" s="22"/>
      <c r="AJ610" s="22"/>
    </row>
    <row r="611" spans="1:36" ht="14.25" customHeight="1" x14ac:dyDescent="0.3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1"/>
      <c r="AD611" s="22"/>
      <c r="AJ611" s="22"/>
    </row>
    <row r="612" spans="1:36" ht="14.25" customHeight="1" x14ac:dyDescent="0.3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1"/>
      <c r="AD612" s="22"/>
      <c r="AJ612" s="22"/>
    </row>
    <row r="613" spans="1:36" ht="14.25" customHeight="1" x14ac:dyDescent="0.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1"/>
      <c r="AD613" s="22"/>
      <c r="AJ613" s="22"/>
    </row>
    <row r="614" spans="1:36" ht="14.25" customHeight="1" x14ac:dyDescent="0.3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1"/>
      <c r="AD614" s="22"/>
      <c r="AJ614" s="22"/>
    </row>
    <row r="615" spans="1:36" ht="14.25" customHeight="1" x14ac:dyDescent="0.3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1"/>
      <c r="AD615" s="22"/>
      <c r="AJ615" s="22"/>
    </row>
    <row r="616" spans="1:36" ht="14.25" customHeight="1" x14ac:dyDescent="0.3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1"/>
      <c r="AD616" s="22"/>
      <c r="AJ616" s="22"/>
    </row>
    <row r="617" spans="1:36" ht="14.25" customHeight="1" x14ac:dyDescent="0.3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1"/>
      <c r="AD617" s="22"/>
      <c r="AJ617" s="22"/>
    </row>
    <row r="618" spans="1:36" ht="14.25" customHeight="1" x14ac:dyDescent="0.3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1"/>
      <c r="AD618" s="22"/>
      <c r="AJ618" s="22"/>
    </row>
    <row r="619" spans="1:36" ht="14.25" customHeight="1" x14ac:dyDescent="0.3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1"/>
      <c r="AD619" s="22"/>
      <c r="AJ619" s="22"/>
    </row>
    <row r="620" spans="1:36" ht="14.25" customHeight="1" x14ac:dyDescent="0.3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1"/>
      <c r="AD620" s="22"/>
      <c r="AJ620" s="22"/>
    </row>
    <row r="621" spans="1:36" ht="14.25" customHeight="1" x14ac:dyDescent="0.3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1"/>
      <c r="AD621" s="22"/>
      <c r="AJ621" s="22"/>
    </row>
    <row r="622" spans="1:36" ht="14.25" customHeight="1" x14ac:dyDescent="0.3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1"/>
      <c r="AD622" s="22"/>
      <c r="AJ622" s="22"/>
    </row>
    <row r="623" spans="1:36" ht="14.25" customHeight="1" x14ac:dyDescent="0.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1"/>
      <c r="AD623" s="22"/>
      <c r="AJ623" s="22"/>
    </row>
    <row r="624" spans="1:36" ht="14.25" customHeight="1" x14ac:dyDescent="0.3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1"/>
      <c r="AD624" s="22"/>
      <c r="AJ624" s="22"/>
    </row>
    <row r="625" spans="1:36" ht="14.25" customHeight="1" x14ac:dyDescent="0.3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1"/>
      <c r="AD625" s="22"/>
      <c r="AJ625" s="22"/>
    </row>
    <row r="626" spans="1:36" ht="14.25" customHeight="1" x14ac:dyDescent="0.3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1"/>
      <c r="AD626" s="22"/>
      <c r="AJ626" s="22"/>
    </row>
    <row r="627" spans="1:36" ht="14.25" customHeight="1" x14ac:dyDescent="0.3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1"/>
      <c r="AD627" s="22"/>
      <c r="AJ627" s="22"/>
    </row>
    <row r="628" spans="1:36" ht="14.25" customHeight="1" x14ac:dyDescent="0.3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1"/>
      <c r="AD628" s="22"/>
      <c r="AJ628" s="22"/>
    </row>
    <row r="629" spans="1:36" ht="14.25" customHeight="1" x14ac:dyDescent="0.3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1"/>
      <c r="AD629" s="22"/>
      <c r="AJ629" s="22"/>
    </row>
    <row r="630" spans="1:36" ht="14.25" customHeight="1" x14ac:dyDescent="0.3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1"/>
      <c r="AD630" s="22"/>
      <c r="AJ630" s="22"/>
    </row>
    <row r="631" spans="1:36" ht="14.25" customHeight="1" x14ac:dyDescent="0.3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1"/>
      <c r="AD631" s="22"/>
      <c r="AJ631" s="22"/>
    </row>
    <row r="632" spans="1:36" ht="14.25" customHeight="1" x14ac:dyDescent="0.3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1"/>
      <c r="AD632" s="22"/>
      <c r="AJ632" s="22"/>
    </row>
    <row r="633" spans="1:36" ht="14.25" customHeight="1" x14ac:dyDescent="0.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1"/>
      <c r="AD633" s="22"/>
      <c r="AJ633" s="22"/>
    </row>
    <row r="634" spans="1:36" ht="14.25" customHeight="1" x14ac:dyDescent="0.3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1"/>
      <c r="AD634" s="22"/>
      <c r="AJ634" s="22"/>
    </row>
    <row r="635" spans="1:36" ht="14.25" customHeight="1" x14ac:dyDescent="0.3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1"/>
      <c r="AD635" s="22"/>
      <c r="AJ635" s="22"/>
    </row>
    <row r="636" spans="1:36" ht="14.25" customHeight="1" x14ac:dyDescent="0.3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1"/>
      <c r="AD636" s="22"/>
      <c r="AJ636" s="22"/>
    </row>
    <row r="637" spans="1:36" ht="14.25" customHeight="1" x14ac:dyDescent="0.3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1"/>
      <c r="AD637" s="22"/>
      <c r="AJ637" s="22"/>
    </row>
    <row r="638" spans="1:36" ht="14.25" customHeight="1" x14ac:dyDescent="0.3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1"/>
      <c r="AD638" s="22"/>
      <c r="AJ638" s="22"/>
    </row>
    <row r="639" spans="1:36" ht="14.25" customHeight="1" x14ac:dyDescent="0.3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1"/>
      <c r="AD639" s="22"/>
      <c r="AJ639" s="22"/>
    </row>
    <row r="640" spans="1:36" ht="14.25" customHeight="1" x14ac:dyDescent="0.3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1"/>
      <c r="AD640" s="22"/>
      <c r="AJ640" s="22"/>
    </row>
    <row r="641" spans="1:36" ht="14.25" customHeight="1" x14ac:dyDescent="0.3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1"/>
      <c r="AD641" s="22"/>
      <c r="AJ641" s="22"/>
    </row>
    <row r="642" spans="1:36" ht="14.25" customHeight="1" x14ac:dyDescent="0.3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1"/>
      <c r="AD642" s="22"/>
      <c r="AJ642" s="22"/>
    </row>
    <row r="643" spans="1:36" ht="14.25" customHeight="1" x14ac:dyDescent="0.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1"/>
      <c r="AD643" s="22"/>
      <c r="AJ643" s="22"/>
    </row>
    <row r="644" spans="1:36" ht="14.25" customHeight="1" x14ac:dyDescent="0.3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1"/>
      <c r="AD644" s="22"/>
      <c r="AJ644" s="22"/>
    </row>
    <row r="645" spans="1:36" ht="14.25" customHeight="1" x14ac:dyDescent="0.3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1"/>
      <c r="AD645" s="22"/>
      <c r="AJ645" s="22"/>
    </row>
    <row r="646" spans="1:36" ht="14.25" customHeight="1" x14ac:dyDescent="0.3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1"/>
      <c r="AD646" s="22"/>
      <c r="AJ646" s="22"/>
    </row>
    <row r="647" spans="1:36" ht="14.25" customHeight="1" x14ac:dyDescent="0.3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1"/>
      <c r="AD647" s="22"/>
      <c r="AJ647" s="22"/>
    </row>
    <row r="648" spans="1:36" ht="14.25" customHeight="1" x14ac:dyDescent="0.3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1"/>
      <c r="AD648" s="22"/>
      <c r="AJ648" s="22"/>
    </row>
    <row r="649" spans="1:36" ht="14.25" customHeight="1" x14ac:dyDescent="0.3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1"/>
      <c r="AD649" s="22"/>
      <c r="AJ649" s="22"/>
    </row>
    <row r="650" spans="1:36" ht="14.25" customHeight="1" x14ac:dyDescent="0.3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1"/>
      <c r="AD650" s="22"/>
      <c r="AJ650" s="22"/>
    </row>
    <row r="651" spans="1:36" ht="14.25" customHeight="1" x14ac:dyDescent="0.3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1"/>
      <c r="AD651" s="22"/>
      <c r="AJ651" s="22"/>
    </row>
    <row r="652" spans="1:36" ht="14.25" customHeight="1" x14ac:dyDescent="0.3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1"/>
      <c r="AD652" s="22"/>
      <c r="AJ652" s="22"/>
    </row>
    <row r="653" spans="1:36" ht="14.25" customHeight="1" x14ac:dyDescent="0.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1"/>
      <c r="AD653" s="22"/>
      <c r="AJ653" s="22"/>
    </row>
    <row r="654" spans="1:36" ht="14.25" customHeight="1" x14ac:dyDescent="0.3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1"/>
      <c r="AD654" s="22"/>
      <c r="AJ654" s="22"/>
    </row>
    <row r="655" spans="1:36" ht="14.25" customHeight="1" x14ac:dyDescent="0.3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1"/>
      <c r="AD655" s="22"/>
      <c r="AJ655" s="22"/>
    </row>
    <row r="656" spans="1:36" ht="14.25" customHeight="1" x14ac:dyDescent="0.3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1"/>
      <c r="AD656" s="22"/>
      <c r="AJ656" s="22"/>
    </row>
    <row r="657" spans="1:36" ht="14.25" customHeight="1" x14ac:dyDescent="0.3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1"/>
      <c r="AD657" s="22"/>
      <c r="AJ657" s="22"/>
    </row>
    <row r="658" spans="1:36" ht="14.25" customHeight="1" x14ac:dyDescent="0.3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1"/>
      <c r="AD658" s="22"/>
      <c r="AJ658" s="22"/>
    </row>
    <row r="659" spans="1:36" ht="14.25" customHeight="1" x14ac:dyDescent="0.3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1"/>
      <c r="AD659" s="22"/>
      <c r="AJ659" s="22"/>
    </row>
    <row r="660" spans="1:36" ht="14.25" customHeight="1" x14ac:dyDescent="0.3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1"/>
      <c r="AD660" s="22"/>
      <c r="AJ660" s="22"/>
    </row>
    <row r="661" spans="1:36" ht="14.25" customHeight="1" x14ac:dyDescent="0.3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1"/>
      <c r="AD661" s="22"/>
      <c r="AJ661" s="22"/>
    </row>
    <row r="662" spans="1:36" ht="14.25" customHeight="1" x14ac:dyDescent="0.3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1"/>
      <c r="AD662" s="22"/>
      <c r="AJ662" s="22"/>
    </row>
    <row r="663" spans="1:36" ht="14.25" customHeight="1" x14ac:dyDescent="0.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1"/>
      <c r="AD663" s="22"/>
      <c r="AJ663" s="22"/>
    </row>
    <row r="664" spans="1:36" ht="14.25" customHeight="1" x14ac:dyDescent="0.3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1"/>
      <c r="AD664" s="22"/>
      <c r="AJ664" s="22"/>
    </row>
    <row r="665" spans="1:36" ht="14.25" customHeight="1" x14ac:dyDescent="0.3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1"/>
      <c r="AD665" s="22"/>
      <c r="AJ665" s="22"/>
    </row>
    <row r="666" spans="1:36" ht="14.25" customHeight="1" x14ac:dyDescent="0.3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1"/>
      <c r="AD666" s="22"/>
      <c r="AJ666" s="22"/>
    </row>
    <row r="667" spans="1:36" ht="14.25" customHeight="1" x14ac:dyDescent="0.3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1"/>
      <c r="AD667" s="22"/>
      <c r="AJ667" s="22"/>
    </row>
    <row r="668" spans="1:36" ht="14.25" customHeight="1" x14ac:dyDescent="0.3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1"/>
      <c r="AD668" s="22"/>
      <c r="AJ668" s="22"/>
    </row>
    <row r="669" spans="1:36" ht="14.25" customHeight="1" x14ac:dyDescent="0.3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1"/>
      <c r="AD669" s="22"/>
      <c r="AJ669" s="22"/>
    </row>
    <row r="670" spans="1:36" ht="14.25" customHeight="1" x14ac:dyDescent="0.3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1"/>
      <c r="AD670" s="22"/>
      <c r="AJ670" s="22"/>
    </row>
    <row r="671" spans="1:36" ht="14.25" customHeight="1" x14ac:dyDescent="0.3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1"/>
      <c r="AD671" s="22"/>
      <c r="AJ671" s="22"/>
    </row>
    <row r="672" spans="1:36" ht="14.25" customHeight="1" x14ac:dyDescent="0.3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1"/>
      <c r="AD672" s="22"/>
      <c r="AJ672" s="22"/>
    </row>
    <row r="673" spans="1:36" ht="14.25" customHeight="1" x14ac:dyDescent="0.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1"/>
      <c r="AD673" s="22"/>
      <c r="AJ673" s="22"/>
    </row>
    <row r="674" spans="1:36" ht="14.25" customHeight="1" x14ac:dyDescent="0.3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1"/>
      <c r="AD674" s="22"/>
      <c r="AJ674" s="22"/>
    </row>
    <row r="675" spans="1:36" ht="14.25" customHeight="1" x14ac:dyDescent="0.3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1"/>
      <c r="AD675" s="22"/>
      <c r="AJ675" s="22"/>
    </row>
    <row r="676" spans="1:36" ht="14.25" customHeight="1" x14ac:dyDescent="0.3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1"/>
      <c r="AD676" s="22"/>
      <c r="AJ676" s="22"/>
    </row>
    <row r="677" spans="1:36" ht="14.25" customHeight="1" x14ac:dyDescent="0.3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1"/>
      <c r="AD677" s="22"/>
      <c r="AJ677" s="22"/>
    </row>
    <row r="678" spans="1:36" ht="14.25" customHeight="1" x14ac:dyDescent="0.3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1"/>
      <c r="AD678" s="22"/>
      <c r="AJ678" s="22"/>
    </row>
    <row r="679" spans="1:36" ht="14.25" customHeight="1" x14ac:dyDescent="0.3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1"/>
      <c r="AD679" s="22"/>
      <c r="AJ679" s="22"/>
    </row>
    <row r="680" spans="1:36" ht="14.25" customHeight="1" x14ac:dyDescent="0.3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1"/>
      <c r="AD680" s="22"/>
      <c r="AJ680" s="22"/>
    </row>
    <row r="681" spans="1:36" ht="14.25" customHeight="1" x14ac:dyDescent="0.3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1"/>
      <c r="AD681" s="22"/>
      <c r="AJ681" s="22"/>
    </row>
    <row r="682" spans="1:36" ht="14.25" customHeight="1" x14ac:dyDescent="0.3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1"/>
      <c r="AD682" s="22"/>
      <c r="AJ682" s="22"/>
    </row>
    <row r="683" spans="1:36" ht="14.25" customHeight="1" x14ac:dyDescent="0.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1"/>
      <c r="AD683" s="22"/>
      <c r="AJ683" s="22"/>
    </row>
    <row r="684" spans="1:36" ht="14.25" customHeight="1" x14ac:dyDescent="0.3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1"/>
      <c r="AD684" s="22"/>
      <c r="AJ684" s="22"/>
    </row>
    <row r="685" spans="1:36" ht="14.25" customHeight="1" x14ac:dyDescent="0.3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1"/>
      <c r="AD685" s="22"/>
      <c r="AJ685" s="22"/>
    </row>
    <row r="686" spans="1:36" ht="14.25" customHeight="1" x14ac:dyDescent="0.3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1"/>
      <c r="AD686" s="22"/>
      <c r="AJ686" s="22"/>
    </row>
    <row r="687" spans="1:36" ht="14.25" customHeight="1" x14ac:dyDescent="0.3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1"/>
      <c r="AD687" s="22"/>
      <c r="AJ687" s="22"/>
    </row>
    <row r="688" spans="1:36" ht="14.25" customHeight="1" x14ac:dyDescent="0.3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1"/>
      <c r="AD688" s="22"/>
      <c r="AJ688" s="22"/>
    </row>
    <row r="689" spans="1:36" ht="14.25" customHeight="1" x14ac:dyDescent="0.3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1"/>
      <c r="AD689" s="22"/>
      <c r="AJ689" s="22"/>
    </row>
    <row r="690" spans="1:36" ht="14.25" customHeight="1" x14ac:dyDescent="0.3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1"/>
      <c r="AD690" s="22"/>
      <c r="AJ690" s="22"/>
    </row>
    <row r="691" spans="1:36" ht="14.25" customHeight="1" x14ac:dyDescent="0.3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1"/>
      <c r="AD691" s="22"/>
      <c r="AJ691" s="22"/>
    </row>
    <row r="692" spans="1:36" ht="14.25" customHeight="1" x14ac:dyDescent="0.3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1"/>
      <c r="AD692" s="22"/>
      <c r="AJ692" s="22"/>
    </row>
    <row r="693" spans="1:36" ht="14.25" customHeight="1" x14ac:dyDescent="0.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1"/>
      <c r="AD693" s="22"/>
      <c r="AJ693" s="22"/>
    </row>
    <row r="694" spans="1:36" ht="14.25" customHeight="1" x14ac:dyDescent="0.3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1"/>
      <c r="AD694" s="22"/>
      <c r="AJ694" s="22"/>
    </row>
    <row r="695" spans="1:36" ht="14.25" customHeight="1" x14ac:dyDescent="0.3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1"/>
      <c r="AD695" s="22"/>
      <c r="AJ695" s="22"/>
    </row>
    <row r="696" spans="1:36" ht="14.25" customHeight="1" x14ac:dyDescent="0.3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1"/>
      <c r="AD696" s="22"/>
      <c r="AJ696" s="22"/>
    </row>
    <row r="697" spans="1:36" ht="14.25" customHeight="1" x14ac:dyDescent="0.3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1"/>
      <c r="AD697" s="22"/>
      <c r="AJ697" s="22"/>
    </row>
    <row r="698" spans="1:36" ht="14.25" customHeight="1" x14ac:dyDescent="0.3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1"/>
      <c r="AD698" s="22"/>
      <c r="AJ698" s="22"/>
    </row>
    <row r="699" spans="1:36" ht="14.25" customHeight="1" x14ac:dyDescent="0.3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1"/>
      <c r="AD699" s="22"/>
      <c r="AJ699" s="22"/>
    </row>
    <row r="700" spans="1:36" ht="14.25" customHeight="1" x14ac:dyDescent="0.3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1"/>
      <c r="AD700" s="22"/>
      <c r="AJ700" s="22"/>
    </row>
    <row r="701" spans="1:36" ht="14.25" customHeight="1" x14ac:dyDescent="0.3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1"/>
      <c r="AD701" s="22"/>
      <c r="AJ701" s="22"/>
    </row>
    <row r="702" spans="1:36" ht="14.25" customHeight="1" x14ac:dyDescent="0.3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1"/>
      <c r="AD702" s="22"/>
      <c r="AJ702" s="22"/>
    </row>
    <row r="703" spans="1:36" ht="14.25" customHeight="1" x14ac:dyDescent="0.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1"/>
      <c r="AD703" s="22"/>
      <c r="AJ703" s="22"/>
    </row>
    <row r="704" spans="1:36" ht="14.25" customHeight="1" x14ac:dyDescent="0.3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1"/>
      <c r="AD704" s="22"/>
      <c r="AJ704" s="22"/>
    </row>
    <row r="705" spans="1:36" ht="14.25" customHeight="1" x14ac:dyDescent="0.3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1"/>
      <c r="AD705" s="22"/>
      <c r="AJ705" s="22"/>
    </row>
    <row r="706" spans="1:36" ht="14.25" customHeight="1" x14ac:dyDescent="0.3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1"/>
      <c r="AD706" s="22"/>
      <c r="AJ706" s="22"/>
    </row>
    <row r="707" spans="1:36" ht="14.25" customHeight="1" x14ac:dyDescent="0.3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1"/>
      <c r="AD707" s="22"/>
      <c r="AJ707" s="22"/>
    </row>
    <row r="708" spans="1:36" ht="14.25" customHeight="1" x14ac:dyDescent="0.3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1"/>
      <c r="AD708" s="22"/>
      <c r="AJ708" s="22"/>
    </row>
    <row r="709" spans="1:36" ht="14.25" customHeight="1" x14ac:dyDescent="0.3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1"/>
      <c r="AD709" s="22"/>
      <c r="AJ709" s="22"/>
    </row>
    <row r="710" spans="1:36" ht="14.25" customHeight="1" x14ac:dyDescent="0.3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1"/>
      <c r="AD710" s="22"/>
      <c r="AJ710" s="22"/>
    </row>
    <row r="711" spans="1:36" ht="14.25" customHeight="1" x14ac:dyDescent="0.3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1"/>
      <c r="AD711" s="22"/>
      <c r="AJ711" s="22"/>
    </row>
    <row r="712" spans="1:36" ht="14.25" customHeight="1" x14ac:dyDescent="0.3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1"/>
      <c r="AD712" s="22"/>
      <c r="AJ712" s="22"/>
    </row>
    <row r="713" spans="1:36" ht="14.25" customHeight="1" x14ac:dyDescent="0.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1"/>
      <c r="AD713" s="22"/>
      <c r="AJ713" s="22"/>
    </row>
    <row r="714" spans="1:36" ht="14.25" customHeight="1" x14ac:dyDescent="0.3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1"/>
      <c r="AD714" s="22"/>
      <c r="AJ714" s="22"/>
    </row>
    <row r="715" spans="1:36" ht="14.25" customHeight="1" x14ac:dyDescent="0.3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1"/>
      <c r="AD715" s="22"/>
      <c r="AJ715" s="22"/>
    </row>
    <row r="716" spans="1:36" ht="14.25" customHeight="1" x14ac:dyDescent="0.3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1"/>
      <c r="AD716" s="22"/>
      <c r="AJ716" s="22"/>
    </row>
    <row r="717" spans="1:36" ht="14.25" customHeight="1" x14ac:dyDescent="0.3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1"/>
      <c r="AD717" s="22"/>
      <c r="AJ717" s="22"/>
    </row>
    <row r="718" spans="1:36" ht="14.25" customHeight="1" x14ac:dyDescent="0.3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1"/>
      <c r="AD718" s="22"/>
      <c r="AJ718" s="22"/>
    </row>
    <row r="719" spans="1:36" ht="14.25" customHeight="1" x14ac:dyDescent="0.3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1"/>
      <c r="AD719" s="22"/>
      <c r="AJ719" s="22"/>
    </row>
    <row r="720" spans="1:36" ht="14.25" customHeight="1" x14ac:dyDescent="0.3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1"/>
      <c r="AD720" s="22"/>
      <c r="AJ720" s="22"/>
    </row>
    <row r="721" spans="1:36" ht="14.25" customHeight="1" x14ac:dyDescent="0.3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1"/>
      <c r="AD721" s="22"/>
      <c r="AJ721" s="22"/>
    </row>
    <row r="722" spans="1:36" ht="14.25" customHeight="1" x14ac:dyDescent="0.3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1"/>
      <c r="AD722" s="22"/>
      <c r="AJ722" s="22"/>
    </row>
    <row r="723" spans="1:36" ht="14.25" customHeight="1" x14ac:dyDescent="0.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1"/>
      <c r="AD723" s="22"/>
      <c r="AJ723" s="22"/>
    </row>
    <row r="724" spans="1:36" ht="14.25" customHeight="1" x14ac:dyDescent="0.3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1"/>
      <c r="AD724" s="22"/>
      <c r="AJ724" s="22"/>
    </row>
    <row r="725" spans="1:36" ht="14.25" customHeight="1" x14ac:dyDescent="0.3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1"/>
      <c r="AD725" s="22"/>
      <c r="AJ725" s="22"/>
    </row>
    <row r="726" spans="1:36" ht="14.25" customHeight="1" x14ac:dyDescent="0.3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1"/>
      <c r="AD726" s="22"/>
      <c r="AJ726" s="22"/>
    </row>
    <row r="727" spans="1:36" ht="14.25" customHeight="1" x14ac:dyDescent="0.3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1"/>
      <c r="AD727" s="22"/>
      <c r="AJ727" s="22"/>
    </row>
    <row r="728" spans="1:36" ht="14.25" customHeight="1" x14ac:dyDescent="0.3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1"/>
      <c r="AD728" s="22"/>
      <c r="AJ728" s="22"/>
    </row>
    <row r="729" spans="1:36" ht="14.25" customHeight="1" x14ac:dyDescent="0.3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1"/>
      <c r="AD729" s="22"/>
      <c r="AJ729" s="22"/>
    </row>
    <row r="730" spans="1:36" ht="14.25" customHeight="1" x14ac:dyDescent="0.3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1"/>
      <c r="AD730" s="22"/>
      <c r="AJ730" s="22"/>
    </row>
    <row r="731" spans="1:36" ht="14.25" customHeight="1" x14ac:dyDescent="0.3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1"/>
      <c r="AD731" s="22"/>
      <c r="AJ731" s="22"/>
    </row>
    <row r="732" spans="1:36" ht="14.25" customHeight="1" x14ac:dyDescent="0.3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1"/>
      <c r="AD732" s="22"/>
      <c r="AJ732" s="22"/>
    </row>
    <row r="733" spans="1:36" ht="14.25" customHeight="1" x14ac:dyDescent="0.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1"/>
      <c r="AD733" s="22"/>
      <c r="AJ733" s="22"/>
    </row>
    <row r="734" spans="1:36" ht="14.25" customHeight="1" x14ac:dyDescent="0.3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1"/>
      <c r="AD734" s="22"/>
      <c r="AJ734" s="22"/>
    </row>
    <row r="735" spans="1:36" ht="14.25" customHeight="1" x14ac:dyDescent="0.3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1"/>
      <c r="AD735" s="22"/>
      <c r="AJ735" s="22"/>
    </row>
    <row r="736" spans="1:36" ht="14.25" customHeight="1" x14ac:dyDescent="0.3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1"/>
      <c r="AD736" s="22"/>
      <c r="AJ736" s="22"/>
    </row>
    <row r="737" spans="1:36" ht="14.25" customHeight="1" x14ac:dyDescent="0.3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1"/>
      <c r="AD737" s="22"/>
      <c r="AJ737" s="22"/>
    </row>
    <row r="738" spans="1:36" ht="14.25" customHeight="1" x14ac:dyDescent="0.3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1"/>
      <c r="AD738" s="22"/>
      <c r="AJ738" s="22"/>
    </row>
    <row r="739" spans="1:36" ht="14.25" customHeight="1" x14ac:dyDescent="0.3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1"/>
      <c r="AD739" s="22"/>
      <c r="AJ739" s="22"/>
    </row>
    <row r="740" spans="1:36" ht="14.25" customHeight="1" x14ac:dyDescent="0.3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1"/>
      <c r="AD740" s="22"/>
      <c r="AJ740" s="22"/>
    </row>
    <row r="741" spans="1:36" ht="14.25" customHeight="1" x14ac:dyDescent="0.3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1"/>
      <c r="AD741" s="22"/>
      <c r="AJ741" s="22"/>
    </row>
    <row r="742" spans="1:36" ht="14.25" customHeight="1" x14ac:dyDescent="0.3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1"/>
      <c r="AD742" s="22"/>
      <c r="AJ742" s="22"/>
    </row>
    <row r="743" spans="1:36" ht="14.25" customHeight="1" x14ac:dyDescent="0.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1"/>
      <c r="AD743" s="22"/>
      <c r="AJ743" s="22"/>
    </row>
    <row r="744" spans="1:36" ht="14.25" customHeight="1" x14ac:dyDescent="0.3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1"/>
      <c r="AD744" s="22"/>
      <c r="AJ744" s="22"/>
    </row>
    <row r="745" spans="1:36" ht="14.25" customHeight="1" x14ac:dyDescent="0.3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1"/>
      <c r="AD745" s="22"/>
      <c r="AJ745" s="22"/>
    </row>
    <row r="746" spans="1:36" ht="14.25" customHeight="1" x14ac:dyDescent="0.3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1"/>
      <c r="AD746" s="22"/>
      <c r="AJ746" s="22"/>
    </row>
    <row r="747" spans="1:36" ht="14.25" customHeight="1" x14ac:dyDescent="0.3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1"/>
      <c r="AD747" s="22"/>
      <c r="AJ747" s="22"/>
    </row>
    <row r="748" spans="1:36" ht="14.25" customHeight="1" x14ac:dyDescent="0.3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1"/>
      <c r="AD748" s="22"/>
      <c r="AJ748" s="22"/>
    </row>
    <row r="749" spans="1:36" ht="14.25" customHeight="1" x14ac:dyDescent="0.3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1"/>
      <c r="AD749" s="22"/>
      <c r="AJ749" s="22"/>
    </row>
    <row r="750" spans="1:36" ht="14.25" customHeight="1" x14ac:dyDescent="0.3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1"/>
      <c r="AD750" s="22"/>
      <c r="AJ750" s="22"/>
    </row>
    <row r="751" spans="1:36" ht="14.25" customHeight="1" x14ac:dyDescent="0.3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1"/>
      <c r="AD751" s="22"/>
      <c r="AJ751" s="22"/>
    </row>
    <row r="752" spans="1:36" ht="14.25" customHeight="1" x14ac:dyDescent="0.3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1"/>
      <c r="AD752" s="22"/>
      <c r="AJ752" s="22"/>
    </row>
    <row r="753" spans="1:36" ht="14.25" customHeight="1" x14ac:dyDescent="0.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1"/>
      <c r="AD753" s="22"/>
      <c r="AJ753" s="22"/>
    </row>
    <row r="754" spans="1:36" ht="14.25" customHeight="1" x14ac:dyDescent="0.3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1"/>
      <c r="AD754" s="22"/>
      <c r="AJ754" s="22"/>
    </row>
    <row r="755" spans="1:36" ht="14.25" customHeight="1" x14ac:dyDescent="0.3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1"/>
      <c r="AD755" s="22"/>
      <c r="AJ755" s="22"/>
    </row>
    <row r="756" spans="1:36" ht="14.25" customHeight="1" x14ac:dyDescent="0.3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1"/>
      <c r="AD756" s="22"/>
      <c r="AJ756" s="22"/>
    </row>
    <row r="757" spans="1:36" ht="14.25" customHeight="1" x14ac:dyDescent="0.3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1"/>
      <c r="AD757" s="22"/>
      <c r="AJ757" s="22"/>
    </row>
    <row r="758" spans="1:36" ht="14.25" customHeight="1" x14ac:dyDescent="0.3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1"/>
      <c r="AD758" s="22"/>
      <c r="AJ758" s="22"/>
    </row>
    <row r="759" spans="1:36" ht="14.25" customHeight="1" x14ac:dyDescent="0.3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1"/>
      <c r="AD759" s="22"/>
      <c r="AJ759" s="22"/>
    </row>
    <row r="760" spans="1:36" ht="14.25" customHeight="1" x14ac:dyDescent="0.3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1"/>
      <c r="AD760" s="22"/>
      <c r="AJ760" s="22"/>
    </row>
    <row r="761" spans="1:36" ht="14.25" customHeight="1" x14ac:dyDescent="0.3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1"/>
      <c r="AD761" s="22"/>
      <c r="AJ761" s="22"/>
    </row>
    <row r="762" spans="1:36" ht="14.25" customHeight="1" x14ac:dyDescent="0.3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1"/>
      <c r="AD762" s="22"/>
      <c r="AJ762" s="22"/>
    </row>
    <row r="763" spans="1:36" ht="14.25" customHeight="1" x14ac:dyDescent="0.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1"/>
      <c r="AD763" s="22"/>
      <c r="AJ763" s="22"/>
    </row>
    <row r="764" spans="1:36" ht="14.25" customHeight="1" x14ac:dyDescent="0.3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1"/>
      <c r="AD764" s="22"/>
      <c r="AJ764" s="22"/>
    </row>
    <row r="765" spans="1:36" ht="14.25" customHeight="1" x14ac:dyDescent="0.3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1"/>
      <c r="AD765" s="22"/>
      <c r="AJ765" s="22"/>
    </row>
    <row r="766" spans="1:36" ht="14.25" customHeight="1" x14ac:dyDescent="0.3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1"/>
      <c r="AD766" s="22"/>
      <c r="AJ766" s="22"/>
    </row>
    <row r="767" spans="1:36" ht="14.25" customHeight="1" x14ac:dyDescent="0.3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1"/>
      <c r="AD767" s="22"/>
      <c r="AJ767" s="22"/>
    </row>
    <row r="768" spans="1:36" ht="14.25" customHeight="1" x14ac:dyDescent="0.3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1"/>
      <c r="AD768" s="22"/>
      <c r="AJ768" s="22"/>
    </row>
    <row r="769" spans="1:36" ht="14.25" customHeight="1" x14ac:dyDescent="0.3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1"/>
      <c r="AD769" s="22"/>
      <c r="AJ769" s="22"/>
    </row>
    <row r="770" spans="1:36" ht="14.25" customHeight="1" x14ac:dyDescent="0.3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1"/>
      <c r="AD770" s="22"/>
      <c r="AJ770" s="22"/>
    </row>
    <row r="771" spans="1:36" ht="14.25" customHeight="1" x14ac:dyDescent="0.3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1"/>
      <c r="AD771" s="22"/>
      <c r="AJ771" s="22"/>
    </row>
    <row r="772" spans="1:36" ht="14.25" customHeight="1" x14ac:dyDescent="0.3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1"/>
      <c r="AD772" s="22"/>
      <c r="AJ772" s="22"/>
    </row>
    <row r="773" spans="1:36" ht="14.25" customHeight="1" x14ac:dyDescent="0.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1"/>
      <c r="AD773" s="22"/>
      <c r="AJ773" s="22"/>
    </row>
    <row r="774" spans="1:36" ht="14.25" customHeight="1" x14ac:dyDescent="0.3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1"/>
      <c r="AD774" s="22"/>
      <c r="AJ774" s="22"/>
    </row>
    <row r="775" spans="1:36" ht="14.25" customHeight="1" x14ac:dyDescent="0.3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1"/>
      <c r="AD775" s="22"/>
      <c r="AJ775" s="22"/>
    </row>
    <row r="776" spans="1:36" ht="14.25" customHeight="1" x14ac:dyDescent="0.3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1"/>
      <c r="AD776" s="22"/>
      <c r="AJ776" s="22"/>
    </row>
    <row r="777" spans="1:36" ht="14.25" customHeight="1" x14ac:dyDescent="0.3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1"/>
      <c r="AD777" s="22"/>
      <c r="AJ777" s="22"/>
    </row>
    <row r="778" spans="1:36" ht="14.25" customHeight="1" x14ac:dyDescent="0.3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1"/>
      <c r="AD778" s="22"/>
      <c r="AJ778" s="22"/>
    </row>
    <row r="779" spans="1:36" ht="14.25" customHeight="1" x14ac:dyDescent="0.3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1"/>
      <c r="AD779" s="22"/>
      <c r="AJ779" s="22"/>
    </row>
    <row r="780" spans="1:36" ht="14.25" customHeight="1" x14ac:dyDescent="0.3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1"/>
      <c r="AD780" s="22"/>
      <c r="AJ780" s="22"/>
    </row>
    <row r="781" spans="1:36" ht="14.25" customHeight="1" x14ac:dyDescent="0.3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1"/>
      <c r="AD781" s="22"/>
      <c r="AJ781" s="22"/>
    </row>
    <row r="782" spans="1:36" ht="14.25" customHeight="1" x14ac:dyDescent="0.3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1"/>
      <c r="AD782" s="22"/>
      <c r="AJ782" s="22"/>
    </row>
    <row r="783" spans="1:36" ht="14.25" customHeight="1" x14ac:dyDescent="0.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1"/>
      <c r="AD783" s="22"/>
      <c r="AJ783" s="22"/>
    </row>
    <row r="784" spans="1:36" ht="14.25" customHeight="1" x14ac:dyDescent="0.3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1"/>
      <c r="AD784" s="22"/>
      <c r="AJ784" s="22"/>
    </row>
    <row r="785" spans="1:36" ht="14.25" customHeight="1" x14ac:dyDescent="0.3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1"/>
      <c r="AD785" s="22"/>
      <c r="AJ785" s="22"/>
    </row>
    <row r="786" spans="1:36" ht="14.25" customHeight="1" x14ac:dyDescent="0.3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1"/>
      <c r="AD786" s="22"/>
      <c r="AJ786" s="22"/>
    </row>
    <row r="787" spans="1:36" ht="14.25" customHeight="1" x14ac:dyDescent="0.3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1"/>
      <c r="AD787" s="22"/>
      <c r="AJ787" s="22"/>
    </row>
    <row r="788" spans="1:36" ht="14.25" customHeight="1" x14ac:dyDescent="0.3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1"/>
      <c r="AD788" s="22"/>
      <c r="AJ788" s="22"/>
    </row>
    <row r="789" spans="1:36" ht="14.25" customHeight="1" x14ac:dyDescent="0.3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1"/>
      <c r="AD789" s="22"/>
      <c r="AJ789" s="22"/>
    </row>
    <row r="790" spans="1:36" ht="14.25" customHeight="1" x14ac:dyDescent="0.3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1"/>
      <c r="AD790" s="22"/>
      <c r="AJ790" s="22"/>
    </row>
    <row r="791" spans="1:36" ht="14.25" customHeight="1" x14ac:dyDescent="0.3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1"/>
      <c r="AD791" s="22"/>
      <c r="AJ791" s="22"/>
    </row>
    <row r="792" spans="1:36" ht="14.25" customHeight="1" x14ac:dyDescent="0.3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1"/>
      <c r="AD792" s="22"/>
      <c r="AJ792" s="22"/>
    </row>
    <row r="793" spans="1:36" ht="14.25" customHeight="1" x14ac:dyDescent="0.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1"/>
      <c r="AD793" s="22"/>
      <c r="AJ793" s="22"/>
    </row>
    <row r="794" spans="1:36" ht="14.25" customHeight="1" x14ac:dyDescent="0.3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1"/>
      <c r="AD794" s="22"/>
      <c r="AJ794" s="22"/>
    </row>
    <row r="795" spans="1:36" ht="14.25" customHeight="1" x14ac:dyDescent="0.3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1"/>
      <c r="AD795" s="22"/>
      <c r="AJ795" s="22"/>
    </row>
    <row r="796" spans="1:36" ht="14.25" customHeight="1" x14ac:dyDescent="0.3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1"/>
      <c r="AD796" s="22"/>
      <c r="AJ796" s="22"/>
    </row>
    <row r="797" spans="1:36" ht="14.25" customHeight="1" x14ac:dyDescent="0.3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1"/>
      <c r="AD797" s="22"/>
      <c r="AJ797" s="22"/>
    </row>
    <row r="798" spans="1:36" ht="14.25" customHeight="1" x14ac:dyDescent="0.3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1"/>
      <c r="AD798" s="22"/>
      <c r="AJ798" s="22"/>
    </row>
    <row r="799" spans="1:36" ht="14.25" customHeight="1" x14ac:dyDescent="0.3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1"/>
      <c r="AD799" s="22"/>
      <c r="AJ799" s="22"/>
    </row>
    <row r="800" spans="1:36" ht="14.25" customHeight="1" x14ac:dyDescent="0.3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1"/>
      <c r="AD800" s="22"/>
      <c r="AJ800" s="22"/>
    </row>
    <row r="801" spans="1:36" ht="14.25" customHeight="1" x14ac:dyDescent="0.3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1"/>
      <c r="AD801" s="22"/>
      <c r="AJ801" s="22"/>
    </row>
    <row r="802" spans="1:36" ht="14.25" customHeight="1" x14ac:dyDescent="0.3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1"/>
      <c r="AD802" s="22"/>
      <c r="AJ802" s="22"/>
    </row>
    <row r="803" spans="1:36" ht="14.25" customHeight="1" x14ac:dyDescent="0.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1"/>
      <c r="AD803" s="22"/>
      <c r="AJ803" s="22"/>
    </row>
    <row r="804" spans="1:36" ht="14.25" customHeight="1" x14ac:dyDescent="0.3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1"/>
      <c r="AD804" s="22"/>
      <c r="AJ804" s="22"/>
    </row>
    <row r="805" spans="1:36" ht="14.25" customHeight="1" x14ac:dyDescent="0.3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1"/>
      <c r="AD805" s="22"/>
      <c r="AJ805" s="22"/>
    </row>
    <row r="806" spans="1:36" ht="14.25" customHeight="1" x14ac:dyDescent="0.3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1"/>
      <c r="AD806" s="22"/>
      <c r="AJ806" s="22"/>
    </row>
    <row r="807" spans="1:36" ht="14.25" customHeight="1" x14ac:dyDescent="0.3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1"/>
      <c r="AD807" s="22"/>
      <c r="AJ807" s="22"/>
    </row>
    <row r="808" spans="1:36" ht="14.25" customHeight="1" x14ac:dyDescent="0.3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1"/>
      <c r="AD808" s="22"/>
      <c r="AJ808" s="22"/>
    </row>
    <row r="809" spans="1:36" ht="14.25" customHeight="1" x14ac:dyDescent="0.3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1"/>
      <c r="AD809" s="22"/>
      <c r="AJ809" s="22"/>
    </row>
    <row r="810" spans="1:36" ht="14.25" customHeight="1" x14ac:dyDescent="0.3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1"/>
      <c r="AD810" s="22"/>
      <c r="AJ810" s="22"/>
    </row>
    <row r="811" spans="1:36" ht="14.25" customHeight="1" x14ac:dyDescent="0.3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1"/>
      <c r="AD811" s="22"/>
      <c r="AJ811" s="22"/>
    </row>
    <row r="812" spans="1:36" ht="14.25" customHeight="1" x14ac:dyDescent="0.3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1"/>
      <c r="AD812" s="22"/>
      <c r="AJ812" s="22"/>
    </row>
    <row r="813" spans="1:36" ht="14.25" customHeight="1" x14ac:dyDescent="0.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1"/>
      <c r="AD813" s="22"/>
      <c r="AJ813" s="22"/>
    </row>
    <row r="814" spans="1:36" ht="14.25" customHeight="1" x14ac:dyDescent="0.3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1"/>
      <c r="AD814" s="22"/>
      <c r="AJ814" s="22"/>
    </row>
    <row r="815" spans="1:36" ht="14.25" customHeight="1" x14ac:dyDescent="0.3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1"/>
      <c r="AD815" s="22"/>
      <c r="AJ815" s="22"/>
    </row>
    <row r="816" spans="1:36" ht="14.25" customHeight="1" x14ac:dyDescent="0.3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1"/>
      <c r="AD816" s="22"/>
      <c r="AJ816" s="22"/>
    </row>
    <row r="817" spans="1:36" ht="14.25" customHeight="1" x14ac:dyDescent="0.3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1"/>
      <c r="AD817" s="22"/>
      <c r="AJ817" s="22"/>
    </row>
    <row r="818" spans="1:36" ht="14.25" customHeight="1" x14ac:dyDescent="0.3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1"/>
      <c r="AD818" s="22"/>
      <c r="AJ818" s="22"/>
    </row>
    <row r="819" spans="1:36" ht="14.25" customHeight="1" x14ac:dyDescent="0.3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1"/>
      <c r="AD819" s="22"/>
      <c r="AJ819" s="22"/>
    </row>
    <row r="820" spans="1:36" ht="14.25" customHeight="1" x14ac:dyDescent="0.3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1"/>
      <c r="AD820" s="22"/>
      <c r="AJ820" s="22"/>
    </row>
    <row r="821" spans="1:36" ht="14.25" customHeight="1" x14ac:dyDescent="0.3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1"/>
      <c r="AD821" s="22"/>
      <c r="AJ821" s="22"/>
    </row>
    <row r="822" spans="1:36" ht="14.25" customHeight="1" x14ac:dyDescent="0.3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1"/>
      <c r="AD822" s="22"/>
      <c r="AJ822" s="22"/>
    </row>
    <row r="823" spans="1:36" ht="14.25" customHeight="1" x14ac:dyDescent="0.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1"/>
      <c r="AD823" s="22"/>
      <c r="AJ823" s="22"/>
    </row>
    <row r="824" spans="1:36" ht="14.25" customHeight="1" x14ac:dyDescent="0.3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1"/>
      <c r="AD824" s="22"/>
      <c r="AJ824" s="22"/>
    </row>
    <row r="825" spans="1:36" ht="14.25" customHeight="1" x14ac:dyDescent="0.3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1"/>
      <c r="AD825" s="22"/>
      <c r="AJ825" s="22"/>
    </row>
    <row r="826" spans="1:36" ht="14.25" customHeight="1" x14ac:dyDescent="0.3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1"/>
      <c r="AD826" s="22"/>
      <c r="AJ826" s="22"/>
    </row>
    <row r="827" spans="1:36" ht="14.25" customHeight="1" x14ac:dyDescent="0.3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1"/>
      <c r="AD827" s="22"/>
      <c r="AJ827" s="22"/>
    </row>
    <row r="828" spans="1:36" ht="14.25" customHeight="1" x14ac:dyDescent="0.3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1"/>
      <c r="AD828" s="22"/>
      <c r="AJ828" s="22"/>
    </row>
    <row r="829" spans="1:36" ht="14.25" customHeight="1" x14ac:dyDescent="0.3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1"/>
      <c r="AD829" s="22"/>
      <c r="AJ829" s="22"/>
    </row>
    <row r="830" spans="1:36" ht="14.25" customHeight="1" x14ac:dyDescent="0.3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1"/>
      <c r="AD830" s="22"/>
      <c r="AJ830" s="22"/>
    </row>
    <row r="831" spans="1:36" ht="14.25" customHeight="1" x14ac:dyDescent="0.3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1"/>
      <c r="AD831" s="22"/>
      <c r="AJ831" s="22"/>
    </row>
    <row r="832" spans="1:36" ht="14.25" customHeight="1" x14ac:dyDescent="0.3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1"/>
      <c r="AD832" s="22"/>
      <c r="AJ832" s="22"/>
    </row>
    <row r="833" spans="1:36" ht="14.25" customHeight="1" x14ac:dyDescent="0.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1"/>
      <c r="AD833" s="22"/>
      <c r="AJ833" s="22"/>
    </row>
    <row r="834" spans="1:36" ht="14.25" customHeight="1" x14ac:dyDescent="0.3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1"/>
      <c r="AD834" s="22"/>
      <c r="AJ834" s="22"/>
    </row>
    <row r="835" spans="1:36" ht="14.25" customHeight="1" x14ac:dyDescent="0.3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1"/>
      <c r="AD835" s="22"/>
      <c r="AJ835" s="22"/>
    </row>
    <row r="836" spans="1:36" ht="14.25" customHeight="1" x14ac:dyDescent="0.3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1"/>
      <c r="AD836" s="22"/>
      <c r="AJ836" s="22"/>
    </row>
    <row r="837" spans="1:36" ht="14.25" customHeight="1" x14ac:dyDescent="0.3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1"/>
      <c r="AD837" s="22"/>
      <c r="AJ837" s="22"/>
    </row>
    <row r="838" spans="1:36" ht="14.25" customHeight="1" x14ac:dyDescent="0.3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1"/>
      <c r="AD838" s="22"/>
      <c r="AJ838" s="22"/>
    </row>
    <row r="839" spans="1:36" ht="14.25" customHeight="1" x14ac:dyDescent="0.3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1"/>
      <c r="AD839" s="22"/>
      <c r="AJ839" s="22"/>
    </row>
    <row r="840" spans="1:36" ht="14.25" customHeight="1" x14ac:dyDescent="0.3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1"/>
      <c r="AD840" s="22"/>
      <c r="AJ840" s="22"/>
    </row>
    <row r="841" spans="1:36" ht="14.25" customHeight="1" x14ac:dyDescent="0.3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1"/>
      <c r="AD841" s="22"/>
      <c r="AJ841" s="22"/>
    </row>
    <row r="842" spans="1:36" ht="14.25" customHeight="1" x14ac:dyDescent="0.3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1"/>
      <c r="AD842" s="22"/>
      <c r="AJ842" s="22"/>
    </row>
    <row r="843" spans="1:36" ht="14.25" customHeight="1" x14ac:dyDescent="0.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1"/>
      <c r="AD843" s="22"/>
      <c r="AJ843" s="22"/>
    </row>
    <row r="844" spans="1:36" ht="14.25" customHeight="1" x14ac:dyDescent="0.3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1"/>
      <c r="AD844" s="22"/>
      <c r="AJ844" s="22"/>
    </row>
    <row r="845" spans="1:36" ht="14.25" customHeight="1" x14ac:dyDescent="0.3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1"/>
      <c r="AD845" s="22"/>
      <c r="AJ845" s="22"/>
    </row>
    <row r="846" spans="1:36" ht="14.25" customHeight="1" x14ac:dyDescent="0.3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1"/>
      <c r="AD846" s="22"/>
      <c r="AJ846" s="22"/>
    </row>
    <row r="847" spans="1:36" ht="14.25" customHeight="1" x14ac:dyDescent="0.3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1"/>
      <c r="AD847" s="22"/>
      <c r="AJ847" s="22"/>
    </row>
    <row r="848" spans="1:36" ht="14.25" customHeight="1" x14ac:dyDescent="0.3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1"/>
      <c r="AD848" s="22"/>
      <c r="AJ848" s="22"/>
    </row>
    <row r="849" spans="1:36" ht="14.25" customHeight="1" x14ac:dyDescent="0.3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1"/>
      <c r="AD849" s="22"/>
      <c r="AJ849" s="22"/>
    </row>
    <row r="850" spans="1:36" ht="14.25" customHeight="1" x14ac:dyDescent="0.3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1"/>
      <c r="AD850" s="22"/>
      <c r="AJ850" s="22"/>
    </row>
    <row r="851" spans="1:36" ht="14.25" customHeight="1" x14ac:dyDescent="0.3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1"/>
      <c r="AD851" s="22"/>
      <c r="AJ851" s="22"/>
    </row>
    <row r="852" spans="1:36" ht="14.25" customHeight="1" x14ac:dyDescent="0.3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1"/>
      <c r="AD852" s="22"/>
      <c r="AJ852" s="22"/>
    </row>
    <row r="853" spans="1:36" ht="14.25" customHeight="1" x14ac:dyDescent="0.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1"/>
      <c r="AD853" s="22"/>
      <c r="AJ853" s="22"/>
    </row>
    <row r="854" spans="1:36" ht="14.25" customHeight="1" x14ac:dyDescent="0.3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1"/>
      <c r="AD854" s="22"/>
      <c r="AJ854" s="22"/>
    </row>
    <row r="855" spans="1:36" ht="14.25" customHeight="1" x14ac:dyDescent="0.3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1"/>
      <c r="AD855" s="22"/>
      <c r="AJ855" s="22"/>
    </row>
    <row r="856" spans="1:36" ht="14.25" customHeight="1" x14ac:dyDescent="0.3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1"/>
      <c r="AD856" s="22"/>
      <c r="AJ856" s="22"/>
    </row>
    <row r="857" spans="1:36" ht="14.25" customHeight="1" x14ac:dyDescent="0.3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1"/>
      <c r="AD857" s="22"/>
      <c r="AJ857" s="22"/>
    </row>
    <row r="858" spans="1:36" ht="14.25" customHeight="1" x14ac:dyDescent="0.3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1"/>
      <c r="AD858" s="22"/>
      <c r="AJ858" s="22"/>
    </row>
    <row r="859" spans="1:36" ht="14.25" customHeight="1" x14ac:dyDescent="0.3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1"/>
      <c r="AD859" s="22"/>
      <c r="AJ859" s="22"/>
    </row>
    <row r="860" spans="1:36" ht="14.25" customHeight="1" x14ac:dyDescent="0.3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1"/>
      <c r="AD860" s="22"/>
      <c r="AJ860" s="22"/>
    </row>
    <row r="861" spans="1:36" ht="14.25" customHeight="1" x14ac:dyDescent="0.3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1"/>
      <c r="AD861" s="22"/>
      <c r="AJ861" s="22"/>
    </row>
    <row r="862" spans="1:36" ht="14.25" customHeight="1" x14ac:dyDescent="0.3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1"/>
      <c r="AD862" s="22"/>
      <c r="AJ862" s="22"/>
    </row>
    <row r="863" spans="1:36" ht="14.25" customHeight="1" x14ac:dyDescent="0.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1"/>
      <c r="AD863" s="22"/>
      <c r="AJ863" s="22"/>
    </row>
    <row r="864" spans="1:36" ht="14.25" customHeight="1" x14ac:dyDescent="0.3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1"/>
      <c r="AD864" s="22"/>
      <c r="AJ864" s="22"/>
    </row>
    <row r="865" spans="1:36" ht="14.25" customHeight="1" x14ac:dyDescent="0.3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1"/>
      <c r="AD865" s="22"/>
      <c r="AJ865" s="22"/>
    </row>
    <row r="866" spans="1:36" ht="14.25" customHeight="1" x14ac:dyDescent="0.3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1"/>
      <c r="AD866" s="22"/>
      <c r="AJ866" s="22"/>
    </row>
    <row r="867" spans="1:36" ht="14.25" customHeight="1" x14ac:dyDescent="0.3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1"/>
      <c r="AD867" s="22"/>
      <c r="AJ867" s="22"/>
    </row>
    <row r="868" spans="1:36" ht="14.25" customHeight="1" x14ac:dyDescent="0.3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1"/>
      <c r="AD868" s="22"/>
      <c r="AJ868" s="22"/>
    </row>
    <row r="869" spans="1:36" ht="14.25" customHeight="1" x14ac:dyDescent="0.3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1"/>
      <c r="AD869" s="22"/>
      <c r="AJ869" s="22"/>
    </row>
    <row r="870" spans="1:36" ht="14.25" customHeight="1" x14ac:dyDescent="0.3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1"/>
      <c r="AD870" s="22"/>
      <c r="AJ870" s="22"/>
    </row>
    <row r="871" spans="1:36" ht="14.25" customHeight="1" x14ac:dyDescent="0.3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1"/>
      <c r="AD871" s="22"/>
      <c r="AJ871" s="22"/>
    </row>
    <row r="872" spans="1:36" ht="14.25" customHeight="1" x14ac:dyDescent="0.3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1"/>
      <c r="AD872" s="22"/>
      <c r="AJ872" s="22"/>
    </row>
    <row r="873" spans="1:36" ht="14.25" customHeight="1" x14ac:dyDescent="0.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1"/>
      <c r="AD873" s="22"/>
      <c r="AJ873" s="22"/>
    </row>
    <row r="874" spans="1:36" ht="14.25" customHeight="1" x14ac:dyDescent="0.3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1"/>
      <c r="AD874" s="22"/>
      <c r="AJ874" s="22"/>
    </row>
    <row r="875" spans="1:36" ht="14.25" customHeight="1" x14ac:dyDescent="0.3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1"/>
      <c r="AD875" s="22"/>
      <c r="AJ875" s="22"/>
    </row>
    <row r="876" spans="1:36" ht="14.25" customHeight="1" x14ac:dyDescent="0.3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1"/>
      <c r="AD876" s="22"/>
      <c r="AJ876" s="22"/>
    </row>
    <row r="877" spans="1:36" ht="14.25" customHeight="1" x14ac:dyDescent="0.3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1"/>
      <c r="AD877" s="22"/>
      <c r="AJ877" s="22"/>
    </row>
    <row r="878" spans="1:36" ht="14.25" customHeight="1" x14ac:dyDescent="0.3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1"/>
      <c r="AD878" s="22"/>
      <c r="AJ878" s="22"/>
    </row>
    <row r="879" spans="1:36" ht="14.25" customHeight="1" x14ac:dyDescent="0.3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1"/>
      <c r="AD879" s="22"/>
      <c r="AJ879" s="22"/>
    </row>
    <row r="880" spans="1:36" ht="14.25" customHeight="1" x14ac:dyDescent="0.3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1"/>
      <c r="AD880" s="22"/>
      <c r="AJ880" s="22"/>
    </row>
    <row r="881" spans="1:36" ht="14.25" customHeight="1" x14ac:dyDescent="0.3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1"/>
      <c r="AD881" s="22"/>
      <c r="AJ881" s="22"/>
    </row>
    <row r="882" spans="1:36" ht="14.25" customHeight="1" x14ac:dyDescent="0.3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1"/>
      <c r="AD882" s="22"/>
      <c r="AJ882" s="22"/>
    </row>
    <row r="883" spans="1:36" ht="14.25" customHeight="1" x14ac:dyDescent="0.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1"/>
      <c r="AD883" s="22"/>
      <c r="AJ883" s="22"/>
    </row>
    <row r="884" spans="1:36" ht="14.25" customHeight="1" x14ac:dyDescent="0.3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1"/>
      <c r="AD884" s="22"/>
      <c r="AJ884" s="22"/>
    </row>
    <row r="885" spans="1:36" ht="14.25" customHeight="1" x14ac:dyDescent="0.3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1"/>
      <c r="AD885" s="22"/>
      <c r="AJ885" s="22"/>
    </row>
    <row r="886" spans="1:36" ht="14.25" customHeight="1" x14ac:dyDescent="0.3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1"/>
      <c r="AD886" s="22"/>
      <c r="AJ886" s="22"/>
    </row>
    <row r="887" spans="1:36" ht="14.25" customHeight="1" x14ac:dyDescent="0.3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1"/>
      <c r="AD887" s="22"/>
      <c r="AJ887" s="22"/>
    </row>
    <row r="888" spans="1:36" ht="14.25" customHeight="1" x14ac:dyDescent="0.3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1"/>
      <c r="AD888" s="22"/>
      <c r="AJ888" s="22"/>
    </row>
    <row r="889" spans="1:36" ht="14.25" customHeight="1" x14ac:dyDescent="0.3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1"/>
      <c r="AD889" s="22"/>
      <c r="AJ889" s="22"/>
    </row>
    <row r="890" spans="1:36" ht="14.4" x14ac:dyDescent="0.3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1"/>
      <c r="AD890" s="22"/>
      <c r="AJ890" s="22"/>
    </row>
    <row r="891" spans="1:36" ht="14.4" x14ac:dyDescent="0.3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1"/>
      <c r="AD891" s="22"/>
      <c r="AJ891" s="22"/>
    </row>
    <row r="892" spans="1:36" ht="14.4" x14ac:dyDescent="0.3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1"/>
      <c r="AD892" s="22"/>
      <c r="AJ892" s="22"/>
    </row>
    <row r="893" spans="1:36" ht="14.4" x14ac:dyDescent="0.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1"/>
      <c r="AD893" s="22"/>
      <c r="AJ893" s="22"/>
    </row>
    <row r="894" spans="1:36" ht="14.4" x14ac:dyDescent="0.3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1"/>
      <c r="AD894" s="22"/>
      <c r="AJ894" s="22"/>
    </row>
    <row r="895" spans="1:36" ht="14.4" x14ac:dyDescent="0.3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1"/>
      <c r="AD895" s="22"/>
      <c r="AJ895" s="22"/>
    </row>
    <row r="896" spans="1:36" ht="14.4" x14ac:dyDescent="0.3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1"/>
      <c r="AD896" s="22"/>
      <c r="AJ896" s="22"/>
    </row>
    <row r="897" spans="1:36" ht="14.4" x14ac:dyDescent="0.3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1"/>
      <c r="AD897" s="22"/>
      <c r="AJ897" s="22"/>
    </row>
    <row r="898" spans="1:36" ht="14.4" x14ac:dyDescent="0.3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1"/>
      <c r="AD898" s="22"/>
      <c r="AJ898" s="22"/>
    </row>
    <row r="899" spans="1:36" ht="14.4" x14ac:dyDescent="0.3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1"/>
      <c r="AD899" s="22"/>
      <c r="AJ899" s="22"/>
    </row>
    <row r="900" spans="1:36" ht="14.4" x14ac:dyDescent="0.3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1"/>
      <c r="AD900" s="22"/>
      <c r="AJ900" s="22"/>
    </row>
    <row r="901" spans="1:36" ht="14.4" x14ac:dyDescent="0.3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1"/>
      <c r="AD901" s="22"/>
      <c r="AJ901" s="22"/>
    </row>
    <row r="902" spans="1:36" ht="14.4" x14ac:dyDescent="0.3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1"/>
      <c r="AD902" s="22"/>
      <c r="AJ902" s="22"/>
    </row>
    <row r="903" spans="1:36" ht="14.4" x14ac:dyDescent="0.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1"/>
      <c r="AD903" s="22"/>
      <c r="AJ903" s="22"/>
    </row>
    <row r="904" spans="1:36" ht="14.4" x14ac:dyDescent="0.3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1"/>
      <c r="AD904" s="22"/>
      <c r="AJ904" s="22"/>
    </row>
    <row r="905" spans="1:36" ht="14.4" x14ac:dyDescent="0.3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1"/>
      <c r="AD905" s="22"/>
      <c r="AJ905" s="22"/>
    </row>
    <row r="906" spans="1:36" ht="14.4" x14ac:dyDescent="0.3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1"/>
      <c r="AD906" s="22"/>
      <c r="AJ906" s="22"/>
    </row>
    <row r="907" spans="1:36" ht="14.4" x14ac:dyDescent="0.3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1"/>
      <c r="AD907" s="22"/>
      <c r="AJ907" s="22"/>
    </row>
    <row r="908" spans="1:36" ht="14.4" x14ac:dyDescent="0.3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1"/>
      <c r="AD908" s="22"/>
      <c r="AJ908" s="22"/>
    </row>
    <row r="909" spans="1:36" ht="14.4" x14ac:dyDescent="0.3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1"/>
      <c r="AD909" s="22"/>
      <c r="AJ909" s="22"/>
    </row>
    <row r="910" spans="1:36" ht="14.4" x14ac:dyDescent="0.3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1"/>
      <c r="AD910" s="22"/>
      <c r="AJ910" s="22"/>
    </row>
    <row r="911" spans="1:36" ht="14.4" x14ac:dyDescent="0.3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1"/>
      <c r="AD911" s="22"/>
      <c r="AJ911" s="22"/>
    </row>
    <row r="912" spans="1:36" ht="14.4" x14ac:dyDescent="0.3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1"/>
      <c r="AD912" s="22"/>
      <c r="AJ912" s="22"/>
    </row>
    <row r="913" spans="1:36" ht="14.4" x14ac:dyDescent="0.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1"/>
      <c r="AD913" s="22"/>
      <c r="AJ913" s="22"/>
    </row>
    <row r="914" spans="1:36" ht="14.4" x14ac:dyDescent="0.3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1"/>
      <c r="AD914" s="22"/>
      <c r="AJ914" s="22"/>
    </row>
    <row r="915" spans="1:36" ht="14.4" x14ac:dyDescent="0.3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1"/>
      <c r="AD915" s="22"/>
      <c r="AJ915" s="22"/>
    </row>
    <row r="916" spans="1:36" ht="14.4" x14ac:dyDescent="0.3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1"/>
      <c r="AD916" s="22"/>
      <c r="AJ916" s="22"/>
    </row>
    <row r="917" spans="1:36" ht="14.4" x14ac:dyDescent="0.3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1"/>
      <c r="AD917" s="22"/>
      <c r="AJ917" s="22"/>
    </row>
    <row r="918" spans="1:36" ht="14.4" x14ac:dyDescent="0.3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1"/>
      <c r="AD918" s="22"/>
      <c r="AJ918" s="22"/>
    </row>
    <row r="919" spans="1:36" ht="14.4" x14ac:dyDescent="0.3">
      <c r="Z919" s="22"/>
      <c r="AD919" s="22"/>
      <c r="AJ919" s="22"/>
    </row>
    <row r="920" spans="1:36" ht="14.4" x14ac:dyDescent="0.3">
      <c r="Z920" s="22"/>
      <c r="AD920" s="22"/>
      <c r="AJ920" s="22"/>
    </row>
    <row r="921" spans="1:36" ht="14.4" x14ac:dyDescent="0.3">
      <c r="Z921" s="22"/>
      <c r="AD921" s="22"/>
      <c r="AJ921" s="22"/>
    </row>
    <row r="922" spans="1:36" ht="14.4" x14ac:dyDescent="0.3">
      <c r="Z922" s="22"/>
      <c r="AD922" s="22"/>
      <c r="AJ922" s="22"/>
    </row>
    <row r="923" spans="1:36" ht="14.4" x14ac:dyDescent="0.3">
      <c r="Z923" s="22"/>
      <c r="AD923" s="22"/>
      <c r="AJ923" s="22"/>
    </row>
    <row r="924" spans="1:36" ht="14.4" x14ac:dyDescent="0.3">
      <c r="Z924" s="22"/>
      <c r="AD924" s="22"/>
      <c r="AJ924" s="22"/>
    </row>
    <row r="925" spans="1:36" ht="14.4" x14ac:dyDescent="0.3">
      <c r="Z925" s="22"/>
      <c r="AD925" s="22"/>
      <c r="AJ925" s="22"/>
    </row>
    <row r="926" spans="1:36" ht="14.4" x14ac:dyDescent="0.3">
      <c r="Z926" s="22"/>
      <c r="AD926" s="22"/>
      <c r="AJ926" s="22"/>
    </row>
    <row r="927" spans="1:36" ht="14.4" x14ac:dyDescent="0.3">
      <c r="Z927" s="22"/>
      <c r="AD927" s="22"/>
      <c r="AJ927" s="22"/>
    </row>
    <row r="928" spans="1:36" ht="14.4" x14ac:dyDescent="0.3">
      <c r="Z928" s="22"/>
      <c r="AD928" s="22"/>
      <c r="AJ928" s="22"/>
    </row>
    <row r="929" spans="26:36" ht="14.4" x14ac:dyDescent="0.3">
      <c r="Z929" s="22"/>
      <c r="AD929" s="22"/>
      <c r="AJ929" s="22"/>
    </row>
    <row r="930" spans="26:36" ht="14.4" x14ac:dyDescent="0.3">
      <c r="Z930" s="22"/>
      <c r="AD930" s="22"/>
      <c r="AJ930" s="22"/>
    </row>
    <row r="931" spans="26:36" ht="14.4" x14ac:dyDescent="0.3">
      <c r="Z931" s="22"/>
      <c r="AD931" s="22"/>
      <c r="AJ931" s="22"/>
    </row>
    <row r="932" spans="26:36" ht="14.4" x14ac:dyDescent="0.3">
      <c r="Z932" s="22"/>
      <c r="AD932" s="22"/>
      <c r="AJ932" s="22"/>
    </row>
    <row r="933" spans="26:36" ht="14.4" x14ac:dyDescent="0.3">
      <c r="Z933" s="22"/>
      <c r="AD933" s="22"/>
      <c r="AJ933" s="22"/>
    </row>
    <row r="934" spans="26:36" ht="14.4" x14ac:dyDescent="0.3">
      <c r="Z934" s="22"/>
      <c r="AD934" s="22"/>
      <c r="AJ934" s="22"/>
    </row>
    <row r="935" spans="26:36" ht="14.4" x14ac:dyDescent="0.3">
      <c r="Z935" s="22"/>
      <c r="AD935" s="22"/>
      <c r="AJ935" s="22"/>
    </row>
    <row r="936" spans="26:36" ht="14.4" x14ac:dyDescent="0.3">
      <c r="Z936" s="22"/>
      <c r="AD936" s="22"/>
      <c r="AJ936" s="22"/>
    </row>
    <row r="937" spans="26:36" ht="14.4" x14ac:dyDescent="0.3">
      <c r="Z937" s="22"/>
      <c r="AD937" s="22"/>
      <c r="AJ937" s="22"/>
    </row>
    <row r="938" spans="26:36" ht="14.4" x14ac:dyDescent="0.3">
      <c r="Z938" s="22"/>
      <c r="AD938" s="22"/>
      <c r="AJ938" s="22"/>
    </row>
    <row r="939" spans="26:36" ht="14.4" x14ac:dyDescent="0.3">
      <c r="Z939" s="22"/>
      <c r="AD939" s="22"/>
      <c r="AJ939" s="22"/>
    </row>
    <row r="940" spans="26:36" ht="14.4" x14ac:dyDescent="0.3">
      <c r="Z940" s="22"/>
      <c r="AD940" s="22"/>
      <c r="AJ940" s="22"/>
    </row>
    <row r="941" spans="26:36" ht="14.4" x14ac:dyDescent="0.3">
      <c r="Z941" s="22"/>
      <c r="AD941" s="22"/>
      <c r="AJ941" s="22"/>
    </row>
    <row r="942" spans="26:36" ht="14.4" x14ac:dyDescent="0.3">
      <c r="Z942" s="22"/>
      <c r="AD942" s="22"/>
      <c r="AJ942" s="22"/>
    </row>
    <row r="943" spans="26:36" ht="14.4" x14ac:dyDescent="0.3">
      <c r="Z943" s="22"/>
      <c r="AD943" s="22"/>
      <c r="AJ943" s="22"/>
    </row>
    <row r="944" spans="26:36" ht="14.4" x14ac:dyDescent="0.3">
      <c r="Z944" s="22"/>
      <c r="AD944" s="22"/>
      <c r="AJ944" s="22"/>
    </row>
    <row r="945" spans="26:36" ht="14.4" x14ac:dyDescent="0.3">
      <c r="Z945" s="22"/>
      <c r="AD945" s="22"/>
      <c r="AJ945" s="22"/>
    </row>
    <row r="946" spans="26:36" ht="14.4" x14ac:dyDescent="0.3">
      <c r="Z946" s="22"/>
      <c r="AD946" s="22"/>
      <c r="AJ946" s="22"/>
    </row>
    <row r="947" spans="26:36" ht="14.4" x14ac:dyDescent="0.3">
      <c r="Z947" s="22"/>
      <c r="AD947" s="22"/>
      <c r="AJ947" s="22"/>
    </row>
    <row r="948" spans="26:36" ht="14.4" x14ac:dyDescent="0.3">
      <c r="Z948" s="22"/>
      <c r="AD948" s="22"/>
      <c r="AJ948" s="22"/>
    </row>
    <row r="949" spans="26:36" ht="14.4" x14ac:dyDescent="0.3">
      <c r="Z949" s="22"/>
      <c r="AD949" s="22"/>
      <c r="AJ949" s="22"/>
    </row>
    <row r="950" spans="26:36" ht="14.4" x14ac:dyDescent="0.3">
      <c r="Z950" s="22"/>
      <c r="AD950" s="22"/>
      <c r="AJ950" s="22"/>
    </row>
    <row r="951" spans="26:36" ht="14.4" x14ac:dyDescent="0.3">
      <c r="Z951" s="22"/>
      <c r="AD951" s="22"/>
      <c r="AJ951" s="22"/>
    </row>
    <row r="952" spans="26:36" ht="14.4" x14ac:dyDescent="0.3">
      <c r="Z952" s="22"/>
      <c r="AD952" s="22"/>
      <c r="AJ952" s="22"/>
    </row>
    <row r="953" spans="26:36" ht="14.4" x14ac:dyDescent="0.3">
      <c r="Z953" s="22"/>
      <c r="AD953" s="22"/>
      <c r="AJ953" s="22"/>
    </row>
    <row r="954" spans="26:36" ht="14.4" x14ac:dyDescent="0.3">
      <c r="Z954" s="22"/>
      <c r="AD954" s="22"/>
      <c r="AJ954" s="22"/>
    </row>
    <row r="955" spans="26:36" ht="14.4" x14ac:dyDescent="0.3">
      <c r="Z955" s="22"/>
      <c r="AD955" s="22"/>
      <c r="AJ955" s="22"/>
    </row>
    <row r="956" spans="26:36" ht="14.4" x14ac:dyDescent="0.3">
      <c r="Z956" s="22"/>
      <c r="AD956" s="22"/>
      <c r="AJ956" s="22"/>
    </row>
    <row r="957" spans="26:36" ht="14.4" x14ac:dyDescent="0.3">
      <c r="Z957" s="22"/>
      <c r="AD957" s="22"/>
      <c r="AJ957" s="22"/>
    </row>
    <row r="958" spans="26:36" ht="14.4" x14ac:dyDescent="0.3">
      <c r="Z958" s="22"/>
      <c r="AD958" s="22"/>
      <c r="AJ958" s="22"/>
    </row>
    <row r="959" spans="26:36" ht="14.4" x14ac:dyDescent="0.3">
      <c r="Z959" s="22"/>
      <c r="AD959" s="22"/>
      <c r="AJ959" s="22"/>
    </row>
    <row r="960" spans="26:36" ht="14.4" x14ac:dyDescent="0.3">
      <c r="Z960" s="22"/>
      <c r="AD960" s="22"/>
      <c r="AJ960" s="22"/>
    </row>
    <row r="961" spans="26:36" ht="14.4" x14ac:dyDescent="0.3">
      <c r="Z961" s="22"/>
      <c r="AD961" s="22"/>
      <c r="AJ961" s="22"/>
    </row>
    <row r="962" spans="26:36" ht="14.4" x14ac:dyDescent="0.3">
      <c r="Z962" s="22"/>
      <c r="AD962" s="22"/>
      <c r="AJ962" s="22"/>
    </row>
    <row r="963" spans="26:36" ht="14.4" x14ac:dyDescent="0.3">
      <c r="Z963" s="22"/>
      <c r="AD963" s="22"/>
      <c r="AJ963" s="22"/>
    </row>
    <row r="964" spans="26:36" ht="14.4" x14ac:dyDescent="0.3">
      <c r="Z964" s="22"/>
      <c r="AD964" s="22"/>
      <c r="AJ964" s="22"/>
    </row>
    <row r="965" spans="26:36" ht="14.4" x14ac:dyDescent="0.3">
      <c r="Z965" s="22"/>
      <c r="AD965" s="22"/>
      <c r="AJ965" s="22"/>
    </row>
    <row r="966" spans="26:36" ht="14.4" x14ac:dyDescent="0.3">
      <c r="Z966" s="22"/>
      <c r="AD966" s="22"/>
      <c r="AJ966" s="22"/>
    </row>
    <row r="967" spans="26:36" ht="14.4" x14ac:dyDescent="0.3">
      <c r="Z967" s="22"/>
      <c r="AD967" s="22"/>
      <c r="AJ967" s="22"/>
    </row>
    <row r="968" spans="26:36" ht="14.4" x14ac:dyDescent="0.3">
      <c r="Z968" s="22"/>
      <c r="AD968" s="22"/>
      <c r="AJ968" s="22"/>
    </row>
    <row r="969" spans="26:36" ht="14.4" x14ac:dyDescent="0.3">
      <c r="Z969" s="22"/>
      <c r="AD969" s="22"/>
      <c r="AJ969" s="22"/>
    </row>
    <row r="970" spans="26:36" ht="14.4" x14ac:dyDescent="0.3">
      <c r="Z970" s="22"/>
      <c r="AD970" s="22"/>
      <c r="AJ970" s="22"/>
    </row>
    <row r="971" spans="26:36" ht="14.4" x14ac:dyDescent="0.3">
      <c r="Z971" s="22"/>
      <c r="AD971" s="22"/>
      <c r="AJ971" s="22"/>
    </row>
    <row r="972" spans="26:36" ht="14.4" x14ac:dyDescent="0.3">
      <c r="Z972" s="22"/>
      <c r="AD972" s="22"/>
      <c r="AJ972" s="22"/>
    </row>
    <row r="973" spans="26:36" ht="14.4" x14ac:dyDescent="0.3">
      <c r="Z973" s="22"/>
      <c r="AD973" s="22"/>
      <c r="AJ973" s="22"/>
    </row>
    <row r="974" spans="26:36" ht="14.4" x14ac:dyDescent="0.3">
      <c r="Z974" s="22"/>
      <c r="AD974" s="22"/>
      <c r="AJ974" s="22"/>
    </row>
    <row r="975" spans="26:36" ht="14.4" x14ac:dyDescent="0.3">
      <c r="Z975" s="22"/>
      <c r="AD975" s="22"/>
      <c r="AJ975" s="22"/>
    </row>
    <row r="976" spans="26:36" ht="14.4" x14ac:dyDescent="0.3">
      <c r="Z976" s="22"/>
      <c r="AD976" s="22"/>
      <c r="AJ976" s="22"/>
    </row>
    <row r="977" spans="26:36" ht="14.4" x14ac:dyDescent="0.3">
      <c r="Z977" s="22"/>
      <c r="AD977" s="22"/>
      <c r="AJ977" s="22"/>
    </row>
    <row r="978" spans="26:36" ht="14.4" x14ac:dyDescent="0.3">
      <c r="Z978" s="22"/>
      <c r="AD978" s="22"/>
      <c r="AJ978" s="22"/>
    </row>
    <row r="979" spans="26:36" ht="14.4" x14ac:dyDescent="0.3">
      <c r="Z979" s="22"/>
      <c r="AD979" s="22"/>
      <c r="AJ979" s="22"/>
    </row>
    <row r="980" spans="26:36" ht="14.4" x14ac:dyDescent="0.3">
      <c r="Z980" s="22"/>
      <c r="AD980" s="22"/>
      <c r="AJ980" s="22"/>
    </row>
    <row r="981" spans="26:36" ht="14.4" x14ac:dyDescent="0.3">
      <c r="Z981" s="22"/>
      <c r="AD981" s="22"/>
      <c r="AJ981" s="22"/>
    </row>
    <row r="982" spans="26:36" ht="14.4" x14ac:dyDescent="0.3">
      <c r="Z982" s="22"/>
      <c r="AD982" s="22"/>
      <c r="AJ982" s="22"/>
    </row>
    <row r="983" spans="26:36" ht="14.4" x14ac:dyDescent="0.3">
      <c r="Z983" s="22"/>
      <c r="AD983" s="22"/>
      <c r="AJ983" s="22"/>
    </row>
    <row r="984" spans="26:36" ht="14.4" x14ac:dyDescent="0.3">
      <c r="Z984" s="22"/>
      <c r="AD984" s="22"/>
      <c r="AJ984" s="22"/>
    </row>
    <row r="985" spans="26:36" ht="14.4" x14ac:dyDescent="0.3">
      <c r="Z985" s="22"/>
      <c r="AD985" s="22"/>
      <c r="AJ985" s="22"/>
    </row>
    <row r="986" spans="26:36" ht="14.4" x14ac:dyDescent="0.3">
      <c r="Z986" s="22"/>
      <c r="AD986" s="22"/>
      <c r="AJ986" s="22"/>
    </row>
    <row r="987" spans="26:36" ht="14.4" x14ac:dyDescent="0.3">
      <c r="Z987" s="22"/>
      <c r="AD987" s="22"/>
      <c r="AJ987" s="22"/>
    </row>
    <row r="988" spans="26:36" ht="14.4" x14ac:dyDescent="0.3">
      <c r="Z988" s="22"/>
      <c r="AD988" s="22"/>
      <c r="AJ988" s="22"/>
    </row>
    <row r="989" spans="26:36" ht="14.4" x14ac:dyDescent="0.3">
      <c r="Z989" s="22"/>
      <c r="AD989" s="22"/>
      <c r="AJ989" s="22"/>
    </row>
    <row r="990" spans="26:36" ht="14.4" x14ac:dyDescent="0.3">
      <c r="Z990" s="22"/>
      <c r="AD990" s="22"/>
      <c r="AJ990" s="22"/>
    </row>
    <row r="991" spans="26:36" ht="14.4" x14ac:dyDescent="0.3">
      <c r="Z991" s="22"/>
      <c r="AD991" s="22"/>
      <c r="AJ991" s="22"/>
    </row>
    <row r="992" spans="26:36" ht="14.4" x14ac:dyDescent="0.3">
      <c r="Z992" s="22"/>
      <c r="AD992" s="22"/>
      <c r="AJ992" s="22"/>
    </row>
    <row r="993" spans="26:36" ht="14.4" x14ac:dyDescent="0.3">
      <c r="Z993" s="22"/>
      <c r="AD993" s="22"/>
      <c r="AJ993" s="22"/>
    </row>
    <row r="994" spans="26:36" ht="14.4" x14ac:dyDescent="0.3">
      <c r="Z994" s="22"/>
      <c r="AD994" s="22"/>
      <c r="AJ994" s="22"/>
    </row>
    <row r="995" spans="26:36" ht="14.4" x14ac:dyDescent="0.3">
      <c r="Z995" s="22"/>
      <c r="AD995" s="22"/>
      <c r="AJ995" s="22"/>
    </row>
    <row r="996" spans="26:36" ht="14.4" x14ac:dyDescent="0.3">
      <c r="Z996" s="22"/>
      <c r="AD996" s="22"/>
      <c r="AJ996" s="22"/>
    </row>
    <row r="997" spans="26:36" ht="14.4" x14ac:dyDescent="0.3">
      <c r="Z997" s="22"/>
      <c r="AD997" s="22"/>
      <c r="AJ997" s="22"/>
    </row>
    <row r="998" spans="26:36" ht="14.4" x14ac:dyDescent="0.3">
      <c r="Z998" s="22"/>
      <c r="AD998" s="22"/>
      <c r="AJ998" s="22"/>
    </row>
    <row r="999" spans="26:36" ht="14.4" x14ac:dyDescent="0.3">
      <c r="Z999" s="22"/>
      <c r="AD999" s="22"/>
      <c r="AJ999" s="22"/>
    </row>
    <row r="1000" spans="26:36" ht="14.4" x14ac:dyDescent="0.3">
      <c r="Z1000" s="22"/>
      <c r="AD1000" s="22"/>
      <c r="AJ1000" s="22"/>
    </row>
    <row r="1001" spans="26:36" ht="14.4" x14ac:dyDescent="0.3">
      <c r="Z1001" s="22"/>
      <c r="AD1001" s="22"/>
      <c r="AJ1001" s="22"/>
    </row>
  </sheetData>
  <mergeCells count="1">
    <mergeCell ref="A1:Y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883"/>
  <sheetViews>
    <sheetView workbookViewId="0">
      <pane xSplit="1" topLeftCell="B1" activePane="topRight" state="frozen"/>
      <selection pane="topRight" activeCell="A5" sqref="A5"/>
    </sheetView>
  </sheetViews>
  <sheetFormatPr baseColWidth="10" defaultColWidth="14.44140625" defaultRowHeight="15" customHeight="1" x14ac:dyDescent="0.3"/>
  <cols>
    <col min="1" max="1" width="39.5546875" customWidth="1"/>
    <col min="2" max="2" width="11.44140625" customWidth="1"/>
    <col min="3" max="20" width="10.6640625" customWidth="1"/>
    <col min="21" max="25" width="11.6640625" customWidth="1"/>
    <col min="26" max="26" width="10.6640625" customWidth="1"/>
  </cols>
  <sheetData>
    <row r="1" spans="1:41" ht="14.25" customHeight="1" x14ac:dyDescent="0.3">
      <c r="A1" s="85" t="s">
        <v>115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2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41" ht="14.2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</row>
    <row r="3" spans="1:41" ht="14.25" customHeight="1" x14ac:dyDescent="0.3">
      <c r="A3" s="6" t="s">
        <v>42</v>
      </c>
      <c r="B3" s="7">
        <f t="shared" ref="B3:AO3" si="0">11.84+2.5</f>
        <v>14.34</v>
      </c>
      <c r="C3" s="7">
        <f t="shared" si="0"/>
        <v>14.34</v>
      </c>
      <c r="D3" s="7">
        <f t="shared" si="0"/>
        <v>14.34</v>
      </c>
      <c r="E3" s="7">
        <f t="shared" si="0"/>
        <v>14.34</v>
      </c>
      <c r="F3" s="7">
        <f t="shared" si="0"/>
        <v>14.34</v>
      </c>
      <c r="G3" s="7">
        <f t="shared" si="0"/>
        <v>14.34</v>
      </c>
      <c r="H3" s="7">
        <f t="shared" si="0"/>
        <v>14.34</v>
      </c>
      <c r="I3" s="7">
        <f t="shared" si="0"/>
        <v>14.34</v>
      </c>
      <c r="J3" s="7">
        <f t="shared" si="0"/>
        <v>14.34</v>
      </c>
      <c r="K3" s="7">
        <f t="shared" si="0"/>
        <v>14.34</v>
      </c>
      <c r="L3" s="7">
        <f t="shared" si="0"/>
        <v>14.34</v>
      </c>
      <c r="M3" s="7">
        <f t="shared" si="0"/>
        <v>14.34</v>
      </c>
      <c r="N3" s="7">
        <f t="shared" si="0"/>
        <v>14.34</v>
      </c>
      <c r="O3" s="7">
        <f t="shared" si="0"/>
        <v>14.34</v>
      </c>
      <c r="P3" s="7">
        <f t="shared" si="0"/>
        <v>14.34</v>
      </c>
      <c r="Q3" s="7">
        <f t="shared" si="0"/>
        <v>14.34</v>
      </c>
      <c r="R3" s="7">
        <f t="shared" si="0"/>
        <v>14.34</v>
      </c>
      <c r="S3" s="7">
        <f t="shared" si="0"/>
        <v>14.34</v>
      </c>
      <c r="T3" s="7">
        <f t="shared" si="0"/>
        <v>14.34</v>
      </c>
      <c r="U3" s="7">
        <f t="shared" si="0"/>
        <v>14.34</v>
      </c>
      <c r="V3" s="7">
        <f t="shared" si="0"/>
        <v>14.34</v>
      </c>
      <c r="W3" s="7">
        <f t="shared" si="0"/>
        <v>14.34</v>
      </c>
      <c r="X3" s="7">
        <f t="shared" si="0"/>
        <v>14.34</v>
      </c>
      <c r="Y3" s="7">
        <f t="shared" si="0"/>
        <v>14.34</v>
      </c>
      <c r="Z3" s="8">
        <f t="shared" si="0"/>
        <v>14.34</v>
      </c>
      <c r="AA3" s="8">
        <f t="shared" si="0"/>
        <v>14.34</v>
      </c>
      <c r="AB3" s="8">
        <f t="shared" si="0"/>
        <v>14.34</v>
      </c>
      <c r="AC3" s="8">
        <f t="shared" si="0"/>
        <v>14.34</v>
      </c>
      <c r="AD3" s="8">
        <f t="shared" si="0"/>
        <v>14.34</v>
      </c>
      <c r="AE3" s="8">
        <f t="shared" si="0"/>
        <v>14.34</v>
      </c>
      <c r="AF3" s="8">
        <f t="shared" si="0"/>
        <v>14.34</v>
      </c>
      <c r="AG3" s="8">
        <f t="shared" si="0"/>
        <v>14.34</v>
      </c>
      <c r="AH3" s="8">
        <f t="shared" si="0"/>
        <v>14.34</v>
      </c>
      <c r="AI3" s="8">
        <f t="shared" si="0"/>
        <v>14.34</v>
      </c>
      <c r="AJ3" s="8">
        <f t="shared" si="0"/>
        <v>14.34</v>
      </c>
      <c r="AK3" s="7">
        <f t="shared" si="0"/>
        <v>14.34</v>
      </c>
      <c r="AL3" s="7">
        <f t="shared" si="0"/>
        <v>14.34</v>
      </c>
      <c r="AM3" s="7">
        <f t="shared" si="0"/>
        <v>14.34</v>
      </c>
      <c r="AN3" s="7">
        <f t="shared" si="0"/>
        <v>14.34</v>
      </c>
      <c r="AO3" s="7">
        <f t="shared" si="0"/>
        <v>14.34</v>
      </c>
    </row>
    <row r="4" spans="1:41" ht="14.25" customHeight="1" x14ac:dyDescent="0.3">
      <c r="A4" s="6" t="s">
        <v>43</v>
      </c>
      <c r="B4" s="7">
        <f t="shared" ref="B4:AO4" si="1">32.76+2.5</f>
        <v>35.26</v>
      </c>
      <c r="C4" s="7">
        <f t="shared" si="1"/>
        <v>35.26</v>
      </c>
      <c r="D4" s="7">
        <f t="shared" si="1"/>
        <v>35.26</v>
      </c>
      <c r="E4" s="7">
        <f t="shared" si="1"/>
        <v>35.26</v>
      </c>
      <c r="F4" s="7">
        <f t="shared" si="1"/>
        <v>35.26</v>
      </c>
      <c r="G4" s="7">
        <f t="shared" si="1"/>
        <v>35.26</v>
      </c>
      <c r="H4" s="7">
        <f t="shared" si="1"/>
        <v>35.26</v>
      </c>
      <c r="I4" s="7">
        <f t="shared" si="1"/>
        <v>35.26</v>
      </c>
      <c r="J4" s="7">
        <f t="shared" si="1"/>
        <v>35.26</v>
      </c>
      <c r="K4" s="7">
        <f t="shared" si="1"/>
        <v>35.26</v>
      </c>
      <c r="L4" s="7">
        <f t="shared" si="1"/>
        <v>35.26</v>
      </c>
      <c r="M4" s="7">
        <f t="shared" si="1"/>
        <v>35.26</v>
      </c>
      <c r="N4" s="7">
        <f t="shared" si="1"/>
        <v>35.26</v>
      </c>
      <c r="O4" s="7">
        <f t="shared" si="1"/>
        <v>35.26</v>
      </c>
      <c r="P4" s="7">
        <f t="shared" si="1"/>
        <v>35.26</v>
      </c>
      <c r="Q4" s="7">
        <f t="shared" si="1"/>
        <v>35.26</v>
      </c>
      <c r="R4" s="7">
        <f t="shared" si="1"/>
        <v>35.26</v>
      </c>
      <c r="S4" s="7">
        <f t="shared" si="1"/>
        <v>35.26</v>
      </c>
      <c r="T4" s="7">
        <f t="shared" si="1"/>
        <v>35.26</v>
      </c>
      <c r="U4" s="7">
        <f t="shared" si="1"/>
        <v>35.26</v>
      </c>
      <c r="V4" s="7">
        <f t="shared" si="1"/>
        <v>35.26</v>
      </c>
      <c r="W4" s="7">
        <f t="shared" si="1"/>
        <v>35.26</v>
      </c>
      <c r="X4" s="7">
        <f t="shared" si="1"/>
        <v>35.26</v>
      </c>
      <c r="Y4" s="7">
        <f t="shared" si="1"/>
        <v>35.26</v>
      </c>
      <c r="Z4" s="8">
        <f t="shared" si="1"/>
        <v>35.26</v>
      </c>
      <c r="AA4" s="8">
        <f t="shared" si="1"/>
        <v>35.26</v>
      </c>
      <c r="AB4" s="8">
        <f t="shared" si="1"/>
        <v>35.26</v>
      </c>
      <c r="AC4" s="8">
        <f t="shared" si="1"/>
        <v>35.26</v>
      </c>
      <c r="AD4" s="8">
        <f t="shared" si="1"/>
        <v>35.26</v>
      </c>
      <c r="AE4" s="8">
        <f t="shared" si="1"/>
        <v>35.26</v>
      </c>
      <c r="AF4" s="8">
        <f t="shared" si="1"/>
        <v>35.26</v>
      </c>
      <c r="AG4" s="8">
        <f t="shared" si="1"/>
        <v>35.26</v>
      </c>
      <c r="AH4" s="8">
        <f t="shared" si="1"/>
        <v>35.26</v>
      </c>
      <c r="AI4" s="8">
        <f t="shared" si="1"/>
        <v>35.26</v>
      </c>
      <c r="AJ4" s="8">
        <f t="shared" si="1"/>
        <v>35.26</v>
      </c>
      <c r="AK4" s="7">
        <f t="shared" si="1"/>
        <v>35.26</v>
      </c>
      <c r="AL4" s="7">
        <f t="shared" si="1"/>
        <v>35.26</v>
      </c>
      <c r="AM4" s="7">
        <f t="shared" si="1"/>
        <v>35.26</v>
      </c>
      <c r="AN4" s="7">
        <f t="shared" si="1"/>
        <v>35.26</v>
      </c>
      <c r="AO4" s="7">
        <f t="shared" si="1"/>
        <v>35.26</v>
      </c>
    </row>
    <row r="5" spans="1:41" ht="14.25" customHeight="1" x14ac:dyDescent="0.3">
      <c r="A5" s="6" t="s">
        <v>44</v>
      </c>
      <c r="B5" s="7"/>
      <c r="C5" s="7">
        <v>20.99</v>
      </c>
      <c r="D5" s="7"/>
      <c r="E5" s="7">
        <v>20.99</v>
      </c>
      <c r="F5" s="7"/>
      <c r="G5" s="7">
        <v>20.99</v>
      </c>
      <c r="H5" s="7"/>
      <c r="I5" s="7">
        <v>20.99</v>
      </c>
      <c r="J5" s="7"/>
      <c r="K5" s="7">
        <v>20.99</v>
      </c>
      <c r="L5" s="7"/>
      <c r="M5" s="7">
        <v>20.99</v>
      </c>
      <c r="N5" s="7"/>
      <c r="O5" s="7">
        <v>20.99</v>
      </c>
      <c r="P5" s="7"/>
      <c r="Q5" s="7">
        <v>20.99</v>
      </c>
      <c r="R5" s="7"/>
      <c r="S5" s="7">
        <v>20.99</v>
      </c>
      <c r="T5" s="7"/>
      <c r="U5" s="7">
        <v>20.99</v>
      </c>
      <c r="V5" s="7"/>
      <c r="W5" s="7">
        <v>20.99</v>
      </c>
      <c r="X5" s="7"/>
      <c r="Y5" s="7">
        <v>20.99</v>
      </c>
      <c r="Z5" s="8"/>
      <c r="AA5" s="8">
        <v>20.99</v>
      </c>
      <c r="AB5" s="8"/>
      <c r="AC5" s="8">
        <v>20.99</v>
      </c>
      <c r="AD5" s="8"/>
      <c r="AE5" s="8">
        <v>20.99</v>
      </c>
      <c r="AF5" s="8"/>
      <c r="AG5" s="8">
        <v>20.99</v>
      </c>
      <c r="AH5" s="8"/>
      <c r="AI5" s="8">
        <v>20.99</v>
      </c>
      <c r="AJ5" s="8"/>
      <c r="AK5" s="7">
        <v>20.99</v>
      </c>
      <c r="AL5" s="7"/>
      <c r="AM5" s="7">
        <v>20.99</v>
      </c>
      <c r="AN5" s="7"/>
      <c r="AO5" s="7">
        <v>20.99</v>
      </c>
    </row>
    <row r="6" spans="1:41" ht="14.25" customHeight="1" x14ac:dyDescent="0.3">
      <c r="A6" s="6" t="s">
        <v>45</v>
      </c>
      <c r="B6" s="7"/>
      <c r="C6" s="7">
        <v>76.09</v>
      </c>
      <c r="D6" s="7"/>
      <c r="E6" s="7">
        <v>76.09</v>
      </c>
      <c r="F6" s="7"/>
      <c r="G6" s="7">
        <v>76.09</v>
      </c>
      <c r="H6" s="7"/>
      <c r="I6" s="7">
        <v>76.09</v>
      </c>
      <c r="J6" s="7"/>
      <c r="K6" s="7">
        <v>76.09</v>
      </c>
      <c r="L6" s="7"/>
      <c r="M6" s="7">
        <v>76.09</v>
      </c>
      <c r="N6" s="7"/>
      <c r="O6" s="7">
        <v>76.09</v>
      </c>
      <c r="P6" s="7"/>
      <c r="Q6" s="7">
        <v>76.09</v>
      </c>
      <c r="R6" s="7"/>
      <c r="S6" s="7">
        <v>76.09</v>
      </c>
      <c r="T6" s="7"/>
      <c r="U6" s="7">
        <v>76.09</v>
      </c>
      <c r="V6" s="7"/>
      <c r="W6" s="7">
        <v>76.09</v>
      </c>
      <c r="X6" s="7"/>
      <c r="Y6" s="7">
        <v>76.09</v>
      </c>
      <c r="Z6" s="8"/>
      <c r="AA6" s="8">
        <v>76.09</v>
      </c>
      <c r="AB6" s="8"/>
      <c r="AC6" s="8">
        <v>76.09</v>
      </c>
      <c r="AD6" s="8"/>
      <c r="AE6" s="8">
        <v>76.09</v>
      </c>
      <c r="AF6" s="8"/>
      <c r="AG6" s="8">
        <v>76.09</v>
      </c>
      <c r="AH6" s="8"/>
      <c r="AI6" s="8">
        <v>76.09</v>
      </c>
      <c r="AJ6" s="8"/>
      <c r="AK6" s="7">
        <v>76.09</v>
      </c>
      <c r="AL6" s="7"/>
      <c r="AM6" s="7">
        <v>76.09</v>
      </c>
      <c r="AN6" s="7"/>
      <c r="AO6" s="7">
        <v>76.09</v>
      </c>
    </row>
    <row r="7" spans="1:41" ht="14.25" customHeight="1" x14ac:dyDescent="0.3">
      <c r="A7" s="6" t="s">
        <v>46</v>
      </c>
      <c r="B7" s="7"/>
      <c r="C7" s="7"/>
      <c r="D7" s="7"/>
      <c r="E7" s="7">
        <v>55.85</v>
      </c>
      <c r="F7" s="7"/>
      <c r="G7" s="7"/>
      <c r="H7" s="7"/>
      <c r="I7" s="7">
        <v>55.85</v>
      </c>
      <c r="J7" s="7"/>
      <c r="K7" s="7"/>
      <c r="L7" s="7"/>
      <c r="M7" s="7">
        <v>55.85</v>
      </c>
      <c r="N7" s="7"/>
      <c r="O7" s="7"/>
      <c r="P7" s="7"/>
      <c r="Q7" s="7">
        <v>55.85</v>
      </c>
      <c r="R7" s="7"/>
      <c r="S7" s="7"/>
      <c r="T7" s="7"/>
      <c r="U7" s="7">
        <v>55.85</v>
      </c>
      <c r="V7" s="7"/>
      <c r="W7" s="7"/>
      <c r="X7" s="7"/>
      <c r="Y7" s="7">
        <v>55.85</v>
      </c>
      <c r="Z7" s="8"/>
      <c r="AA7" s="8"/>
      <c r="AB7" s="8"/>
      <c r="AC7" s="8">
        <v>55.85</v>
      </c>
      <c r="AD7" s="8"/>
      <c r="AE7" s="8"/>
      <c r="AF7" s="8"/>
      <c r="AG7" s="8">
        <v>55.85</v>
      </c>
      <c r="AH7" s="8"/>
      <c r="AI7" s="8"/>
      <c r="AJ7" s="8"/>
      <c r="AK7" s="7">
        <v>55.85</v>
      </c>
      <c r="AL7" s="7"/>
      <c r="AM7" s="7"/>
      <c r="AN7" s="7"/>
      <c r="AO7" s="7">
        <v>55.85</v>
      </c>
    </row>
    <row r="8" spans="1:41" ht="14.25" customHeight="1" x14ac:dyDescent="0.3">
      <c r="A8" s="6" t="s">
        <v>47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>
        <v>79.87</v>
      </c>
      <c r="R8" s="7"/>
      <c r="S8" s="7"/>
      <c r="T8" s="7"/>
      <c r="U8" s="7"/>
      <c r="V8" s="7"/>
      <c r="W8" s="7"/>
      <c r="X8" s="7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7">
        <v>79.87</v>
      </c>
      <c r="AL8" s="7"/>
      <c r="AM8" s="7"/>
      <c r="AN8" s="7"/>
      <c r="AO8" s="7"/>
    </row>
    <row r="9" spans="1:41" ht="14.25" customHeight="1" x14ac:dyDescent="0.3">
      <c r="A9" s="6" t="s">
        <v>48</v>
      </c>
      <c r="B9" s="7"/>
      <c r="C9" s="7">
        <v>21.25</v>
      </c>
      <c r="D9" s="7"/>
      <c r="E9" s="7">
        <v>21.25</v>
      </c>
      <c r="F9" s="7"/>
      <c r="G9" s="7">
        <v>21.25</v>
      </c>
      <c r="H9" s="7"/>
      <c r="I9" s="7">
        <v>21.25</v>
      </c>
      <c r="J9" s="7"/>
      <c r="K9" s="7">
        <v>21.25</v>
      </c>
      <c r="L9" s="7"/>
      <c r="M9" s="7">
        <v>21.25</v>
      </c>
      <c r="N9" s="7"/>
      <c r="O9" s="7">
        <v>21.25</v>
      </c>
      <c r="P9" s="7"/>
      <c r="Q9" s="7">
        <v>21.25</v>
      </c>
      <c r="R9" s="7"/>
      <c r="S9" s="7">
        <v>21.25</v>
      </c>
      <c r="T9" s="7"/>
      <c r="U9" s="7">
        <v>21.25</v>
      </c>
      <c r="V9" s="7"/>
      <c r="W9" s="7">
        <v>21.25</v>
      </c>
      <c r="X9" s="7"/>
      <c r="Y9" s="7">
        <v>21.25</v>
      </c>
      <c r="Z9" s="8"/>
      <c r="AA9" s="8">
        <v>21.25</v>
      </c>
      <c r="AB9" s="8"/>
      <c r="AC9" s="8">
        <v>21.25</v>
      </c>
      <c r="AD9" s="8"/>
      <c r="AE9" s="8">
        <v>21.25</v>
      </c>
      <c r="AF9" s="8"/>
      <c r="AG9" s="8">
        <v>21.25</v>
      </c>
      <c r="AH9" s="8"/>
      <c r="AI9" s="8">
        <v>21.25</v>
      </c>
      <c r="AJ9" s="8"/>
      <c r="AK9" s="7">
        <v>21.25</v>
      </c>
      <c r="AL9" s="7"/>
      <c r="AM9" s="7">
        <v>21.25</v>
      </c>
      <c r="AN9" s="7"/>
      <c r="AO9" s="7">
        <v>21.25</v>
      </c>
    </row>
    <row r="10" spans="1:41" ht="14.25" customHeight="1" x14ac:dyDescent="0.3">
      <c r="A10" s="6" t="s">
        <v>49</v>
      </c>
      <c r="B10" s="7"/>
      <c r="C10" s="7"/>
      <c r="D10" s="7"/>
      <c r="E10" s="7"/>
      <c r="F10" s="7"/>
      <c r="G10" s="7"/>
      <c r="H10" s="7"/>
      <c r="I10" s="7"/>
      <c r="J10" s="7"/>
      <c r="K10" s="7">
        <v>12.71</v>
      </c>
      <c r="L10" s="7"/>
      <c r="M10" s="7"/>
      <c r="N10" s="7"/>
      <c r="O10" s="7"/>
      <c r="P10" s="7"/>
      <c r="Q10" s="7"/>
      <c r="R10" s="7"/>
      <c r="S10" s="7"/>
      <c r="T10" s="7"/>
      <c r="U10" s="7">
        <v>12.71</v>
      </c>
      <c r="V10" s="7"/>
      <c r="W10" s="7"/>
      <c r="X10" s="7"/>
      <c r="Y10" s="7"/>
      <c r="Z10" s="8"/>
      <c r="AA10" s="8"/>
      <c r="AB10" s="8"/>
      <c r="AC10" s="8"/>
      <c r="AD10" s="8"/>
      <c r="AE10" s="8">
        <v>12.71</v>
      </c>
      <c r="AF10" s="8"/>
      <c r="AG10" s="8"/>
      <c r="AH10" s="8"/>
      <c r="AI10" s="8"/>
      <c r="AJ10" s="8"/>
      <c r="AK10" s="7"/>
      <c r="AL10" s="7"/>
      <c r="AM10" s="7"/>
      <c r="AN10" s="7"/>
      <c r="AO10" s="7">
        <v>12.71</v>
      </c>
    </row>
    <row r="11" spans="1:41" ht="14.25" customHeight="1" x14ac:dyDescent="0.3">
      <c r="A11" s="6" t="s">
        <v>50</v>
      </c>
      <c r="B11" s="7"/>
      <c r="C11" s="7"/>
      <c r="D11" s="7"/>
      <c r="E11" s="7"/>
      <c r="F11" s="7"/>
      <c r="G11" s="7"/>
      <c r="H11" s="7"/>
      <c r="I11" s="7"/>
      <c r="J11" s="7"/>
      <c r="K11" s="7">
        <v>11</v>
      </c>
      <c r="L11" s="7"/>
      <c r="M11" s="7"/>
      <c r="N11" s="7"/>
      <c r="O11" s="7"/>
      <c r="P11" s="7"/>
      <c r="Q11" s="7"/>
      <c r="R11" s="7"/>
      <c r="S11" s="7"/>
      <c r="T11" s="7"/>
      <c r="U11" s="7">
        <v>11</v>
      </c>
      <c r="V11" s="7"/>
      <c r="W11" s="7"/>
      <c r="X11" s="7"/>
      <c r="Y11" s="7"/>
      <c r="Z11" s="8"/>
      <c r="AA11" s="8"/>
      <c r="AB11" s="8"/>
      <c r="AC11" s="8"/>
      <c r="AD11" s="8"/>
      <c r="AE11" s="8">
        <v>11</v>
      </c>
      <c r="AF11" s="8"/>
      <c r="AG11" s="8"/>
      <c r="AH11" s="8"/>
      <c r="AI11" s="8"/>
      <c r="AJ11" s="8"/>
      <c r="AK11" s="7"/>
      <c r="AL11" s="7"/>
      <c r="AM11" s="7"/>
      <c r="AN11" s="7"/>
      <c r="AO11" s="7">
        <v>11</v>
      </c>
    </row>
    <row r="12" spans="1:41" ht="14.25" customHeight="1" x14ac:dyDescent="0.3">
      <c r="A12" s="6" t="s">
        <v>116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125.9</v>
      </c>
      <c r="V12" s="7"/>
      <c r="W12" s="7"/>
      <c r="X12" s="7"/>
      <c r="Y12" s="7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7"/>
      <c r="AL12" s="7"/>
      <c r="AM12" s="7"/>
      <c r="AN12" s="7"/>
      <c r="AO12" s="7">
        <v>125.9</v>
      </c>
    </row>
    <row r="13" spans="1:41" ht="14.25" customHeight="1" x14ac:dyDescent="0.3">
      <c r="A13" s="6" t="s">
        <v>117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>
        <v>38</v>
      </c>
      <c r="V13" s="7"/>
      <c r="W13" s="7"/>
      <c r="X13" s="7"/>
      <c r="Y13" s="7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7"/>
      <c r="AL13" s="7"/>
      <c r="AM13" s="7"/>
      <c r="AN13" s="7"/>
      <c r="AO13" s="7">
        <v>38</v>
      </c>
    </row>
    <row r="14" spans="1:41" ht="14.25" customHeight="1" x14ac:dyDescent="0.3">
      <c r="A14" s="6" t="s">
        <v>53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>
        <v>88.84</v>
      </c>
      <c r="V14" s="7"/>
      <c r="W14" s="7"/>
      <c r="X14" s="7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7"/>
      <c r="AL14" s="7"/>
      <c r="AM14" s="7"/>
      <c r="AN14" s="7"/>
      <c r="AO14" s="7">
        <v>88.84</v>
      </c>
    </row>
    <row r="15" spans="1:41" ht="14.25" customHeight="1" x14ac:dyDescent="0.3">
      <c r="A15" s="6" t="s">
        <v>54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>
        <v>71.41</v>
      </c>
      <c r="V15" s="7"/>
      <c r="W15" s="7"/>
      <c r="X15" s="7"/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7"/>
      <c r="AL15" s="7"/>
      <c r="AM15" s="7"/>
      <c r="AN15" s="7"/>
      <c r="AO15" s="7">
        <v>71.41</v>
      </c>
    </row>
    <row r="16" spans="1:41" ht="14.25" customHeight="1" x14ac:dyDescent="0.3">
      <c r="A16" s="6" t="s">
        <v>55</v>
      </c>
      <c r="B16" s="7">
        <v>7.5</v>
      </c>
      <c r="C16" s="7">
        <v>7.5</v>
      </c>
      <c r="D16" s="7">
        <v>7.5</v>
      </c>
      <c r="E16" s="7">
        <v>7.5</v>
      </c>
      <c r="F16" s="7">
        <v>7.5</v>
      </c>
      <c r="G16" s="7">
        <v>7.5</v>
      </c>
      <c r="H16" s="7">
        <v>7.5</v>
      </c>
      <c r="I16" s="7">
        <v>7.5</v>
      </c>
      <c r="J16" s="7">
        <v>7.5</v>
      </c>
      <c r="K16" s="7">
        <v>7.5</v>
      </c>
      <c r="L16" s="7">
        <v>7.5</v>
      </c>
      <c r="M16" s="7">
        <v>7.5</v>
      </c>
      <c r="N16" s="7">
        <v>7.5</v>
      </c>
      <c r="O16" s="7">
        <v>7.5</v>
      </c>
      <c r="P16" s="7">
        <v>7.5</v>
      </c>
      <c r="Q16" s="7">
        <v>7.5</v>
      </c>
      <c r="R16" s="7">
        <v>7.5</v>
      </c>
      <c r="S16" s="7">
        <v>7.5</v>
      </c>
      <c r="T16" s="7">
        <v>7.5</v>
      </c>
      <c r="U16" s="7">
        <v>7.5</v>
      </c>
      <c r="V16" s="7">
        <v>7.5</v>
      </c>
      <c r="W16" s="7">
        <v>7.5</v>
      </c>
      <c r="X16" s="7">
        <v>7.5</v>
      </c>
      <c r="Y16" s="7">
        <v>7.5</v>
      </c>
      <c r="Z16" s="8">
        <v>7.5</v>
      </c>
      <c r="AA16" s="8">
        <v>7.5</v>
      </c>
      <c r="AB16" s="8">
        <v>7.5</v>
      </c>
      <c r="AC16" s="8">
        <v>7.5</v>
      </c>
      <c r="AD16" s="8">
        <v>7.5</v>
      </c>
      <c r="AE16" s="8">
        <v>7.5</v>
      </c>
      <c r="AF16" s="8">
        <v>7.5</v>
      </c>
      <c r="AG16" s="8">
        <v>7.5</v>
      </c>
      <c r="AH16" s="8">
        <v>7.5</v>
      </c>
      <c r="AI16" s="8">
        <v>7.5</v>
      </c>
      <c r="AJ16" s="8">
        <v>7.5</v>
      </c>
      <c r="AK16" s="7">
        <v>7.5</v>
      </c>
      <c r="AL16" s="7">
        <v>7.5</v>
      </c>
      <c r="AM16" s="7">
        <v>7.5</v>
      </c>
      <c r="AN16" s="7">
        <v>7.5</v>
      </c>
      <c r="AO16" s="7">
        <v>7.5</v>
      </c>
    </row>
    <row r="17" spans="1:41" ht="14.25" customHeight="1" x14ac:dyDescent="0.3">
      <c r="A17" s="9" t="s">
        <v>56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>
        <v>25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7"/>
      <c r="AL17" s="7"/>
      <c r="AM17" s="7"/>
      <c r="AN17" s="7"/>
      <c r="AO17" s="7"/>
    </row>
    <row r="18" spans="1:41" ht="14.25" customHeight="1" x14ac:dyDescent="0.3">
      <c r="A18" s="6" t="s">
        <v>57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>
        <v>71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7"/>
      <c r="AL18" s="7"/>
      <c r="AM18" s="7"/>
      <c r="AN18" s="7"/>
      <c r="AO18" s="7"/>
    </row>
    <row r="19" spans="1:41" ht="14.25" customHeight="1" x14ac:dyDescent="0.3">
      <c r="A19" s="9" t="s">
        <v>58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>
        <v>18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7"/>
      <c r="AL19" s="7"/>
      <c r="AM19" s="7"/>
      <c r="AN19" s="7"/>
      <c r="AO19" s="7"/>
    </row>
    <row r="20" spans="1:41" ht="14.25" customHeight="1" x14ac:dyDescent="0.3">
      <c r="A20" s="9" t="s">
        <v>59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>
        <v>18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7"/>
      <c r="AL20" s="7"/>
      <c r="AM20" s="7"/>
      <c r="AN20" s="7"/>
      <c r="AO20" s="7"/>
    </row>
    <row r="21" spans="1:41" ht="14.25" customHeight="1" x14ac:dyDescent="0.3">
      <c r="A21" s="6" t="s">
        <v>60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>
        <v>237.77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7"/>
      <c r="AL21" s="7"/>
      <c r="AM21" s="7"/>
      <c r="AN21" s="7"/>
      <c r="AO21" s="7"/>
    </row>
    <row r="22" spans="1:41" ht="14.25" customHeight="1" x14ac:dyDescent="0.3">
      <c r="A22" s="6" t="s">
        <v>61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>
        <v>5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7"/>
      <c r="AL22" s="7"/>
      <c r="AM22" s="7"/>
      <c r="AN22" s="7"/>
      <c r="AO22" s="7"/>
    </row>
    <row r="23" spans="1:41" ht="14.25" customHeight="1" x14ac:dyDescent="0.3">
      <c r="A23" s="9" t="s">
        <v>62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  <c r="AA23" s="8"/>
      <c r="AB23" s="8"/>
      <c r="AC23" s="8"/>
      <c r="AD23" s="8">
        <v>48.62</v>
      </c>
      <c r="AE23" s="8"/>
      <c r="AF23" s="8"/>
      <c r="AG23" s="8"/>
      <c r="AH23" s="8"/>
      <c r="AI23" s="8"/>
      <c r="AJ23" s="8"/>
      <c r="AK23" s="7"/>
      <c r="AL23" s="7"/>
      <c r="AM23" s="7"/>
      <c r="AN23" s="7"/>
      <c r="AO23" s="7"/>
    </row>
    <row r="24" spans="1:41" ht="14.25" customHeight="1" x14ac:dyDescent="0.3">
      <c r="A24" s="9" t="s">
        <v>63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  <c r="AA24" s="8"/>
      <c r="AB24" s="8"/>
      <c r="AC24" s="8"/>
      <c r="AD24" s="8">
        <v>6.95</v>
      </c>
      <c r="AE24" s="8"/>
      <c r="AF24" s="8"/>
      <c r="AG24" s="8"/>
      <c r="AH24" s="8"/>
      <c r="AI24" s="8"/>
      <c r="AJ24" s="8"/>
      <c r="AK24" s="7"/>
      <c r="AL24" s="7"/>
      <c r="AM24" s="7"/>
      <c r="AN24" s="7"/>
      <c r="AO24" s="7"/>
    </row>
    <row r="25" spans="1:41" ht="14.25" customHeight="1" x14ac:dyDescent="0.3">
      <c r="A25" s="9" t="s">
        <v>64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  <c r="AA25" s="8"/>
      <c r="AB25" s="8"/>
      <c r="AC25" s="8"/>
      <c r="AD25" s="8">
        <v>9.65</v>
      </c>
      <c r="AE25" s="8"/>
      <c r="AF25" s="8"/>
      <c r="AG25" s="8"/>
      <c r="AH25" s="8"/>
      <c r="AI25" s="8"/>
      <c r="AJ25" s="8"/>
      <c r="AK25" s="7"/>
      <c r="AL25" s="7"/>
      <c r="AM25" s="7"/>
      <c r="AN25" s="7"/>
      <c r="AO25" s="7"/>
    </row>
    <row r="26" spans="1:41" ht="14.25" customHeight="1" x14ac:dyDescent="0.3">
      <c r="A26" s="9" t="s">
        <v>65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  <c r="AA26" s="8"/>
      <c r="AB26" s="8"/>
      <c r="AC26" s="8"/>
      <c r="AD26" s="8">
        <v>13.37</v>
      </c>
      <c r="AE26" s="8"/>
      <c r="AF26" s="8"/>
      <c r="AG26" s="8"/>
      <c r="AH26" s="8"/>
      <c r="AI26" s="8"/>
      <c r="AJ26" s="8"/>
      <c r="AK26" s="7"/>
      <c r="AL26" s="7"/>
      <c r="AM26" s="7"/>
      <c r="AN26" s="7"/>
      <c r="AO26" s="7"/>
    </row>
    <row r="27" spans="1:41" ht="14.25" customHeight="1" x14ac:dyDescent="0.3">
      <c r="A27" s="9" t="s">
        <v>66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  <c r="AA27" s="8"/>
      <c r="AB27" s="8"/>
      <c r="AC27" s="8"/>
      <c r="AD27" s="8">
        <v>53.36</v>
      </c>
      <c r="AE27" s="8"/>
      <c r="AF27" s="8"/>
      <c r="AG27" s="8"/>
      <c r="AH27" s="8"/>
      <c r="AI27" s="8"/>
      <c r="AJ27" s="8"/>
      <c r="AK27" s="7"/>
      <c r="AL27" s="7"/>
      <c r="AM27" s="7"/>
      <c r="AN27" s="7"/>
      <c r="AO27" s="7"/>
    </row>
    <row r="28" spans="1:41" ht="14.25" customHeight="1" x14ac:dyDescent="0.3">
      <c r="A28" s="9" t="s">
        <v>67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  <c r="AA28" s="8"/>
      <c r="AB28" s="8"/>
      <c r="AC28" s="8"/>
      <c r="AD28" s="8">
        <v>11.39</v>
      </c>
      <c r="AE28" s="8"/>
      <c r="AF28" s="8"/>
      <c r="AG28" s="8"/>
      <c r="AH28" s="8"/>
      <c r="AI28" s="8"/>
      <c r="AJ28" s="8"/>
      <c r="AK28" s="7"/>
      <c r="AL28" s="7"/>
      <c r="AM28" s="7"/>
      <c r="AN28" s="7"/>
      <c r="AO28" s="7"/>
    </row>
    <row r="29" spans="1:41" ht="14.25" customHeight="1" x14ac:dyDescent="0.3">
      <c r="A29" s="9" t="s">
        <v>68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  <c r="AA29" s="8"/>
      <c r="AB29" s="8"/>
      <c r="AC29" s="8"/>
      <c r="AD29" s="8">
        <v>8.9</v>
      </c>
      <c r="AE29" s="8"/>
      <c r="AF29" s="8"/>
      <c r="AG29" s="8"/>
      <c r="AH29" s="8"/>
      <c r="AI29" s="8"/>
      <c r="AJ29" s="8"/>
      <c r="AK29" s="7"/>
      <c r="AL29" s="7"/>
      <c r="AM29" s="7"/>
      <c r="AN29" s="7"/>
      <c r="AO29" s="7"/>
    </row>
    <row r="30" spans="1:41" ht="14.25" customHeight="1" x14ac:dyDescent="0.3">
      <c r="A30" s="9" t="s">
        <v>69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  <c r="AA30" s="8"/>
      <c r="AB30" s="8"/>
      <c r="AC30" s="8"/>
      <c r="AD30" s="8">
        <v>6.68</v>
      </c>
      <c r="AE30" s="8"/>
      <c r="AF30" s="8"/>
      <c r="AG30" s="8"/>
      <c r="AH30" s="8"/>
      <c r="AI30" s="8"/>
      <c r="AJ30" s="8"/>
      <c r="AK30" s="7"/>
      <c r="AL30" s="7"/>
      <c r="AM30" s="7"/>
      <c r="AN30" s="7"/>
      <c r="AO30" s="7"/>
    </row>
    <row r="31" spans="1:41" ht="14.25" customHeight="1" x14ac:dyDescent="0.3">
      <c r="A31" s="9" t="s">
        <v>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  <c r="AA31" s="8"/>
      <c r="AB31" s="8"/>
      <c r="AC31" s="8"/>
      <c r="AD31" s="8">
        <v>32.61</v>
      </c>
      <c r="AE31" s="8"/>
      <c r="AF31" s="8"/>
      <c r="AG31" s="8"/>
      <c r="AH31" s="8"/>
      <c r="AI31" s="8"/>
      <c r="AJ31" s="8"/>
      <c r="AK31" s="7"/>
      <c r="AL31" s="7"/>
      <c r="AM31" s="7"/>
      <c r="AN31" s="7"/>
      <c r="AO31" s="7"/>
    </row>
    <row r="32" spans="1:41" ht="14.25" customHeight="1" x14ac:dyDescent="0.3">
      <c r="A32" s="9" t="s">
        <v>70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  <c r="AA32" s="8"/>
      <c r="AB32" s="8"/>
      <c r="AC32" s="8"/>
      <c r="AD32" s="8">
        <v>28.28</v>
      </c>
      <c r="AE32" s="8"/>
      <c r="AF32" s="8"/>
      <c r="AG32" s="8"/>
      <c r="AH32" s="8"/>
      <c r="AI32" s="8"/>
      <c r="AJ32" s="8"/>
      <c r="AK32" s="7"/>
      <c r="AL32" s="7"/>
      <c r="AM32" s="7"/>
      <c r="AN32" s="7"/>
      <c r="AO32" s="7"/>
    </row>
    <row r="33" spans="1:41" ht="14.25" customHeight="1" x14ac:dyDescent="0.3">
      <c r="A33" s="9" t="s">
        <v>71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  <c r="AA33" s="8"/>
      <c r="AB33" s="8"/>
      <c r="AC33" s="8"/>
      <c r="AD33" s="8">
        <v>34.9</v>
      </c>
      <c r="AE33" s="8"/>
      <c r="AF33" s="8"/>
      <c r="AG33" s="8"/>
      <c r="AH33" s="8"/>
      <c r="AI33" s="8"/>
      <c r="AJ33" s="8"/>
      <c r="AK33" s="7"/>
      <c r="AL33" s="7"/>
      <c r="AM33" s="7"/>
      <c r="AN33" s="7"/>
      <c r="AO33" s="7"/>
    </row>
    <row r="34" spans="1:41" ht="14.25" customHeight="1" x14ac:dyDescent="0.3">
      <c r="A34" s="9" t="s">
        <v>71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  <c r="AA34" s="8"/>
      <c r="AB34" s="8"/>
      <c r="AC34" s="8"/>
      <c r="AD34" s="8">
        <v>34.9</v>
      </c>
      <c r="AE34" s="8"/>
      <c r="AF34" s="8"/>
      <c r="AG34" s="8"/>
      <c r="AH34" s="8"/>
      <c r="AI34" s="8"/>
      <c r="AJ34" s="8"/>
      <c r="AK34" s="7"/>
      <c r="AL34" s="7"/>
      <c r="AM34" s="7"/>
      <c r="AN34" s="7"/>
      <c r="AO34" s="7"/>
    </row>
    <row r="35" spans="1:41" ht="14.25" customHeight="1" x14ac:dyDescent="0.3">
      <c r="A35" s="9" t="s">
        <v>72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  <c r="AA35" s="8"/>
      <c r="AB35" s="8"/>
      <c r="AC35" s="8"/>
      <c r="AD35" s="8">
        <v>32.049999999999997</v>
      </c>
      <c r="AE35" s="8"/>
      <c r="AF35" s="8"/>
      <c r="AG35" s="8"/>
      <c r="AH35" s="8"/>
      <c r="AI35" s="8"/>
      <c r="AJ35" s="8"/>
      <c r="AK35" s="7"/>
      <c r="AL35" s="7"/>
      <c r="AM35" s="7"/>
      <c r="AN35" s="7"/>
      <c r="AO35" s="7"/>
    </row>
    <row r="36" spans="1:41" ht="14.25" customHeight="1" x14ac:dyDescent="0.3">
      <c r="A36" s="9" t="s">
        <v>73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  <c r="AA36" s="8"/>
      <c r="AB36" s="8"/>
      <c r="AC36" s="8"/>
      <c r="AD36" s="8">
        <v>37.6</v>
      </c>
      <c r="AE36" s="8"/>
      <c r="AF36" s="8"/>
      <c r="AG36" s="8"/>
      <c r="AH36" s="8"/>
      <c r="AI36" s="8"/>
      <c r="AJ36" s="8"/>
      <c r="AK36" s="7"/>
      <c r="AL36" s="7"/>
      <c r="AM36" s="7"/>
      <c r="AN36" s="7"/>
      <c r="AO36" s="7"/>
    </row>
    <row r="37" spans="1:41" ht="14.25" customHeight="1" x14ac:dyDescent="0.3">
      <c r="A37" s="9" t="s">
        <v>74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  <c r="AA37" s="8"/>
      <c r="AB37" s="8"/>
      <c r="AC37" s="8"/>
      <c r="AD37" s="8">
        <v>148.5</v>
      </c>
      <c r="AE37" s="8"/>
      <c r="AF37" s="8"/>
      <c r="AG37" s="8"/>
      <c r="AH37" s="8"/>
      <c r="AI37" s="8"/>
      <c r="AJ37" s="8"/>
      <c r="AK37" s="7"/>
      <c r="AL37" s="7"/>
      <c r="AM37" s="7"/>
      <c r="AN37" s="7"/>
      <c r="AO37" s="7"/>
    </row>
    <row r="38" spans="1:41" ht="14.25" customHeight="1" x14ac:dyDescent="0.3">
      <c r="A38" s="9" t="s">
        <v>75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  <c r="AA38" s="8"/>
      <c r="AB38" s="8"/>
      <c r="AC38" s="8"/>
      <c r="AD38" s="8">
        <v>49.02</v>
      </c>
      <c r="AE38" s="8"/>
      <c r="AF38" s="8"/>
      <c r="AG38" s="8"/>
      <c r="AH38" s="8"/>
      <c r="AI38" s="8"/>
      <c r="AJ38" s="8"/>
      <c r="AK38" s="7"/>
      <c r="AL38" s="7"/>
      <c r="AM38" s="7"/>
      <c r="AN38" s="7"/>
      <c r="AO38" s="7"/>
    </row>
    <row r="39" spans="1:41" ht="14.25" customHeight="1" x14ac:dyDescent="0.3">
      <c r="A39" s="9" t="s">
        <v>76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  <c r="AA39" s="8"/>
      <c r="AB39" s="8"/>
      <c r="AC39" s="8"/>
      <c r="AD39" s="8">
        <v>47.41</v>
      </c>
      <c r="AE39" s="8"/>
      <c r="AF39" s="8"/>
      <c r="AG39" s="8"/>
      <c r="AH39" s="8"/>
      <c r="AI39" s="8"/>
      <c r="AJ39" s="8"/>
      <c r="AK39" s="7"/>
      <c r="AL39" s="7"/>
      <c r="AM39" s="7"/>
      <c r="AN39" s="7"/>
      <c r="AO39" s="7"/>
    </row>
    <row r="40" spans="1:41" ht="14.25" customHeight="1" x14ac:dyDescent="0.3">
      <c r="A40" s="9" t="s">
        <v>77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  <c r="AA40" s="8"/>
      <c r="AB40" s="8"/>
      <c r="AC40" s="8"/>
      <c r="AD40" s="8">
        <v>160.47999999999999</v>
      </c>
      <c r="AE40" s="8"/>
      <c r="AF40" s="8"/>
      <c r="AG40" s="8"/>
      <c r="AH40" s="8"/>
      <c r="AI40" s="8"/>
      <c r="AJ40" s="8"/>
      <c r="AK40" s="7"/>
      <c r="AL40" s="7"/>
      <c r="AM40" s="7"/>
      <c r="AN40" s="7"/>
      <c r="AO40" s="7"/>
    </row>
    <row r="41" spans="1:41" ht="14.25" customHeight="1" x14ac:dyDescent="0.3">
      <c r="A41" s="9" t="s">
        <v>78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  <c r="AA41" s="8"/>
      <c r="AB41" s="8"/>
      <c r="AC41" s="8"/>
      <c r="AD41" s="8">
        <v>350</v>
      </c>
      <c r="AE41" s="8"/>
      <c r="AF41" s="8"/>
      <c r="AG41" s="8"/>
      <c r="AH41" s="8"/>
      <c r="AI41" s="8"/>
      <c r="AJ41" s="8"/>
      <c r="AK41" s="7"/>
      <c r="AL41" s="7"/>
      <c r="AM41" s="7"/>
      <c r="AN41" s="7"/>
      <c r="AO41" s="7"/>
    </row>
    <row r="42" spans="1:41" ht="14.25" customHeight="1" x14ac:dyDescent="0.3">
      <c r="A42" s="9" t="s">
        <v>79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  <c r="AA42" s="8"/>
      <c r="AB42" s="8"/>
      <c r="AC42" s="8"/>
      <c r="AD42" s="8">
        <v>50</v>
      </c>
      <c r="AE42" s="8"/>
      <c r="AF42" s="8"/>
      <c r="AG42" s="8"/>
      <c r="AH42" s="8"/>
      <c r="AI42" s="8"/>
      <c r="AJ42" s="8"/>
      <c r="AK42" s="7"/>
      <c r="AL42" s="7"/>
      <c r="AM42" s="7"/>
      <c r="AN42" s="7"/>
      <c r="AO42" s="7"/>
    </row>
    <row r="43" spans="1:41" ht="14.25" customHeight="1" x14ac:dyDescent="0.3">
      <c r="A43" s="9" t="s">
        <v>80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  <c r="AA43" s="8"/>
      <c r="AB43" s="8"/>
      <c r="AC43" s="8"/>
      <c r="AD43" s="8">
        <v>10</v>
      </c>
      <c r="AE43" s="8"/>
      <c r="AF43" s="8"/>
      <c r="AG43" s="8"/>
      <c r="AH43" s="8"/>
      <c r="AI43" s="8"/>
      <c r="AJ43" s="8"/>
      <c r="AK43" s="7"/>
      <c r="AL43" s="7"/>
      <c r="AM43" s="7"/>
      <c r="AN43" s="7"/>
      <c r="AO43" s="7"/>
    </row>
    <row r="44" spans="1:41" ht="14.25" customHeight="1" x14ac:dyDescent="0.3">
      <c r="A44" s="9" t="s">
        <v>81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>
        <v>52.5</v>
      </c>
      <c r="AK44" s="7"/>
      <c r="AL44" s="7"/>
      <c r="AM44" s="7"/>
      <c r="AN44" s="7"/>
      <c r="AO44" s="7"/>
    </row>
    <row r="45" spans="1:41" ht="14.25" customHeight="1" x14ac:dyDescent="0.3">
      <c r="A45" s="9" t="s">
        <v>82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>
        <v>8.1199999999999992</v>
      </c>
      <c r="AK45" s="7"/>
      <c r="AL45" s="7"/>
      <c r="AM45" s="7"/>
      <c r="AN45" s="7"/>
      <c r="AO45" s="7"/>
    </row>
    <row r="46" spans="1:41" ht="14.25" customHeight="1" x14ac:dyDescent="0.3">
      <c r="A46" s="9" t="s">
        <v>83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>
        <v>85.6</v>
      </c>
      <c r="AK46" s="7"/>
      <c r="AL46" s="7"/>
      <c r="AM46" s="7"/>
      <c r="AN46" s="7"/>
      <c r="AO46" s="7"/>
    </row>
    <row r="47" spans="1:41" ht="14.25" customHeight="1" x14ac:dyDescent="0.3">
      <c r="A47" s="9" t="s">
        <v>84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>
        <v>76.08</v>
      </c>
      <c r="AK47" s="7"/>
      <c r="AL47" s="7"/>
      <c r="AM47" s="7"/>
      <c r="AN47" s="7"/>
      <c r="AO47" s="7"/>
    </row>
    <row r="48" spans="1:41" ht="14.25" customHeight="1" x14ac:dyDescent="0.3">
      <c r="A48" s="9" t="s">
        <v>85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>
        <v>48</v>
      </c>
      <c r="AK48" s="7"/>
      <c r="AL48" s="7"/>
      <c r="AM48" s="7"/>
      <c r="AN48" s="7"/>
      <c r="AO48" s="7"/>
    </row>
    <row r="49" spans="1:42" ht="14.25" customHeight="1" x14ac:dyDescent="0.3">
      <c r="A49" s="9" t="s">
        <v>86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>
        <v>75</v>
      </c>
      <c r="AK49" s="7"/>
      <c r="AL49" s="7"/>
      <c r="AM49" s="7"/>
      <c r="AN49" s="7"/>
      <c r="AO49" s="7"/>
    </row>
    <row r="50" spans="1:42" ht="14.25" customHeight="1" x14ac:dyDescent="0.3">
      <c r="A50" s="9" t="s">
        <v>87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>
        <v>8.69</v>
      </c>
      <c r="AK50" s="7"/>
      <c r="AL50" s="7"/>
      <c r="AM50" s="7"/>
      <c r="AN50" s="7"/>
      <c r="AO50" s="7"/>
    </row>
    <row r="51" spans="1:42" ht="14.25" customHeight="1" x14ac:dyDescent="0.3">
      <c r="A51" s="9" t="s">
        <v>88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>
        <v>8.5</v>
      </c>
      <c r="AK51" s="7"/>
      <c r="AL51" s="7"/>
      <c r="AM51" s="7"/>
      <c r="AN51" s="7"/>
      <c r="AO51" s="7"/>
    </row>
    <row r="52" spans="1:42" ht="14.25" customHeight="1" x14ac:dyDescent="0.3">
      <c r="A52" s="9" t="s">
        <v>89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>
        <v>6</v>
      </c>
      <c r="AK52" s="7"/>
      <c r="AL52" s="7"/>
      <c r="AM52" s="7"/>
      <c r="AN52" s="7"/>
      <c r="AO52" s="7"/>
    </row>
    <row r="53" spans="1:42" ht="14.25" customHeight="1" x14ac:dyDescent="0.3">
      <c r="A53" s="9" t="s">
        <v>90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>
        <v>5</v>
      </c>
      <c r="AK53" s="7"/>
      <c r="AL53" s="7"/>
      <c r="AM53" s="7"/>
      <c r="AN53" s="7"/>
      <c r="AO53" s="7"/>
    </row>
    <row r="54" spans="1:42" ht="14.25" customHeight="1" x14ac:dyDescent="0.3">
      <c r="A54" s="9" t="s">
        <v>91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>
        <v>144</v>
      </c>
      <c r="AK54" s="7"/>
      <c r="AL54" s="7"/>
      <c r="AM54" s="7"/>
      <c r="AN54" s="7"/>
      <c r="AO54" s="7"/>
    </row>
    <row r="55" spans="1:42" ht="14.25" customHeight="1" x14ac:dyDescent="0.3">
      <c r="A55" s="11" t="s">
        <v>92</v>
      </c>
      <c r="B55" s="12">
        <f t="shared" ref="B55:AO55" si="2">SUM(B3:B54)</f>
        <v>57.099999999999994</v>
      </c>
      <c r="C55" s="12">
        <f t="shared" si="2"/>
        <v>175.43</v>
      </c>
      <c r="D55" s="12">
        <f t="shared" si="2"/>
        <v>57.099999999999994</v>
      </c>
      <c r="E55" s="12">
        <f t="shared" si="2"/>
        <v>231.28</v>
      </c>
      <c r="F55" s="12">
        <f t="shared" si="2"/>
        <v>57.099999999999994</v>
      </c>
      <c r="G55" s="12">
        <f t="shared" si="2"/>
        <v>175.43</v>
      </c>
      <c r="H55" s="12">
        <f t="shared" si="2"/>
        <v>57.099999999999994</v>
      </c>
      <c r="I55" s="12">
        <f t="shared" si="2"/>
        <v>231.28</v>
      </c>
      <c r="J55" s="12">
        <f t="shared" si="2"/>
        <v>57.099999999999994</v>
      </c>
      <c r="K55" s="12">
        <f t="shared" si="2"/>
        <v>199.14000000000001</v>
      </c>
      <c r="L55" s="12">
        <f t="shared" si="2"/>
        <v>57.099999999999994</v>
      </c>
      <c r="M55" s="12">
        <f t="shared" si="2"/>
        <v>231.28</v>
      </c>
      <c r="N55" s="12">
        <f t="shared" si="2"/>
        <v>57.099999999999994</v>
      </c>
      <c r="O55" s="12">
        <f t="shared" si="2"/>
        <v>175.43</v>
      </c>
      <c r="P55" s="12">
        <f t="shared" si="2"/>
        <v>57.099999999999994</v>
      </c>
      <c r="Q55" s="12">
        <f t="shared" si="2"/>
        <v>311.14999999999998</v>
      </c>
      <c r="R55" s="12">
        <f t="shared" si="2"/>
        <v>57.099999999999994</v>
      </c>
      <c r="S55" s="12">
        <f t="shared" si="2"/>
        <v>175.43</v>
      </c>
      <c r="T55" s="12">
        <f t="shared" si="2"/>
        <v>57.099999999999994</v>
      </c>
      <c r="U55" s="12">
        <f t="shared" si="2"/>
        <v>579.14</v>
      </c>
      <c r="V55" s="12">
        <f t="shared" si="2"/>
        <v>57.099999999999994</v>
      </c>
      <c r="W55" s="12">
        <f t="shared" si="2"/>
        <v>175.43</v>
      </c>
      <c r="X55" s="12">
        <f t="shared" si="2"/>
        <v>57.099999999999994</v>
      </c>
      <c r="Y55" s="12">
        <f t="shared" si="2"/>
        <v>231.28</v>
      </c>
      <c r="Z55" s="12">
        <f t="shared" si="2"/>
        <v>431.87</v>
      </c>
      <c r="AA55" s="12">
        <f t="shared" si="2"/>
        <v>175.43</v>
      </c>
      <c r="AB55" s="12">
        <f t="shared" si="2"/>
        <v>57.099999999999994</v>
      </c>
      <c r="AC55" s="12">
        <f t="shared" si="2"/>
        <v>231.28</v>
      </c>
      <c r="AD55" s="12">
        <f t="shared" si="2"/>
        <v>1231.77</v>
      </c>
      <c r="AE55" s="12">
        <f t="shared" si="2"/>
        <v>199.14000000000001</v>
      </c>
      <c r="AF55" s="12">
        <f t="shared" si="2"/>
        <v>57.099999999999994</v>
      </c>
      <c r="AG55" s="12">
        <f t="shared" si="2"/>
        <v>231.28</v>
      </c>
      <c r="AH55" s="12">
        <f t="shared" si="2"/>
        <v>57.099999999999994</v>
      </c>
      <c r="AI55" s="12">
        <f t="shared" si="2"/>
        <v>175.43</v>
      </c>
      <c r="AJ55" s="12">
        <f t="shared" si="2"/>
        <v>574.58999999999992</v>
      </c>
      <c r="AK55" s="12">
        <f t="shared" si="2"/>
        <v>311.14999999999998</v>
      </c>
      <c r="AL55" s="12">
        <f t="shared" si="2"/>
        <v>57.099999999999994</v>
      </c>
      <c r="AM55" s="12">
        <f t="shared" si="2"/>
        <v>175.43</v>
      </c>
      <c r="AN55" s="12">
        <f t="shared" si="2"/>
        <v>57.099999999999994</v>
      </c>
      <c r="AO55" s="12">
        <f t="shared" si="2"/>
        <v>579.14</v>
      </c>
      <c r="AP55" s="13">
        <f>SUM(B55:AO55)</f>
        <v>8178.9100000000008</v>
      </c>
    </row>
    <row r="56" spans="1:42" ht="14.25" customHeight="1" x14ac:dyDescent="0.3">
      <c r="A56" s="6" t="s">
        <v>93</v>
      </c>
      <c r="B56" s="7">
        <v>46.2</v>
      </c>
      <c r="C56" s="7">
        <v>46.2</v>
      </c>
      <c r="D56" s="7">
        <v>46.2</v>
      </c>
      <c r="E56" s="7">
        <v>46.2</v>
      </c>
      <c r="F56" s="7">
        <v>46.2</v>
      </c>
      <c r="G56" s="7">
        <v>46.2</v>
      </c>
      <c r="H56" s="7">
        <v>46.2</v>
      </c>
      <c r="I56" s="7">
        <v>46.2</v>
      </c>
      <c r="J56" s="7">
        <v>46.2</v>
      </c>
      <c r="K56" s="7">
        <v>46.2</v>
      </c>
      <c r="L56" s="7">
        <v>46.2</v>
      </c>
      <c r="M56" s="7">
        <v>46.2</v>
      </c>
      <c r="N56" s="7">
        <v>46.2</v>
      </c>
      <c r="O56" s="7">
        <v>46.2</v>
      </c>
      <c r="P56" s="7">
        <v>46.2</v>
      </c>
      <c r="Q56" s="7">
        <v>46.2</v>
      </c>
      <c r="R56" s="7">
        <v>46.2</v>
      </c>
      <c r="S56" s="7">
        <v>46.2</v>
      </c>
      <c r="T56" s="7">
        <v>46.2</v>
      </c>
      <c r="U56" s="7">
        <v>46.2</v>
      </c>
      <c r="V56" s="7">
        <v>46.2</v>
      </c>
      <c r="W56" s="7">
        <v>46.2</v>
      </c>
      <c r="X56" s="7">
        <v>46.2</v>
      </c>
      <c r="Y56" s="7">
        <v>46.2</v>
      </c>
      <c r="Z56" s="8">
        <v>46.2</v>
      </c>
      <c r="AA56" s="8">
        <v>46.2</v>
      </c>
      <c r="AB56" s="8">
        <v>46.2</v>
      </c>
      <c r="AC56" s="8">
        <v>46.2</v>
      </c>
      <c r="AD56" s="8">
        <v>46.2</v>
      </c>
      <c r="AE56" s="8">
        <v>46.2</v>
      </c>
      <c r="AF56" s="8">
        <v>46.2</v>
      </c>
      <c r="AG56" s="8">
        <v>46.2</v>
      </c>
      <c r="AH56" s="8">
        <v>46.2</v>
      </c>
      <c r="AI56" s="8">
        <v>46.2</v>
      </c>
      <c r="AJ56" s="8">
        <v>46.2</v>
      </c>
      <c r="AK56" s="8">
        <v>46.2</v>
      </c>
      <c r="AL56" s="7">
        <v>46.2</v>
      </c>
      <c r="AM56" s="7">
        <v>46.2</v>
      </c>
      <c r="AN56" s="7">
        <v>46.2</v>
      </c>
      <c r="AO56" s="7">
        <v>46.2</v>
      </c>
    </row>
    <row r="57" spans="1:42" ht="14.25" customHeight="1" x14ac:dyDescent="0.3">
      <c r="A57" s="6" t="s">
        <v>94</v>
      </c>
      <c r="B57" s="7"/>
      <c r="C57" s="7"/>
      <c r="D57" s="7"/>
      <c r="E57" s="7">
        <v>7.71</v>
      </c>
      <c r="F57" s="7"/>
      <c r="G57" s="7"/>
      <c r="H57" s="7"/>
      <c r="I57" s="7">
        <v>7.71</v>
      </c>
      <c r="J57" s="7"/>
      <c r="K57" s="7"/>
      <c r="L57" s="7"/>
      <c r="M57" s="7">
        <v>7.71</v>
      </c>
      <c r="N57" s="7"/>
      <c r="O57" s="7"/>
      <c r="P57" s="7"/>
      <c r="Q57" s="7">
        <v>7.71</v>
      </c>
      <c r="R57" s="7"/>
      <c r="S57" s="7"/>
      <c r="T57" s="7"/>
      <c r="U57" s="7">
        <v>7.71</v>
      </c>
      <c r="V57" s="7"/>
      <c r="W57" s="7"/>
      <c r="X57" s="7"/>
      <c r="Y57" s="7">
        <v>7.71</v>
      </c>
      <c r="Z57" s="8"/>
      <c r="AA57" s="8"/>
      <c r="AB57" s="8"/>
      <c r="AC57" s="8">
        <v>7.71</v>
      </c>
      <c r="AD57" s="8"/>
      <c r="AE57" s="8"/>
      <c r="AF57" s="8"/>
      <c r="AG57" s="8">
        <v>7.71</v>
      </c>
      <c r="AH57" s="8"/>
      <c r="AI57" s="8"/>
      <c r="AJ57" s="8"/>
      <c r="AK57" s="8">
        <v>7.71</v>
      </c>
      <c r="AL57" s="7"/>
      <c r="AM57" s="7"/>
      <c r="AN57" s="7"/>
      <c r="AO57" s="7">
        <v>7.71</v>
      </c>
    </row>
    <row r="58" spans="1:42" ht="14.25" customHeight="1" x14ac:dyDescent="0.3">
      <c r="A58" s="6" t="s">
        <v>95</v>
      </c>
      <c r="B58" s="7"/>
      <c r="C58" s="7">
        <v>6.16</v>
      </c>
      <c r="D58" s="7"/>
      <c r="E58" s="7">
        <v>6.16</v>
      </c>
      <c r="F58" s="7"/>
      <c r="G58" s="7">
        <v>6.16</v>
      </c>
      <c r="H58" s="7"/>
      <c r="I58" s="7">
        <v>6.16</v>
      </c>
      <c r="J58" s="7"/>
      <c r="K58" s="7">
        <v>6.16</v>
      </c>
      <c r="L58" s="7"/>
      <c r="M58" s="7">
        <v>6.16</v>
      </c>
      <c r="N58" s="7"/>
      <c r="O58" s="7">
        <v>6.16</v>
      </c>
      <c r="P58" s="7"/>
      <c r="Q58" s="7">
        <v>6.16</v>
      </c>
      <c r="R58" s="7"/>
      <c r="S58" s="7">
        <v>6.16</v>
      </c>
      <c r="T58" s="7"/>
      <c r="U58" s="7">
        <v>6.16</v>
      </c>
      <c r="V58" s="7"/>
      <c r="W58" s="7">
        <v>6.16</v>
      </c>
      <c r="X58" s="7"/>
      <c r="Y58" s="7">
        <v>6.16</v>
      </c>
      <c r="Z58" s="8"/>
      <c r="AA58" s="8">
        <v>6.16</v>
      </c>
      <c r="AB58" s="8"/>
      <c r="AC58" s="8">
        <v>6.16</v>
      </c>
      <c r="AD58" s="8"/>
      <c r="AE58" s="8">
        <v>6.16</v>
      </c>
      <c r="AF58" s="8"/>
      <c r="AG58" s="8">
        <v>6.16</v>
      </c>
      <c r="AH58" s="8"/>
      <c r="AI58" s="8">
        <v>6.16</v>
      </c>
      <c r="AJ58" s="8"/>
      <c r="AK58" s="8">
        <v>6.16</v>
      </c>
      <c r="AL58" s="7"/>
      <c r="AM58" s="7">
        <v>6.16</v>
      </c>
      <c r="AN58" s="7"/>
      <c r="AO58" s="7">
        <v>6.16</v>
      </c>
    </row>
    <row r="59" spans="1:42" ht="14.25" customHeight="1" x14ac:dyDescent="0.3">
      <c r="A59" s="6" t="s">
        <v>96</v>
      </c>
      <c r="B59" s="7"/>
      <c r="C59" s="7">
        <v>6.62</v>
      </c>
      <c r="D59" s="7"/>
      <c r="E59" s="7">
        <v>6.62</v>
      </c>
      <c r="F59" s="7"/>
      <c r="G59" s="7">
        <v>6.62</v>
      </c>
      <c r="H59" s="7"/>
      <c r="I59" s="7">
        <v>6.62</v>
      </c>
      <c r="J59" s="7"/>
      <c r="K59" s="7">
        <v>6.62</v>
      </c>
      <c r="L59" s="7"/>
      <c r="M59" s="7">
        <v>6.62</v>
      </c>
      <c r="N59" s="7"/>
      <c r="O59" s="7">
        <v>6.62</v>
      </c>
      <c r="P59" s="7"/>
      <c r="Q59" s="7">
        <v>6.62</v>
      </c>
      <c r="R59" s="7"/>
      <c r="S59" s="7">
        <v>6.62</v>
      </c>
      <c r="T59" s="7"/>
      <c r="U59" s="7">
        <v>6.62</v>
      </c>
      <c r="V59" s="7"/>
      <c r="W59" s="7">
        <v>6.62</v>
      </c>
      <c r="X59" s="7"/>
      <c r="Y59" s="7">
        <v>6.62</v>
      </c>
      <c r="Z59" s="8"/>
      <c r="AA59" s="8">
        <v>6.62</v>
      </c>
      <c r="AB59" s="8"/>
      <c r="AC59" s="8">
        <v>6.62</v>
      </c>
      <c r="AD59" s="8"/>
      <c r="AE59" s="8">
        <v>6.62</v>
      </c>
      <c r="AF59" s="8"/>
      <c r="AG59" s="8">
        <v>6.62</v>
      </c>
      <c r="AH59" s="8"/>
      <c r="AI59" s="8">
        <v>6.62</v>
      </c>
      <c r="AJ59" s="8"/>
      <c r="AK59" s="8">
        <v>6.62</v>
      </c>
      <c r="AL59" s="7"/>
      <c r="AM59" s="7">
        <v>6.62</v>
      </c>
      <c r="AN59" s="7"/>
      <c r="AO59" s="7">
        <v>6.62</v>
      </c>
    </row>
    <row r="60" spans="1:42" ht="14.25" customHeight="1" x14ac:dyDescent="0.3">
      <c r="A60" s="6" t="s">
        <v>97</v>
      </c>
      <c r="B60" s="7"/>
      <c r="C60" s="7"/>
      <c r="D60" s="7"/>
      <c r="E60" s="7"/>
      <c r="F60" s="7"/>
      <c r="G60" s="7"/>
      <c r="H60" s="7"/>
      <c r="I60" s="7"/>
      <c r="J60" s="7"/>
      <c r="K60" s="7">
        <v>35.44</v>
      </c>
      <c r="L60" s="7"/>
      <c r="M60" s="7"/>
      <c r="N60" s="7"/>
      <c r="O60" s="7"/>
      <c r="P60" s="7"/>
      <c r="Q60" s="7"/>
      <c r="R60" s="7"/>
      <c r="S60" s="7"/>
      <c r="T60" s="7"/>
      <c r="U60" s="7">
        <v>35.44</v>
      </c>
      <c r="V60" s="7"/>
      <c r="W60" s="7"/>
      <c r="X60" s="7"/>
      <c r="Y60" s="7"/>
      <c r="Z60" s="8">
        <v>35.44</v>
      </c>
      <c r="AA60" s="8"/>
      <c r="AB60" s="8"/>
      <c r="AC60" s="8"/>
      <c r="AD60" s="8"/>
      <c r="AE60" s="8">
        <v>35.44</v>
      </c>
      <c r="AF60" s="8"/>
      <c r="AG60" s="8"/>
      <c r="AH60" s="8"/>
      <c r="AI60" s="8"/>
      <c r="AJ60" s="8"/>
      <c r="AK60" s="8"/>
      <c r="AL60" s="7"/>
      <c r="AM60" s="7"/>
      <c r="AN60" s="7"/>
      <c r="AO60" s="7">
        <v>35.44</v>
      </c>
    </row>
    <row r="61" spans="1:42" ht="14.25" customHeight="1" x14ac:dyDescent="0.3">
      <c r="A61" s="24" t="s">
        <v>98</v>
      </c>
      <c r="B61" s="7">
        <v>28.23</v>
      </c>
      <c r="C61" s="7"/>
      <c r="D61" s="7"/>
      <c r="E61" s="7"/>
      <c r="F61" s="7"/>
      <c r="G61" s="7"/>
      <c r="H61" s="7"/>
      <c r="I61" s="7"/>
      <c r="J61" s="7"/>
      <c r="K61" s="7">
        <v>28.23</v>
      </c>
      <c r="L61" s="7"/>
      <c r="M61" s="7"/>
      <c r="N61" s="7"/>
      <c r="O61" s="7"/>
      <c r="P61" s="7"/>
      <c r="Q61" s="7"/>
      <c r="R61" s="7"/>
      <c r="S61" s="7"/>
      <c r="T61" s="7"/>
      <c r="U61" s="7">
        <v>28.23</v>
      </c>
      <c r="V61" s="7"/>
      <c r="W61" s="7"/>
      <c r="X61" s="7"/>
      <c r="Y61" s="7"/>
      <c r="Z61" s="8"/>
      <c r="AA61" s="8"/>
      <c r="AB61" s="8"/>
      <c r="AC61" s="8"/>
      <c r="AD61" s="8">
        <v>28.23</v>
      </c>
      <c r="AE61" s="8"/>
      <c r="AF61" s="8"/>
      <c r="AG61" s="8"/>
      <c r="AH61" s="8"/>
      <c r="AI61" s="8"/>
      <c r="AJ61" s="8"/>
      <c r="AK61" s="8"/>
      <c r="AL61" s="7"/>
      <c r="AM61" s="7"/>
      <c r="AN61" s="7"/>
      <c r="AO61" s="7">
        <v>28.23</v>
      </c>
    </row>
    <row r="62" spans="1:42" ht="14.25" customHeight="1" x14ac:dyDescent="0.3">
      <c r="A62" s="24" t="s">
        <v>100</v>
      </c>
      <c r="B62" s="7">
        <v>26.61</v>
      </c>
      <c r="C62" s="7"/>
      <c r="D62" s="7"/>
      <c r="E62" s="7"/>
      <c r="F62" s="7"/>
      <c r="G62" s="7"/>
      <c r="H62" s="7"/>
      <c r="I62" s="7"/>
      <c r="J62" s="7"/>
      <c r="K62" s="7">
        <v>26.61</v>
      </c>
      <c r="L62" s="7"/>
      <c r="M62" s="7"/>
      <c r="N62" s="7"/>
      <c r="O62" s="7"/>
      <c r="P62" s="7"/>
      <c r="Q62" s="7"/>
      <c r="R62" s="7"/>
      <c r="S62" s="7"/>
      <c r="T62" s="7"/>
      <c r="U62" s="7">
        <v>26.61</v>
      </c>
      <c r="V62" s="7"/>
      <c r="W62" s="7"/>
      <c r="X62" s="7"/>
      <c r="Y62" s="7"/>
      <c r="Z62" s="8"/>
      <c r="AA62" s="8"/>
      <c r="AB62" s="8"/>
      <c r="AC62" s="8"/>
      <c r="AD62" s="8"/>
      <c r="AE62" s="8">
        <v>26.61</v>
      </c>
      <c r="AF62" s="8"/>
      <c r="AG62" s="8"/>
      <c r="AH62" s="8"/>
      <c r="AI62" s="8"/>
      <c r="AJ62" s="8"/>
      <c r="AK62" s="8"/>
      <c r="AL62" s="7"/>
      <c r="AM62" s="7"/>
      <c r="AN62" s="7"/>
      <c r="AO62" s="7">
        <v>26.61</v>
      </c>
    </row>
    <row r="63" spans="1:42" ht="14.25" customHeight="1" x14ac:dyDescent="0.3">
      <c r="A63" s="24" t="s">
        <v>102</v>
      </c>
      <c r="B63" s="7"/>
      <c r="C63" s="7"/>
      <c r="D63" s="7"/>
      <c r="E63" s="7"/>
      <c r="F63" s="7"/>
      <c r="G63" s="7"/>
      <c r="H63" s="7"/>
      <c r="I63" s="7"/>
      <c r="J63" s="7"/>
      <c r="K63" s="7">
        <v>8.7100000000000009</v>
      </c>
      <c r="L63" s="7"/>
      <c r="M63" s="7"/>
      <c r="N63" s="7"/>
      <c r="O63" s="7"/>
      <c r="P63" s="7"/>
      <c r="Q63" s="7"/>
      <c r="R63" s="7"/>
      <c r="S63" s="7"/>
      <c r="T63" s="7"/>
      <c r="U63" s="7">
        <v>8.7100000000000009</v>
      </c>
      <c r="V63" s="7"/>
      <c r="W63" s="7"/>
      <c r="X63" s="7"/>
      <c r="Y63" s="7"/>
      <c r="Z63" s="8"/>
      <c r="AA63" s="8"/>
      <c r="AB63" s="8"/>
      <c r="AC63" s="8"/>
      <c r="AD63" s="8"/>
      <c r="AE63" s="8">
        <v>8.7100000000000009</v>
      </c>
      <c r="AF63" s="8"/>
      <c r="AG63" s="8"/>
      <c r="AH63" s="8"/>
      <c r="AI63" s="8"/>
      <c r="AJ63" s="8"/>
      <c r="AK63" s="8"/>
      <c r="AL63" s="7"/>
      <c r="AM63" s="7"/>
      <c r="AN63" s="7"/>
      <c r="AO63" s="7">
        <v>8.7100000000000009</v>
      </c>
    </row>
    <row r="64" spans="1:42" ht="13.5" customHeight="1" x14ac:dyDescent="0.3">
      <c r="A64" s="6" t="s">
        <v>103</v>
      </c>
      <c r="B64" s="7"/>
      <c r="C64" s="7"/>
      <c r="D64" s="7"/>
      <c r="E64" s="7">
        <v>15</v>
      </c>
      <c r="F64" s="7"/>
      <c r="G64" s="7"/>
      <c r="H64" s="7"/>
      <c r="I64" s="7">
        <v>15</v>
      </c>
      <c r="J64" s="7"/>
      <c r="K64" s="7"/>
      <c r="L64" s="7"/>
      <c r="M64" s="7">
        <v>15</v>
      </c>
      <c r="N64" s="7"/>
      <c r="O64" s="7"/>
      <c r="P64" s="7"/>
      <c r="Q64" s="7">
        <v>15</v>
      </c>
      <c r="R64" s="7"/>
      <c r="S64" s="7"/>
      <c r="T64" s="7"/>
      <c r="U64" s="7">
        <v>15</v>
      </c>
      <c r="V64" s="7"/>
      <c r="W64" s="7"/>
      <c r="X64" s="7"/>
      <c r="Y64" s="7">
        <v>15</v>
      </c>
      <c r="Z64" s="8"/>
      <c r="AA64" s="8"/>
      <c r="AB64" s="8"/>
      <c r="AC64" s="8">
        <v>15</v>
      </c>
      <c r="AD64" s="8"/>
      <c r="AE64" s="8"/>
      <c r="AF64" s="8"/>
      <c r="AG64" s="8">
        <v>15</v>
      </c>
      <c r="AH64" s="8"/>
      <c r="AI64" s="8"/>
      <c r="AJ64" s="8"/>
      <c r="AK64" s="8">
        <v>15</v>
      </c>
      <c r="AL64" s="7"/>
      <c r="AM64" s="7"/>
      <c r="AN64" s="7"/>
      <c r="AO64" s="7">
        <v>15</v>
      </c>
    </row>
    <row r="65" spans="1:42" ht="14.25" customHeight="1" x14ac:dyDescent="0.3">
      <c r="A65" s="14" t="s">
        <v>104</v>
      </c>
      <c r="B65" s="15">
        <f t="shared" ref="B65:AO65" si="3">SUM(B56:B64)</f>
        <v>101.04</v>
      </c>
      <c r="C65" s="15">
        <f t="shared" si="3"/>
        <v>58.98</v>
      </c>
      <c r="D65" s="15">
        <f t="shared" si="3"/>
        <v>46.2</v>
      </c>
      <c r="E65" s="15">
        <f t="shared" si="3"/>
        <v>81.690000000000012</v>
      </c>
      <c r="F65" s="15">
        <f t="shared" si="3"/>
        <v>46.2</v>
      </c>
      <c r="G65" s="15">
        <f t="shared" si="3"/>
        <v>58.98</v>
      </c>
      <c r="H65" s="15">
        <f t="shared" si="3"/>
        <v>46.2</v>
      </c>
      <c r="I65" s="15">
        <f t="shared" si="3"/>
        <v>81.690000000000012</v>
      </c>
      <c r="J65" s="15">
        <f t="shared" si="3"/>
        <v>46.2</v>
      </c>
      <c r="K65" s="15">
        <f t="shared" si="3"/>
        <v>157.97</v>
      </c>
      <c r="L65" s="15">
        <f t="shared" si="3"/>
        <v>46.2</v>
      </c>
      <c r="M65" s="15">
        <f t="shared" si="3"/>
        <v>81.690000000000012</v>
      </c>
      <c r="N65" s="15">
        <f t="shared" si="3"/>
        <v>46.2</v>
      </c>
      <c r="O65" s="15">
        <f t="shared" si="3"/>
        <v>58.98</v>
      </c>
      <c r="P65" s="15">
        <f t="shared" si="3"/>
        <v>46.2</v>
      </c>
      <c r="Q65" s="15">
        <f t="shared" si="3"/>
        <v>81.690000000000012</v>
      </c>
      <c r="R65" s="15">
        <f t="shared" si="3"/>
        <v>46.2</v>
      </c>
      <c r="S65" s="15">
        <f t="shared" si="3"/>
        <v>58.98</v>
      </c>
      <c r="T65" s="15">
        <f t="shared" si="3"/>
        <v>46.2</v>
      </c>
      <c r="U65" s="15">
        <f t="shared" si="3"/>
        <v>180.68000000000004</v>
      </c>
      <c r="V65" s="15">
        <f t="shared" si="3"/>
        <v>46.2</v>
      </c>
      <c r="W65" s="15">
        <f t="shared" si="3"/>
        <v>58.98</v>
      </c>
      <c r="X65" s="15">
        <f t="shared" si="3"/>
        <v>46.2</v>
      </c>
      <c r="Y65" s="15">
        <f t="shared" si="3"/>
        <v>81.690000000000012</v>
      </c>
      <c r="Z65" s="15">
        <f t="shared" si="3"/>
        <v>81.64</v>
      </c>
      <c r="AA65" s="15">
        <f t="shared" si="3"/>
        <v>58.98</v>
      </c>
      <c r="AB65" s="15">
        <f t="shared" si="3"/>
        <v>46.2</v>
      </c>
      <c r="AC65" s="15">
        <f t="shared" si="3"/>
        <v>81.690000000000012</v>
      </c>
      <c r="AD65" s="15">
        <f t="shared" si="3"/>
        <v>74.430000000000007</v>
      </c>
      <c r="AE65" s="15">
        <f t="shared" si="3"/>
        <v>129.73999999999998</v>
      </c>
      <c r="AF65" s="15">
        <f t="shared" si="3"/>
        <v>46.2</v>
      </c>
      <c r="AG65" s="15">
        <f t="shared" si="3"/>
        <v>81.690000000000012</v>
      </c>
      <c r="AH65" s="15">
        <f t="shared" si="3"/>
        <v>46.2</v>
      </c>
      <c r="AI65" s="15">
        <f t="shared" si="3"/>
        <v>58.98</v>
      </c>
      <c r="AJ65" s="15">
        <f t="shared" si="3"/>
        <v>46.2</v>
      </c>
      <c r="AK65" s="15">
        <f t="shared" si="3"/>
        <v>81.690000000000012</v>
      </c>
      <c r="AL65" s="15">
        <f t="shared" si="3"/>
        <v>46.2</v>
      </c>
      <c r="AM65" s="15">
        <f t="shared" si="3"/>
        <v>58.98</v>
      </c>
      <c r="AN65" s="15">
        <f t="shared" si="3"/>
        <v>46.2</v>
      </c>
      <c r="AO65" s="15">
        <f t="shared" si="3"/>
        <v>180.68000000000004</v>
      </c>
      <c r="AP65" s="13">
        <f>SUM(B65:AO65)</f>
        <v>2816.94</v>
      </c>
    </row>
    <row r="66" spans="1:42" ht="14.25" customHeight="1" x14ac:dyDescent="0.3">
      <c r="A66" s="6" t="s">
        <v>105</v>
      </c>
      <c r="B66" s="7">
        <v>20.79</v>
      </c>
      <c r="C66" s="7">
        <v>137.28</v>
      </c>
      <c r="D66" s="7">
        <v>15.18</v>
      </c>
      <c r="E66" s="7">
        <v>146.19</v>
      </c>
      <c r="F66" s="7">
        <v>15.18</v>
      </c>
      <c r="G66" s="7">
        <v>157.08000000000001</v>
      </c>
      <c r="H66" s="7">
        <v>15.18</v>
      </c>
      <c r="I66" s="7">
        <v>181.5</v>
      </c>
      <c r="J66" s="7">
        <v>15.18</v>
      </c>
      <c r="K66" s="7">
        <v>150.81</v>
      </c>
      <c r="L66" s="7">
        <v>15.18</v>
      </c>
      <c r="M66" s="7">
        <v>163.35</v>
      </c>
      <c r="N66" s="7">
        <v>15.18</v>
      </c>
      <c r="O66" s="7">
        <v>128.04</v>
      </c>
      <c r="P66" s="7">
        <v>15.18</v>
      </c>
      <c r="Q66" s="7">
        <v>147.51</v>
      </c>
      <c r="R66" s="7">
        <v>15.18</v>
      </c>
      <c r="S66" s="7">
        <v>161.04</v>
      </c>
      <c r="T66" s="7">
        <v>15.18</v>
      </c>
      <c r="U66" s="7">
        <v>289.74</v>
      </c>
      <c r="V66" s="7">
        <v>15.18</v>
      </c>
      <c r="W66" s="7">
        <v>137.28</v>
      </c>
      <c r="X66" s="7">
        <v>15.18</v>
      </c>
      <c r="Y66" s="7">
        <v>163.35</v>
      </c>
      <c r="Z66" s="8">
        <v>15.18</v>
      </c>
      <c r="AA66" s="8">
        <v>157.08000000000001</v>
      </c>
      <c r="AB66" s="8">
        <v>15.18</v>
      </c>
      <c r="AC66" s="8">
        <v>181.5</v>
      </c>
      <c r="AD66" s="8">
        <v>15.18</v>
      </c>
      <c r="AE66" s="8">
        <v>150.81</v>
      </c>
      <c r="AF66" s="8">
        <v>15.18</v>
      </c>
      <c r="AG66" s="8">
        <v>163.35</v>
      </c>
      <c r="AH66" s="8">
        <v>15.18</v>
      </c>
      <c r="AI66" s="8">
        <v>128.04</v>
      </c>
      <c r="AJ66" s="8">
        <v>15.18</v>
      </c>
      <c r="AK66" s="8">
        <v>147.51</v>
      </c>
      <c r="AL66" s="8">
        <v>15.18</v>
      </c>
      <c r="AM66" s="7">
        <v>161.04</v>
      </c>
      <c r="AN66" s="7">
        <v>15.18</v>
      </c>
      <c r="AO66" s="7">
        <v>289.74</v>
      </c>
    </row>
    <row r="67" spans="1:42" ht="14.25" customHeight="1" x14ac:dyDescent="0.3">
      <c r="A67" s="6" t="s">
        <v>106</v>
      </c>
      <c r="B67" s="7"/>
      <c r="C67" s="7">
        <v>17.16</v>
      </c>
      <c r="D67" s="7"/>
      <c r="E67" s="7">
        <v>17.16</v>
      </c>
      <c r="F67" s="7"/>
      <c r="G67" s="7">
        <v>17.16</v>
      </c>
      <c r="H67" s="7"/>
      <c r="I67" s="7">
        <v>17.16</v>
      </c>
      <c r="J67" s="7"/>
      <c r="K67" s="7">
        <v>17.16</v>
      </c>
      <c r="L67" s="7"/>
      <c r="M67" s="7">
        <v>17.16</v>
      </c>
      <c r="N67" s="7"/>
      <c r="O67" s="7">
        <v>17.16</v>
      </c>
      <c r="P67" s="7"/>
      <c r="Q67" s="7">
        <v>17.16</v>
      </c>
      <c r="R67" s="7"/>
      <c r="S67" s="7">
        <v>17.16</v>
      </c>
      <c r="T67" s="7"/>
      <c r="U67" s="7">
        <v>17.16</v>
      </c>
      <c r="V67" s="7"/>
      <c r="W67" s="7">
        <v>17.16</v>
      </c>
      <c r="X67" s="7"/>
      <c r="Y67" s="7">
        <v>17.16</v>
      </c>
      <c r="Z67" s="8"/>
      <c r="AA67" s="8">
        <v>17.16</v>
      </c>
      <c r="AB67" s="8"/>
      <c r="AC67" s="8">
        <v>17.16</v>
      </c>
      <c r="AD67" s="8"/>
      <c r="AE67" s="8">
        <v>17.16</v>
      </c>
      <c r="AF67" s="8"/>
      <c r="AG67" s="8">
        <v>17.16</v>
      </c>
      <c r="AH67" s="8"/>
      <c r="AI67" s="8">
        <v>17.16</v>
      </c>
      <c r="AJ67" s="8"/>
      <c r="AK67" s="8">
        <v>17.16</v>
      </c>
      <c r="AL67" s="8"/>
      <c r="AM67" s="7">
        <v>17.16</v>
      </c>
      <c r="AN67" s="7"/>
      <c r="AO67" s="7">
        <v>17.16</v>
      </c>
    </row>
    <row r="68" spans="1:42" ht="14.25" customHeight="1" x14ac:dyDescent="0.3">
      <c r="A68" s="6" t="s">
        <v>107</v>
      </c>
      <c r="B68" s="7"/>
      <c r="C68" s="7">
        <v>15.84</v>
      </c>
      <c r="D68" s="7"/>
      <c r="E68" s="7">
        <v>15.84</v>
      </c>
      <c r="F68" s="7"/>
      <c r="G68" s="7">
        <v>15.84</v>
      </c>
      <c r="H68" s="7"/>
      <c r="I68" s="7">
        <v>15.84</v>
      </c>
      <c r="J68" s="7"/>
      <c r="K68" s="7">
        <v>15.84</v>
      </c>
      <c r="L68" s="7"/>
      <c r="M68" s="7">
        <v>15.84</v>
      </c>
      <c r="N68" s="7"/>
      <c r="O68" s="7">
        <v>15.84</v>
      </c>
      <c r="P68" s="7"/>
      <c r="Q68" s="7">
        <v>15.84</v>
      </c>
      <c r="R68" s="7"/>
      <c r="S68" s="7">
        <v>15.84</v>
      </c>
      <c r="T68" s="7"/>
      <c r="U68" s="7">
        <v>15.84</v>
      </c>
      <c r="V68" s="7"/>
      <c r="W68" s="7">
        <v>15.84</v>
      </c>
      <c r="X68" s="7"/>
      <c r="Y68" s="7">
        <v>15.84</v>
      </c>
      <c r="Z68" s="8"/>
      <c r="AA68" s="8">
        <v>15.84</v>
      </c>
      <c r="AB68" s="8"/>
      <c r="AC68" s="8">
        <v>15.84</v>
      </c>
      <c r="AD68" s="8"/>
      <c r="AE68" s="8">
        <v>15.84</v>
      </c>
      <c r="AF68" s="8"/>
      <c r="AG68" s="8">
        <v>15.84</v>
      </c>
      <c r="AH68" s="8"/>
      <c r="AI68" s="8">
        <v>15.84</v>
      </c>
      <c r="AJ68" s="8"/>
      <c r="AK68" s="8">
        <v>15.84</v>
      </c>
      <c r="AL68" s="8"/>
      <c r="AM68" s="7">
        <v>15.84</v>
      </c>
      <c r="AN68" s="7"/>
      <c r="AO68" s="7">
        <v>15.84</v>
      </c>
    </row>
    <row r="69" spans="1:42" ht="14.25" customHeight="1" x14ac:dyDescent="0.3">
      <c r="A69" s="6" t="s">
        <v>108</v>
      </c>
      <c r="B69" s="7"/>
      <c r="C69" s="7"/>
      <c r="D69" s="7"/>
      <c r="E69" s="7">
        <v>16.5</v>
      </c>
      <c r="F69" s="7"/>
      <c r="G69" s="7"/>
      <c r="H69" s="7"/>
      <c r="I69" s="7">
        <v>16.5</v>
      </c>
      <c r="J69" s="7"/>
      <c r="K69" s="7"/>
      <c r="L69" s="7"/>
      <c r="M69" s="7">
        <v>16.5</v>
      </c>
      <c r="N69" s="7"/>
      <c r="O69" s="7"/>
      <c r="P69" s="7"/>
      <c r="Q69" s="7">
        <v>16.5</v>
      </c>
      <c r="R69" s="7"/>
      <c r="S69" s="7"/>
      <c r="T69" s="7"/>
      <c r="U69" s="7">
        <v>16.5</v>
      </c>
      <c r="V69" s="7"/>
      <c r="W69" s="7"/>
      <c r="X69" s="7"/>
      <c r="Y69" s="7">
        <v>16.5</v>
      </c>
      <c r="Z69" s="8"/>
      <c r="AA69" s="8"/>
      <c r="AB69" s="8"/>
      <c r="AC69" s="8">
        <v>16.5</v>
      </c>
      <c r="AD69" s="8"/>
      <c r="AE69" s="8"/>
      <c r="AF69" s="8"/>
      <c r="AG69" s="8">
        <v>16.5</v>
      </c>
      <c r="AH69" s="8"/>
      <c r="AI69" s="8"/>
      <c r="AJ69" s="8"/>
      <c r="AK69" s="8">
        <v>16.5</v>
      </c>
      <c r="AL69" s="8"/>
      <c r="AM69" s="7"/>
      <c r="AN69" s="7"/>
      <c r="AO69" s="7">
        <v>16.5</v>
      </c>
    </row>
    <row r="70" spans="1:42" ht="14.25" customHeight="1" x14ac:dyDescent="0.3">
      <c r="A70" s="6" t="s">
        <v>109</v>
      </c>
      <c r="B70" s="7"/>
      <c r="C70" s="7">
        <v>9.9</v>
      </c>
      <c r="D70" s="7"/>
      <c r="E70" s="7">
        <v>9.9</v>
      </c>
      <c r="F70" s="7"/>
      <c r="G70" s="7">
        <v>9.9</v>
      </c>
      <c r="H70" s="7"/>
      <c r="I70" s="7">
        <v>9.9</v>
      </c>
      <c r="J70" s="7"/>
      <c r="K70" s="7">
        <v>9.9</v>
      </c>
      <c r="L70" s="7"/>
      <c r="M70" s="7">
        <v>9.9</v>
      </c>
      <c r="N70" s="7"/>
      <c r="O70" s="7">
        <v>9.9</v>
      </c>
      <c r="P70" s="7"/>
      <c r="Q70" s="7">
        <v>9.9</v>
      </c>
      <c r="R70" s="7"/>
      <c r="S70" s="7">
        <v>9.9</v>
      </c>
      <c r="T70" s="7"/>
      <c r="U70" s="7">
        <v>9.9</v>
      </c>
      <c r="V70" s="7"/>
      <c r="W70" s="7">
        <v>9.9</v>
      </c>
      <c r="X70" s="7"/>
      <c r="Y70" s="7">
        <v>9.9</v>
      </c>
      <c r="Z70" s="8"/>
      <c r="AA70" s="8">
        <v>9.9</v>
      </c>
      <c r="AB70" s="8"/>
      <c r="AC70" s="8">
        <v>9.9</v>
      </c>
      <c r="AD70" s="8"/>
      <c r="AE70" s="8">
        <v>9.9</v>
      </c>
      <c r="AF70" s="8"/>
      <c r="AG70" s="8">
        <v>9.9</v>
      </c>
      <c r="AH70" s="8"/>
      <c r="AI70" s="8">
        <v>9.9</v>
      </c>
      <c r="AJ70" s="8"/>
      <c r="AK70" s="8">
        <v>9.9</v>
      </c>
      <c r="AL70" s="8"/>
      <c r="AM70" s="7">
        <v>9.9</v>
      </c>
      <c r="AN70" s="7"/>
      <c r="AO70" s="7">
        <v>9.9</v>
      </c>
    </row>
    <row r="71" spans="1:42" ht="14.25" customHeight="1" x14ac:dyDescent="0.3">
      <c r="A71" s="6" t="s">
        <v>110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>
        <v>510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7"/>
      <c r="AN71" s="7"/>
      <c r="AO71" s="7"/>
    </row>
    <row r="72" spans="1:42" ht="14.25" customHeight="1" x14ac:dyDescent="0.3">
      <c r="A72" s="25" t="s">
        <v>111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  <c r="AA72" s="8"/>
      <c r="AB72" s="8"/>
      <c r="AC72" s="8"/>
      <c r="AD72" s="8">
        <v>270</v>
      </c>
      <c r="AE72" s="8"/>
      <c r="AF72" s="8"/>
      <c r="AG72" s="8"/>
      <c r="AH72" s="8"/>
      <c r="AI72" s="8"/>
      <c r="AJ72" s="8"/>
      <c r="AK72" s="8"/>
      <c r="AL72" s="8"/>
      <c r="AM72" s="7"/>
      <c r="AN72" s="7"/>
      <c r="AO72" s="7"/>
    </row>
    <row r="73" spans="1:42" ht="14.25" customHeight="1" x14ac:dyDescent="0.3">
      <c r="A73" s="25" t="s">
        <v>112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>
        <v>650</v>
      </c>
      <c r="AK73" s="8"/>
      <c r="AL73" s="8"/>
      <c r="AM73" s="7"/>
      <c r="AN73" s="7"/>
      <c r="AO73" s="7"/>
    </row>
    <row r="74" spans="1:42" ht="14.25" customHeight="1" x14ac:dyDescent="0.3">
      <c r="A74" s="16" t="s">
        <v>113</v>
      </c>
      <c r="B74" s="17">
        <f t="shared" ref="B74:AO74" si="4">SUM(B66:B73)</f>
        <v>20.79</v>
      </c>
      <c r="C74" s="17">
        <f t="shared" si="4"/>
        <v>180.18</v>
      </c>
      <c r="D74" s="17">
        <f t="shared" si="4"/>
        <v>15.18</v>
      </c>
      <c r="E74" s="17">
        <f t="shared" si="4"/>
        <v>205.59</v>
      </c>
      <c r="F74" s="17">
        <f t="shared" si="4"/>
        <v>15.18</v>
      </c>
      <c r="G74" s="17">
        <f t="shared" si="4"/>
        <v>199.98000000000002</v>
      </c>
      <c r="H74" s="17">
        <f t="shared" si="4"/>
        <v>15.18</v>
      </c>
      <c r="I74" s="17">
        <f t="shared" si="4"/>
        <v>240.9</v>
      </c>
      <c r="J74" s="17">
        <f t="shared" si="4"/>
        <v>15.18</v>
      </c>
      <c r="K74" s="17">
        <f t="shared" si="4"/>
        <v>193.71</v>
      </c>
      <c r="L74" s="17">
        <f t="shared" si="4"/>
        <v>15.18</v>
      </c>
      <c r="M74" s="17">
        <f t="shared" si="4"/>
        <v>222.75</v>
      </c>
      <c r="N74" s="17">
        <f t="shared" si="4"/>
        <v>15.18</v>
      </c>
      <c r="O74" s="17">
        <f t="shared" si="4"/>
        <v>170.94</v>
      </c>
      <c r="P74" s="17">
        <f t="shared" si="4"/>
        <v>15.18</v>
      </c>
      <c r="Q74" s="17">
        <f t="shared" si="4"/>
        <v>206.91</v>
      </c>
      <c r="R74" s="17">
        <f t="shared" si="4"/>
        <v>15.18</v>
      </c>
      <c r="S74" s="17">
        <f t="shared" si="4"/>
        <v>203.94</v>
      </c>
      <c r="T74" s="17">
        <f t="shared" si="4"/>
        <v>15.18</v>
      </c>
      <c r="U74" s="17">
        <f t="shared" si="4"/>
        <v>349.14</v>
      </c>
      <c r="V74" s="17">
        <f t="shared" si="4"/>
        <v>15.18</v>
      </c>
      <c r="W74" s="17">
        <f t="shared" si="4"/>
        <v>180.18</v>
      </c>
      <c r="X74" s="17">
        <f t="shared" si="4"/>
        <v>15.18</v>
      </c>
      <c r="Y74" s="17">
        <f t="shared" si="4"/>
        <v>222.75</v>
      </c>
      <c r="Z74" s="17">
        <f t="shared" si="4"/>
        <v>525.17999999999995</v>
      </c>
      <c r="AA74" s="17">
        <f t="shared" si="4"/>
        <v>199.98000000000002</v>
      </c>
      <c r="AB74" s="17">
        <f t="shared" si="4"/>
        <v>15.18</v>
      </c>
      <c r="AC74" s="17">
        <f t="shared" si="4"/>
        <v>240.9</v>
      </c>
      <c r="AD74" s="17">
        <f t="shared" si="4"/>
        <v>285.18</v>
      </c>
      <c r="AE74" s="17">
        <f t="shared" si="4"/>
        <v>193.71</v>
      </c>
      <c r="AF74" s="17">
        <f t="shared" si="4"/>
        <v>15.18</v>
      </c>
      <c r="AG74" s="17">
        <f t="shared" si="4"/>
        <v>222.75</v>
      </c>
      <c r="AH74" s="17">
        <f t="shared" si="4"/>
        <v>15.18</v>
      </c>
      <c r="AI74" s="17">
        <f t="shared" si="4"/>
        <v>170.94</v>
      </c>
      <c r="AJ74" s="17">
        <f t="shared" si="4"/>
        <v>665.18</v>
      </c>
      <c r="AK74" s="17">
        <f t="shared" si="4"/>
        <v>206.91</v>
      </c>
      <c r="AL74" s="17">
        <f t="shared" si="4"/>
        <v>15.18</v>
      </c>
      <c r="AM74" s="17">
        <f t="shared" si="4"/>
        <v>203.94</v>
      </c>
      <c r="AN74" s="17">
        <f t="shared" si="4"/>
        <v>15.18</v>
      </c>
      <c r="AO74" s="17">
        <f t="shared" si="4"/>
        <v>349.14</v>
      </c>
      <c r="AP74" s="13">
        <f t="shared" ref="AP74:AP75" si="5">SUM(B74:AO74)</f>
        <v>6104.45</v>
      </c>
    </row>
    <row r="75" spans="1:42" ht="14.25" customHeight="1" x14ac:dyDescent="0.3">
      <c r="A75" s="18" t="s">
        <v>114</v>
      </c>
      <c r="B75" s="19">
        <f t="shared" ref="B75:AO75" si="6">+B55+B65+B74</f>
        <v>178.92999999999998</v>
      </c>
      <c r="C75" s="19">
        <f t="shared" si="6"/>
        <v>414.59000000000003</v>
      </c>
      <c r="D75" s="19">
        <f t="shared" si="6"/>
        <v>118.47999999999999</v>
      </c>
      <c r="E75" s="19">
        <f t="shared" si="6"/>
        <v>518.56000000000006</v>
      </c>
      <c r="F75" s="19">
        <f t="shared" si="6"/>
        <v>118.47999999999999</v>
      </c>
      <c r="G75" s="19">
        <f t="shared" si="6"/>
        <v>434.39</v>
      </c>
      <c r="H75" s="19">
        <f t="shared" si="6"/>
        <v>118.47999999999999</v>
      </c>
      <c r="I75" s="19">
        <f t="shared" si="6"/>
        <v>553.87</v>
      </c>
      <c r="J75" s="19">
        <f t="shared" si="6"/>
        <v>118.47999999999999</v>
      </c>
      <c r="K75" s="19">
        <f t="shared" si="6"/>
        <v>550.82000000000005</v>
      </c>
      <c r="L75" s="19">
        <f t="shared" si="6"/>
        <v>118.47999999999999</v>
      </c>
      <c r="M75" s="19">
        <f t="shared" si="6"/>
        <v>535.72</v>
      </c>
      <c r="N75" s="19">
        <f t="shared" si="6"/>
        <v>118.47999999999999</v>
      </c>
      <c r="O75" s="19">
        <f t="shared" si="6"/>
        <v>405.35</v>
      </c>
      <c r="P75" s="19">
        <f t="shared" si="6"/>
        <v>118.47999999999999</v>
      </c>
      <c r="Q75" s="19">
        <f t="shared" si="6"/>
        <v>599.75</v>
      </c>
      <c r="R75" s="19">
        <f t="shared" si="6"/>
        <v>118.47999999999999</v>
      </c>
      <c r="S75" s="19">
        <f t="shared" si="6"/>
        <v>438.35</v>
      </c>
      <c r="T75" s="19">
        <f t="shared" si="6"/>
        <v>118.47999999999999</v>
      </c>
      <c r="U75" s="19">
        <f t="shared" si="6"/>
        <v>1108.96</v>
      </c>
      <c r="V75" s="19">
        <f t="shared" si="6"/>
        <v>118.47999999999999</v>
      </c>
      <c r="W75" s="19">
        <f t="shared" si="6"/>
        <v>414.59000000000003</v>
      </c>
      <c r="X75" s="19">
        <f t="shared" si="6"/>
        <v>118.47999999999999</v>
      </c>
      <c r="Y75" s="19">
        <f t="shared" si="6"/>
        <v>535.72</v>
      </c>
      <c r="Z75" s="19">
        <f t="shared" si="6"/>
        <v>1038.69</v>
      </c>
      <c r="AA75" s="19">
        <f t="shared" si="6"/>
        <v>434.39</v>
      </c>
      <c r="AB75" s="19">
        <f t="shared" si="6"/>
        <v>118.47999999999999</v>
      </c>
      <c r="AC75" s="19">
        <f t="shared" si="6"/>
        <v>553.87</v>
      </c>
      <c r="AD75" s="19">
        <f t="shared" si="6"/>
        <v>1591.38</v>
      </c>
      <c r="AE75" s="19">
        <f t="shared" si="6"/>
        <v>522.59</v>
      </c>
      <c r="AF75" s="19">
        <f t="shared" si="6"/>
        <v>118.47999999999999</v>
      </c>
      <c r="AG75" s="19">
        <f t="shared" si="6"/>
        <v>535.72</v>
      </c>
      <c r="AH75" s="19">
        <f t="shared" si="6"/>
        <v>118.47999999999999</v>
      </c>
      <c r="AI75" s="19">
        <f t="shared" si="6"/>
        <v>405.35</v>
      </c>
      <c r="AJ75" s="19">
        <f t="shared" si="6"/>
        <v>1285.9699999999998</v>
      </c>
      <c r="AK75" s="19">
        <f t="shared" si="6"/>
        <v>599.75</v>
      </c>
      <c r="AL75" s="19">
        <f t="shared" si="6"/>
        <v>118.47999999999999</v>
      </c>
      <c r="AM75" s="19">
        <f t="shared" si="6"/>
        <v>438.35</v>
      </c>
      <c r="AN75" s="19">
        <f t="shared" si="6"/>
        <v>118.47999999999999</v>
      </c>
      <c r="AO75" s="19">
        <f t="shared" si="6"/>
        <v>1108.96</v>
      </c>
      <c r="AP75" s="13">
        <f t="shared" si="5"/>
        <v>17100.299999999996</v>
      </c>
    </row>
    <row r="76" spans="1:42" ht="14.25" customHeight="1" x14ac:dyDescent="0.3">
      <c r="A76" s="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1"/>
      <c r="AD76" s="22"/>
      <c r="AJ76" s="22"/>
    </row>
    <row r="77" spans="1:42" ht="14.25" customHeight="1" x14ac:dyDescent="0.3">
      <c r="A77" s="1"/>
      <c r="B77" s="23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1"/>
      <c r="AD77" s="22"/>
      <c r="AJ77" s="22"/>
    </row>
    <row r="78" spans="1:42" ht="14.25" customHeight="1" x14ac:dyDescent="0.3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1"/>
      <c r="AD78" s="22"/>
      <c r="AJ78" s="22"/>
    </row>
    <row r="79" spans="1:42" ht="14.25" customHeight="1" x14ac:dyDescent="0.3">
      <c r="A79" s="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1"/>
      <c r="AD79" s="22"/>
      <c r="AJ79" s="22"/>
    </row>
    <row r="80" spans="1:42" ht="14.25" customHeight="1" x14ac:dyDescent="0.3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1"/>
      <c r="AD80" s="22"/>
      <c r="AJ80" s="22"/>
    </row>
    <row r="81" spans="1:36" ht="14.25" customHeight="1" x14ac:dyDescent="0.3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1"/>
      <c r="AD81" s="22"/>
      <c r="AJ81" s="22"/>
    </row>
    <row r="82" spans="1:36" ht="14.25" customHeight="1" x14ac:dyDescent="0.3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1"/>
      <c r="AD82" s="22"/>
      <c r="AJ82" s="22"/>
    </row>
    <row r="83" spans="1:36" ht="14.25" customHeight="1" x14ac:dyDescent="0.3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1"/>
      <c r="AD83" s="22"/>
      <c r="AJ83" s="22"/>
    </row>
    <row r="84" spans="1:36" ht="14.25" customHeight="1" x14ac:dyDescent="0.3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1"/>
      <c r="AD84" s="22"/>
      <c r="AJ84" s="22"/>
    </row>
    <row r="85" spans="1:36" ht="14.25" customHeight="1" x14ac:dyDescent="0.3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1"/>
      <c r="AD85" s="22"/>
      <c r="AJ85" s="22"/>
    </row>
    <row r="86" spans="1:36" ht="14.25" customHeight="1" x14ac:dyDescent="0.3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1"/>
      <c r="AD86" s="22"/>
      <c r="AJ86" s="22"/>
    </row>
    <row r="87" spans="1:36" ht="14.25" customHeight="1" x14ac:dyDescent="0.3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1"/>
      <c r="AD87" s="22"/>
      <c r="AJ87" s="22"/>
    </row>
    <row r="88" spans="1:36" ht="14.25" customHeight="1" x14ac:dyDescent="0.3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1"/>
      <c r="AD88" s="22"/>
      <c r="AJ88" s="22"/>
    </row>
    <row r="89" spans="1:36" ht="14.25" customHeight="1" x14ac:dyDescent="0.3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1"/>
      <c r="AD89" s="22"/>
      <c r="AJ89" s="22"/>
    </row>
    <row r="90" spans="1:36" ht="14.25" customHeight="1" x14ac:dyDescent="0.3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1"/>
      <c r="AD90" s="22"/>
      <c r="AJ90" s="22"/>
    </row>
    <row r="91" spans="1:36" ht="14.2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1"/>
      <c r="AD91" s="22"/>
      <c r="AJ91" s="22"/>
    </row>
    <row r="92" spans="1:36" ht="14.2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1"/>
      <c r="AD92" s="22"/>
      <c r="AJ92" s="22"/>
    </row>
    <row r="93" spans="1:36" ht="14.2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1"/>
      <c r="AD93" s="22"/>
      <c r="AJ93" s="22"/>
    </row>
    <row r="94" spans="1:36" ht="14.2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1"/>
      <c r="AD94" s="22"/>
      <c r="AJ94" s="22"/>
    </row>
    <row r="95" spans="1:36" ht="14.2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1"/>
      <c r="AD95" s="22"/>
      <c r="AJ95" s="22"/>
    </row>
    <row r="96" spans="1:36" ht="14.2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1"/>
      <c r="AD96" s="22"/>
      <c r="AJ96" s="22"/>
    </row>
    <row r="97" spans="1:36" ht="14.2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1"/>
      <c r="AD97" s="22"/>
      <c r="AJ97" s="22"/>
    </row>
    <row r="98" spans="1:36" ht="14.2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1"/>
      <c r="AD98" s="22"/>
      <c r="AJ98" s="22"/>
    </row>
    <row r="99" spans="1:36" ht="14.2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1"/>
      <c r="AD99" s="22"/>
      <c r="AJ99" s="22"/>
    </row>
    <row r="100" spans="1:36" ht="14.2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1"/>
      <c r="AD100" s="22"/>
      <c r="AJ100" s="22"/>
    </row>
    <row r="101" spans="1:36" ht="14.2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1"/>
      <c r="AD101" s="22"/>
      <c r="AJ101" s="22"/>
    </row>
    <row r="102" spans="1:36" ht="14.2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1"/>
      <c r="AD102" s="22"/>
      <c r="AJ102" s="22"/>
    </row>
    <row r="103" spans="1:36" ht="14.2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1"/>
      <c r="AD103" s="22"/>
      <c r="AJ103" s="22"/>
    </row>
    <row r="104" spans="1:36" ht="14.2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1"/>
      <c r="AD104" s="22"/>
      <c r="AJ104" s="22"/>
    </row>
    <row r="105" spans="1:36" ht="14.2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1"/>
      <c r="AD105" s="22"/>
      <c r="AJ105" s="22"/>
    </row>
    <row r="106" spans="1:36" ht="14.2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1"/>
      <c r="AD106" s="22"/>
      <c r="AJ106" s="22"/>
    </row>
    <row r="107" spans="1:36" ht="14.2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1"/>
      <c r="AD107" s="22"/>
      <c r="AJ107" s="22"/>
    </row>
    <row r="108" spans="1:36" ht="14.2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1"/>
      <c r="AD108" s="22"/>
      <c r="AJ108" s="22"/>
    </row>
    <row r="109" spans="1:36" ht="14.2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1"/>
      <c r="AD109" s="22"/>
      <c r="AJ109" s="22"/>
    </row>
    <row r="110" spans="1:36" ht="14.2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1"/>
      <c r="AD110" s="22"/>
      <c r="AJ110" s="22"/>
    </row>
    <row r="111" spans="1:36" ht="14.2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1"/>
      <c r="AD111" s="22"/>
      <c r="AJ111" s="22"/>
    </row>
    <row r="112" spans="1:36" ht="14.2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1"/>
      <c r="AD112" s="22"/>
      <c r="AJ112" s="22"/>
    </row>
    <row r="113" spans="1:36" ht="14.2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1"/>
      <c r="AD113" s="22"/>
      <c r="AJ113" s="22"/>
    </row>
    <row r="114" spans="1:36" ht="14.2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1"/>
      <c r="AD114" s="22"/>
      <c r="AJ114" s="22"/>
    </row>
    <row r="115" spans="1:36" ht="14.2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1"/>
      <c r="AD115" s="22"/>
      <c r="AJ115" s="22"/>
    </row>
    <row r="116" spans="1:36" ht="14.2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1"/>
      <c r="AD116" s="22"/>
      <c r="AJ116" s="22"/>
    </row>
    <row r="117" spans="1:36" ht="14.2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1"/>
      <c r="AD117" s="22"/>
      <c r="AJ117" s="22"/>
    </row>
    <row r="118" spans="1:36" ht="14.2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1"/>
      <c r="AD118" s="22"/>
      <c r="AJ118" s="22"/>
    </row>
    <row r="119" spans="1:36" ht="14.2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1"/>
      <c r="AD119" s="22"/>
      <c r="AJ119" s="22"/>
    </row>
    <row r="120" spans="1:36" ht="14.2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1"/>
      <c r="AD120" s="22"/>
      <c r="AJ120" s="22"/>
    </row>
    <row r="121" spans="1:36" ht="14.2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1"/>
      <c r="AD121" s="22"/>
      <c r="AJ121" s="22"/>
    </row>
    <row r="122" spans="1:36" ht="14.2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1"/>
      <c r="AD122" s="22"/>
      <c r="AJ122" s="22"/>
    </row>
    <row r="123" spans="1:36" ht="14.2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1"/>
      <c r="AD123" s="22"/>
      <c r="AJ123" s="22"/>
    </row>
    <row r="124" spans="1:36" ht="14.2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1"/>
      <c r="AD124" s="22"/>
      <c r="AJ124" s="22"/>
    </row>
    <row r="125" spans="1:36" ht="14.2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1"/>
      <c r="AD125" s="22"/>
      <c r="AJ125" s="22"/>
    </row>
    <row r="126" spans="1:36" ht="14.2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1"/>
      <c r="AD126" s="22"/>
      <c r="AJ126" s="22"/>
    </row>
    <row r="127" spans="1:36" ht="14.2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1"/>
      <c r="AD127" s="22"/>
      <c r="AJ127" s="22"/>
    </row>
    <row r="128" spans="1:36" ht="14.2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1"/>
      <c r="AD128" s="22"/>
      <c r="AJ128" s="22"/>
    </row>
    <row r="129" spans="1:36" ht="14.2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1"/>
      <c r="AD129" s="22"/>
      <c r="AJ129" s="22"/>
    </row>
    <row r="130" spans="1:36" ht="14.2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1"/>
      <c r="AD130" s="22"/>
      <c r="AJ130" s="22"/>
    </row>
    <row r="131" spans="1:36" ht="14.2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1"/>
      <c r="AD131" s="22"/>
      <c r="AJ131" s="22"/>
    </row>
    <row r="132" spans="1:36" ht="14.2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1"/>
      <c r="AD132" s="22"/>
      <c r="AJ132" s="22"/>
    </row>
    <row r="133" spans="1:36" ht="14.2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1"/>
      <c r="AD133" s="22"/>
      <c r="AJ133" s="22"/>
    </row>
    <row r="134" spans="1:36" ht="14.2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1"/>
      <c r="AD134" s="22"/>
      <c r="AJ134" s="22"/>
    </row>
    <row r="135" spans="1:36" ht="14.2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1"/>
      <c r="AD135" s="22"/>
      <c r="AJ135" s="22"/>
    </row>
    <row r="136" spans="1:36" ht="14.2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1"/>
      <c r="AD136" s="22"/>
      <c r="AJ136" s="22"/>
    </row>
    <row r="137" spans="1:36" ht="14.2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1"/>
      <c r="AD137" s="22"/>
      <c r="AJ137" s="22"/>
    </row>
    <row r="138" spans="1:36" ht="14.2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1"/>
      <c r="AD138" s="22"/>
      <c r="AJ138" s="22"/>
    </row>
    <row r="139" spans="1:36" ht="14.2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1"/>
      <c r="AD139" s="22"/>
      <c r="AJ139" s="22"/>
    </row>
    <row r="140" spans="1:36" ht="14.2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1"/>
      <c r="AD140" s="22"/>
      <c r="AJ140" s="22"/>
    </row>
    <row r="141" spans="1:36" ht="14.2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1"/>
      <c r="AD141" s="22"/>
      <c r="AJ141" s="22"/>
    </row>
    <row r="142" spans="1:36" ht="14.2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1"/>
      <c r="AD142" s="22"/>
      <c r="AJ142" s="22"/>
    </row>
    <row r="143" spans="1:36" ht="14.2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1"/>
      <c r="AD143" s="22"/>
      <c r="AJ143" s="22"/>
    </row>
    <row r="144" spans="1:36" ht="14.2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1"/>
      <c r="AD144" s="22"/>
      <c r="AJ144" s="22"/>
    </row>
    <row r="145" spans="1:36" ht="14.2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1"/>
      <c r="AD145" s="22"/>
      <c r="AJ145" s="22"/>
    </row>
    <row r="146" spans="1:36" ht="14.2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1"/>
      <c r="AD146" s="22"/>
      <c r="AJ146" s="22"/>
    </row>
    <row r="147" spans="1:36" ht="14.2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1"/>
      <c r="AD147" s="22"/>
      <c r="AJ147" s="22"/>
    </row>
    <row r="148" spans="1:36" ht="14.2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1"/>
      <c r="AD148" s="22"/>
      <c r="AJ148" s="22"/>
    </row>
    <row r="149" spans="1:36" ht="14.2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1"/>
      <c r="AD149" s="22"/>
      <c r="AJ149" s="22"/>
    </row>
    <row r="150" spans="1:36" ht="14.2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1"/>
      <c r="AD150" s="22"/>
      <c r="AJ150" s="22"/>
    </row>
    <row r="151" spans="1:36" ht="14.2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1"/>
      <c r="AD151" s="22"/>
      <c r="AJ151" s="22"/>
    </row>
    <row r="152" spans="1:36" ht="14.2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1"/>
      <c r="AD152" s="22"/>
      <c r="AJ152" s="22"/>
    </row>
    <row r="153" spans="1:36" ht="14.2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1"/>
      <c r="AD153" s="22"/>
      <c r="AJ153" s="22"/>
    </row>
    <row r="154" spans="1:36" ht="14.2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1"/>
      <c r="AD154" s="22"/>
      <c r="AJ154" s="22"/>
    </row>
    <row r="155" spans="1:36" ht="14.2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1"/>
      <c r="AD155" s="22"/>
      <c r="AJ155" s="22"/>
    </row>
    <row r="156" spans="1:36" ht="14.2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1"/>
      <c r="AD156" s="22"/>
      <c r="AJ156" s="22"/>
    </row>
    <row r="157" spans="1:36" ht="14.2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1"/>
      <c r="AD157" s="22"/>
      <c r="AJ157" s="22"/>
    </row>
    <row r="158" spans="1:36" ht="14.2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1"/>
      <c r="AD158" s="22"/>
      <c r="AJ158" s="22"/>
    </row>
    <row r="159" spans="1:36" ht="14.2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1"/>
      <c r="AD159" s="22"/>
      <c r="AJ159" s="22"/>
    </row>
    <row r="160" spans="1:36" ht="14.2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1"/>
      <c r="AD160" s="22"/>
      <c r="AJ160" s="22"/>
    </row>
    <row r="161" spans="1:36" ht="14.2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1"/>
      <c r="AD161" s="22"/>
      <c r="AJ161" s="22"/>
    </row>
    <row r="162" spans="1:36" ht="14.2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1"/>
      <c r="AD162" s="22"/>
      <c r="AJ162" s="22"/>
    </row>
    <row r="163" spans="1:36" ht="14.2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1"/>
      <c r="AD163" s="22"/>
      <c r="AJ163" s="22"/>
    </row>
    <row r="164" spans="1:36" ht="14.2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1"/>
      <c r="AD164" s="22"/>
      <c r="AJ164" s="22"/>
    </row>
    <row r="165" spans="1:36" ht="14.2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1"/>
      <c r="AD165" s="22"/>
      <c r="AJ165" s="22"/>
    </row>
    <row r="166" spans="1:36" ht="14.2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1"/>
      <c r="AD166" s="22"/>
      <c r="AJ166" s="22"/>
    </row>
    <row r="167" spans="1:36" ht="14.2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1"/>
      <c r="AD167" s="22"/>
      <c r="AJ167" s="22"/>
    </row>
    <row r="168" spans="1:36" ht="14.2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1"/>
      <c r="AD168" s="22"/>
      <c r="AJ168" s="22"/>
    </row>
    <row r="169" spans="1:36" ht="14.2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1"/>
      <c r="AD169" s="22"/>
      <c r="AJ169" s="22"/>
    </row>
    <row r="170" spans="1:36" ht="14.2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1"/>
      <c r="AD170" s="22"/>
      <c r="AJ170" s="22"/>
    </row>
    <row r="171" spans="1:36" ht="14.2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1"/>
      <c r="AD171" s="22"/>
      <c r="AJ171" s="22"/>
    </row>
    <row r="172" spans="1:36" ht="14.2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1"/>
      <c r="AD172" s="22"/>
      <c r="AJ172" s="22"/>
    </row>
    <row r="173" spans="1:36" ht="14.2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1"/>
      <c r="AD173" s="22"/>
      <c r="AJ173" s="22"/>
    </row>
    <row r="174" spans="1:36" ht="14.2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1"/>
      <c r="AD174" s="22"/>
      <c r="AJ174" s="22"/>
    </row>
    <row r="175" spans="1:36" ht="14.2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1"/>
      <c r="AD175" s="22"/>
      <c r="AJ175" s="22"/>
    </row>
    <row r="176" spans="1:36" ht="14.2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1"/>
      <c r="AD176" s="22"/>
      <c r="AJ176" s="22"/>
    </row>
    <row r="177" spans="1:36" ht="14.2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1"/>
      <c r="AD177" s="22"/>
      <c r="AJ177" s="22"/>
    </row>
    <row r="178" spans="1:36" ht="14.2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1"/>
      <c r="AD178" s="22"/>
      <c r="AJ178" s="22"/>
    </row>
    <row r="179" spans="1:36" ht="14.2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1"/>
      <c r="AD179" s="22"/>
      <c r="AJ179" s="22"/>
    </row>
    <row r="180" spans="1:36" ht="14.2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1"/>
      <c r="AD180" s="22"/>
      <c r="AJ180" s="22"/>
    </row>
    <row r="181" spans="1:36" ht="14.2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1"/>
      <c r="AD181" s="22"/>
      <c r="AJ181" s="22"/>
    </row>
    <row r="182" spans="1:36" ht="14.2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1"/>
      <c r="AD182" s="22"/>
      <c r="AJ182" s="22"/>
    </row>
    <row r="183" spans="1:36" ht="14.2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1"/>
      <c r="AD183" s="22"/>
      <c r="AJ183" s="22"/>
    </row>
    <row r="184" spans="1:36" ht="14.2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1"/>
      <c r="AD184" s="22"/>
      <c r="AJ184" s="22"/>
    </row>
    <row r="185" spans="1:36" ht="14.2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1"/>
      <c r="AD185" s="22"/>
      <c r="AJ185" s="22"/>
    </row>
    <row r="186" spans="1:36" ht="14.2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1"/>
      <c r="AD186" s="22"/>
      <c r="AJ186" s="22"/>
    </row>
    <row r="187" spans="1:36" ht="14.2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1"/>
      <c r="AD187" s="22"/>
      <c r="AJ187" s="22"/>
    </row>
    <row r="188" spans="1:36" ht="14.2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1"/>
      <c r="AD188" s="22"/>
      <c r="AJ188" s="22"/>
    </row>
    <row r="189" spans="1:36" ht="14.2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1"/>
      <c r="AD189" s="22"/>
      <c r="AJ189" s="22"/>
    </row>
    <row r="190" spans="1:36" ht="14.2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1"/>
      <c r="AD190" s="22"/>
      <c r="AJ190" s="22"/>
    </row>
    <row r="191" spans="1:36" ht="14.2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1"/>
      <c r="AD191" s="22"/>
      <c r="AJ191" s="22"/>
    </row>
    <row r="192" spans="1:36" ht="14.2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1"/>
      <c r="AD192" s="22"/>
      <c r="AJ192" s="22"/>
    </row>
    <row r="193" spans="1:36" ht="14.2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1"/>
      <c r="AD193" s="22"/>
      <c r="AJ193" s="22"/>
    </row>
    <row r="194" spans="1:36" ht="14.2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1"/>
      <c r="AD194" s="22"/>
      <c r="AJ194" s="22"/>
    </row>
    <row r="195" spans="1:36" ht="14.2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1"/>
      <c r="AD195" s="22"/>
      <c r="AJ195" s="22"/>
    </row>
    <row r="196" spans="1:36" ht="14.2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1"/>
      <c r="AD196" s="22"/>
      <c r="AJ196" s="22"/>
    </row>
    <row r="197" spans="1:36" ht="14.2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1"/>
      <c r="AD197" s="22"/>
      <c r="AJ197" s="22"/>
    </row>
    <row r="198" spans="1:36" ht="14.2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1"/>
      <c r="AD198" s="22"/>
      <c r="AJ198" s="22"/>
    </row>
    <row r="199" spans="1:36" ht="14.2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1"/>
      <c r="AD199" s="22"/>
      <c r="AJ199" s="22"/>
    </row>
    <row r="200" spans="1:36" ht="14.2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1"/>
      <c r="AD200" s="22"/>
      <c r="AJ200" s="22"/>
    </row>
    <row r="201" spans="1:36" ht="14.25" customHeight="1" x14ac:dyDescent="0.3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1"/>
      <c r="AD201" s="22"/>
      <c r="AJ201" s="22"/>
    </row>
    <row r="202" spans="1:36" ht="14.25" customHeight="1" x14ac:dyDescent="0.3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1"/>
      <c r="AD202" s="22"/>
      <c r="AJ202" s="22"/>
    </row>
    <row r="203" spans="1:36" ht="14.25" customHeight="1" x14ac:dyDescent="0.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1"/>
      <c r="AD203" s="22"/>
      <c r="AJ203" s="22"/>
    </row>
    <row r="204" spans="1:36" ht="14.25" customHeight="1" x14ac:dyDescent="0.3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1"/>
      <c r="AD204" s="22"/>
      <c r="AJ204" s="22"/>
    </row>
    <row r="205" spans="1:36" ht="14.25" customHeight="1" x14ac:dyDescent="0.3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1"/>
      <c r="AD205" s="22"/>
      <c r="AJ205" s="22"/>
    </row>
    <row r="206" spans="1:36" ht="14.25" customHeight="1" x14ac:dyDescent="0.3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1"/>
      <c r="AD206" s="22"/>
      <c r="AJ206" s="22"/>
    </row>
    <row r="207" spans="1:36" ht="14.25" customHeight="1" x14ac:dyDescent="0.3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1"/>
      <c r="AD207" s="22"/>
      <c r="AJ207" s="22"/>
    </row>
    <row r="208" spans="1:36" ht="14.25" customHeight="1" x14ac:dyDescent="0.3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1"/>
      <c r="AD208" s="22"/>
      <c r="AJ208" s="22"/>
    </row>
    <row r="209" spans="1:36" ht="14.25" customHeight="1" x14ac:dyDescent="0.3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1"/>
      <c r="AD209" s="22"/>
      <c r="AJ209" s="22"/>
    </row>
    <row r="210" spans="1:36" ht="14.25" customHeight="1" x14ac:dyDescent="0.3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1"/>
      <c r="AD210" s="22"/>
      <c r="AJ210" s="22"/>
    </row>
    <row r="211" spans="1:36" ht="14.25" customHeight="1" x14ac:dyDescent="0.3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1"/>
      <c r="AD211" s="22"/>
      <c r="AJ211" s="22"/>
    </row>
    <row r="212" spans="1:36" ht="14.25" customHeight="1" x14ac:dyDescent="0.3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1"/>
      <c r="AD212" s="22"/>
      <c r="AJ212" s="22"/>
    </row>
    <row r="213" spans="1:36" ht="14.25" customHeight="1" x14ac:dyDescent="0.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1"/>
      <c r="AD213" s="22"/>
      <c r="AJ213" s="22"/>
    </row>
    <row r="214" spans="1:36" ht="14.25" customHeight="1" x14ac:dyDescent="0.3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1"/>
      <c r="AD214" s="22"/>
      <c r="AJ214" s="22"/>
    </row>
    <row r="215" spans="1:36" ht="14.25" customHeight="1" x14ac:dyDescent="0.3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1"/>
      <c r="AD215" s="22"/>
      <c r="AJ215" s="22"/>
    </row>
    <row r="216" spans="1:36" ht="14.25" customHeight="1" x14ac:dyDescent="0.3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1"/>
      <c r="AD216" s="22"/>
      <c r="AJ216" s="22"/>
    </row>
    <row r="217" spans="1:36" ht="14.25" customHeight="1" x14ac:dyDescent="0.3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1"/>
      <c r="AD217" s="22"/>
      <c r="AJ217" s="22"/>
    </row>
    <row r="218" spans="1:36" ht="14.25" customHeight="1" x14ac:dyDescent="0.3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1"/>
      <c r="AD218" s="22"/>
      <c r="AJ218" s="22"/>
    </row>
    <row r="219" spans="1:36" ht="14.25" customHeight="1" x14ac:dyDescent="0.3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1"/>
      <c r="AD219" s="22"/>
      <c r="AJ219" s="22"/>
    </row>
    <row r="220" spans="1:36" ht="14.25" customHeight="1" x14ac:dyDescent="0.3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1"/>
      <c r="AD220" s="22"/>
      <c r="AJ220" s="22"/>
    </row>
    <row r="221" spans="1:36" ht="14.25" customHeight="1" x14ac:dyDescent="0.3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1"/>
      <c r="AD221" s="22"/>
      <c r="AJ221" s="22"/>
    </row>
    <row r="222" spans="1:36" ht="14.25" customHeight="1" x14ac:dyDescent="0.3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1"/>
      <c r="AD222" s="22"/>
      <c r="AJ222" s="22"/>
    </row>
    <row r="223" spans="1:36" ht="14.25" customHeight="1" x14ac:dyDescent="0.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1"/>
      <c r="AD223" s="22"/>
      <c r="AJ223" s="22"/>
    </row>
    <row r="224" spans="1:36" ht="14.25" customHeight="1" x14ac:dyDescent="0.3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1"/>
      <c r="AD224" s="22"/>
      <c r="AJ224" s="22"/>
    </row>
    <row r="225" spans="1:36" ht="14.25" customHeight="1" x14ac:dyDescent="0.3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1"/>
      <c r="AD225" s="22"/>
      <c r="AJ225" s="22"/>
    </row>
    <row r="226" spans="1:36" ht="14.25" customHeight="1" x14ac:dyDescent="0.3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1"/>
      <c r="AD226" s="22"/>
      <c r="AJ226" s="22"/>
    </row>
    <row r="227" spans="1:36" ht="14.25" customHeight="1" x14ac:dyDescent="0.3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1"/>
      <c r="AD227" s="22"/>
      <c r="AJ227" s="22"/>
    </row>
    <row r="228" spans="1:36" ht="14.25" customHeight="1" x14ac:dyDescent="0.3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1"/>
      <c r="AD228" s="22"/>
      <c r="AJ228" s="22"/>
    </row>
    <row r="229" spans="1:36" ht="14.25" customHeight="1" x14ac:dyDescent="0.3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1"/>
      <c r="AD229" s="22"/>
      <c r="AJ229" s="22"/>
    </row>
    <row r="230" spans="1:36" ht="14.25" customHeight="1" x14ac:dyDescent="0.3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1"/>
      <c r="AD230" s="22"/>
      <c r="AJ230" s="22"/>
    </row>
    <row r="231" spans="1:36" ht="14.25" customHeight="1" x14ac:dyDescent="0.3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1"/>
      <c r="AD231" s="22"/>
      <c r="AJ231" s="22"/>
    </row>
    <row r="232" spans="1:36" ht="14.25" customHeight="1" x14ac:dyDescent="0.3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1"/>
      <c r="AD232" s="22"/>
      <c r="AJ232" s="22"/>
    </row>
    <row r="233" spans="1:36" ht="14.25" customHeight="1" x14ac:dyDescent="0.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1"/>
      <c r="AD233" s="22"/>
      <c r="AJ233" s="22"/>
    </row>
    <row r="234" spans="1:36" ht="14.25" customHeight="1" x14ac:dyDescent="0.3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1"/>
      <c r="AD234" s="22"/>
      <c r="AJ234" s="22"/>
    </row>
    <row r="235" spans="1:36" ht="14.25" customHeight="1" x14ac:dyDescent="0.3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1"/>
      <c r="AD235" s="22"/>
      <c r="AJ235" s="22"/>
    </row>
    <row r="236" spans="1:36" ht="14.25" customHeight="1" x14ac:dyDescent="0.3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1"/>
      <c r="AD236" s="22"/>
      <c r="AJ236" s="22"/>
    </row>
    <row r="237" spans="1:36" ht="14.25" customHeight="1" x14ac:dyDescent="0.3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1"/>
      <c r="AD237" s="22"/>
      <c r="AJ237" s="22"/>
    </row>
    <row r="238" spans="1:36" ht="14.25" customHeight="1" x14ac:dyDescent="0.3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1"/>
      <c r="AD238" s="22"/>
      <c r="AJ238" s="22"/>
    </row>
    <row r="239" spans="1:36" ht="14.25" customHeight="1" x14ac:dyDescent="0.3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1"/>
      <c r="AD239" s="22"/>
      <c r="AJ239" s="22"/>
    </row>
    <row r="240" spans="1:36" ht="14.25" customHeight="1" x14ac:dyDescent="0.3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1"/>
      <c r="AD240" s="22"/>
      <c r="AJ240" s="22"/>
    </row>
    <row r="241" spans="1:36" ht="14.25" customHeight="1" x14ac:dyDescent="0.3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1"/>
      <c r="AD241" s="22"/>
      <c r="AJ241" s="22"/>
    </row>
    <row r="242" spans="1:36" ht="14.25" customHeight="1" x14ac:dyDescent="0.3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1"/>
      <c r="AD242" s="22"/>
      <c r="AJ242" s="22"/>
    </row>
    <row r="243" spans="1:36" ht="14.25" customHeight="1" x14ac:dyDescent="0.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1"/>
      <c r="AD243" s="22"/>
      <c r="AJ243" s="22"/>
    </row>
    <row r="244" spans="1:36" ht="14.25" customHeight="1" x14ac:dyDescent="0.3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1"/>
      <c r="AD244" s="22"/>
      <c r="AJ244" s="22"/>
    </row>
    <row r="245" spans="1:36" ht="14.25" customHeight="1" x14ac:dyDescent="0.3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1"/>
      <c r="AD245" s="22"/>
      <c r="AJ245" s="22"/>
    </row>
    <row r="246" spans="1:36" ht="14.25" customHeight="1" x14ac:dyDescent="0.3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1"/>
      <c r="AD246" s="22"/>
      <c r="AJ246" s="22"/>
    </row>
    <row r="247" spans="1:36" ht="14.25" customHeight="1" x14ac:dyDescent="0.3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1"/>
      <c r="AD247" s="22"/>
      <c r="AJ247" s="22"/>
    </row>
    <row r="248" spans="1:36" ht="14.25" customHeight="1" x14ac:dyDescent="0.3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1"/>
      <c r="AD248" s="22"/>
      <c r="AJ248" s="22"/>
    </row>
    <row r="249" spans="1:36" ht="14.25" customHeight="1" x14ac:dyDescent="0.3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1"/>
      <c r="AD249" s="22"/>
      <c r="AJ249" s="22"/>
    </row>
    <row r="250" spans="1:36" ht="14.25" customHeight="1" x14ac:dyDescent="0.3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1"/>
      <c r="AD250" s="22"/>
      <c r="AJ250" s="22"/>
    </row>
    <row r="251" spans="1:36" ht="14.25" customHeight="1" x14ac:dyDescent="0.3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1"/>
      <c r="AD251" s="22"/>
      <c r="AJ251" s="22"/>
    </row>
    <row r="252" spans="1:36" ht="14.25" customHeight="1" x14ac:dyDescent="0.3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1"/>
      <c r="AD252" s="22"/>
      <c r="AJ252" s="22"/>
    </row>
    <row r="253" spans="1:36" ht="14.25" customHeight="1" x14ac:dyDescent="0.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1"/>
      <c r="AD253" s="22"/>
      <c r="AJ253" s="22"/>
    </row>
    <row r="254" spans="1:36" ht="14.25" customHeight="1" x14ac:dyDescent="0.3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1"/>
      <c r="AD254" s="22"/>
      <c r="AJ254" s="22"/>
    </row>
    <row r="255" spans="1:36" ht="14.25" customHeight="1" x14ac:dyDescent="0.3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1"/>
      <c r="AD255" s="22"/>
      <c r="AJ255" s="22"/>
    </row>
    <row r="256" spans="1:36" ht="14.25" customHeight="1" x14ac:dyDescent="0.3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1"/>
      <c r="AD256" s="22"/>
      <c r="AJ256" s="22"/>
    </row>
    <row r="257" spans="1:36" ht="14.25" customHeight="1" x14ac:dyDescent="0.3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1"/>
      <c r="AD257" s="22"/>
      <c r="AJ257" s="22"/>
    </row>
    <row r="258" spans="1:36" ht="14.25" customHeight="1" x14ac:dyDescent="0.3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1"/>
      <c r="AD258" s="22"/>
      <c r="AJ258" s="22"/>
    </row>
    <row r="259" spans="1:36" ht="14.25" customHeight="1" x14ac:dyDescent="0.3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1"/>
      <c r="AD259" s="22"/>
      <c r="AJ259" s="22"/>
    </row>
    <row r="260" spans="1:36" ht="14.25" customHeight="1" x14ac:dyDescent="0.3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1"/>
      <c r="AD260" s="22"/>
      <c r="AJ260" s="22"/>
    </row>
    <row r="261" spans="1:36" ht="14.25" customHeight="1" x14ac:dyDescent="0.3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1"/>
      <c r="AD261" s="22"/>
      <c r="AJ261" s="22"/>
    </row>
    <row r="262" spans="1:36" ht="14.25" customHeight="1" x14ac:dyDescent="0.3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1"/>
      <c r="AD262" s="22"/>
      <c r="AJ262" s="22"/>
    </row>
    <row r="263" spans="1:36" ht="14.25" customHeight="1" x14ac:dyDescent="0.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1"/>
      <c r="AD263" s="22"/>
      <c r="AJ263" s="22"/>
    </row>
    <row r="264" spans="1:36" ht="14.25" customHeight="1" x14ac:dyDescent="0.3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1"/>
      <c r="AD264" s="22"/>
      <c r="AJ264" s="22"/>
    </row>
    <row r="265" spans="1:36" ht="14.25" customHeight="1" x14ac:dyDescent="0.3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1"/>
      <c r="AD265" s="22"/>
      <c r="AJ265" s="22"/>
    </row>
    <row r="266" spans="1:36" ht="14.25" customHeight="1" x14ac:dyDescent="0.3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1"/>
      <c r="AD266" s="22"/>
      <c r="AJ266" s="22"/>
    </row>
    <row r="267" spans="1:36" ht="14.25" customHeight="1" x14ac:dyDescent="0.3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1"/>
      <c r="AD267" s="22"/>
      <c r="AJ267" s="22"/>
    </row>
    <row r="268" spans="1:36" ht="14.25" customHeight="1" x14ac:dyDescent="0.3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1"/>
      <c r="AD268" s="22"/>
      <c r="AJ268" s="22"/>
    </row>
    <row r="269" spans="1:36" ht="14.25" customHeight="1" x14ac:dyDescent="0.3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1"/>
      <c r="AD269" s="22"/>
      <c r="AJ269" s="22"/>
    </row>
    <row r="270" spans="1:36" ht="14.25" customHeight="1" x14ac:dyDescent="0.3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1"/>
      <c r="AD270" s="22"/>
      <c r="AJ270" s="22"/>
    </row>
    <row r="271" spans="1:36" ht="14.25" customHeight="1" x14ac:dyDescent="0.3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1"/>
      <c r="AD271" s="22"/>
      <c r="AJ271" s="22"/>
    </row>
    <row r="272" spans="1:36" ht="14.25" customHeight="1" x14ac:dyDescent="0.3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1"/>
      <c r="AD272" s="22"/>
      <c r="AJ272" s="22"/>
    </row>
    <row r="273" spans="1:36" ht="14.25" customHeight="1" x14ac:dyDescent="0.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1"/>
      <c r="AD273" s="22"/>
      <c r="AJ273" s="22"/>
    </row>
    <row r="274" spans="1:36" ht="14.25" customHeight="1" x14ac:dyDescent="0.3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1"/>
      <c r="AD274" s="22"/>
      <c r="AJ274" s="22"/>
    </row>
    <row r="275" spans="1:36" ht="14.25" customHeight="1" x14ac:dyDescent="0.3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1"/>
      <c r="AD275" s="22"/>
      <c r="AJ275" s="22"/>
    </row>
    <row r="276" spans="1:36" ht="14.25" customHeight="1" x14ac:dyDescent="0.3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1"/>
      <c r="AD276" s="22"/>
      <c r="AJ276" s="22"/>
    </row>
    <row r="277" spans="1:36" ht="14.25" customHeight="1" x14ac:dyDescent="0.3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1"/>
      <c r="AD277" s="22"/>
      <c r="AJ277" s="22"/>
    </row>
    <row r="278" spans="1:36" ht="15.75" customHeight="1" x14ac:dyDescent="0.3">
      <c r="Z278" s="22"/>
      <c r="AD278" s="22"/>
      <c r="AJ278" s="22"/>
    </row>
    <row r="279" spans="1:36" ht="15.75" customHeight="1" x14ac:dyDescent="0.3">
      <c r="Z279" s="22"/>
      <c r="AD279" s="22"/>
      <c r="AJ279" s="22"/>
    </row>
    <row r="280" spans="1:36" ht="15.75" customHeight="1" x14ac:dyDescent="0.3">
      <c r="Z280" s="22"/>
      <c r="AD280" s="22"/>
      <c r="AJ280" s="22"/>
    </row>
    <row r="281" spans="1:36" ht="15.75" customHeight="1" x14ac:dyDescent="0.3">
      <c r="Z281" s="22"/>
      <c r="AD281" s="22"/>
      <c r="AJ281" s="22"/>
    </row>
    <row r="282" spans="1:36" ht="15.75" customHeight="1" x14ac:dyDescent="0.3">
      <c r="Z282" s="22"/>
      <c r="AD282" s="22"/>
      <c r="AJ282" s="22"/>
    </row>
    <row r="283" spans="1:36" ht="15.75" customHeight="1" x14ac:dyDescent="0.3">
      <c r="Z283" s="22"/>
      <c r="AD283" s="22"/>
      <c r="AJ283" s="22"/>
    </row>
    <row r="284" spans="1:36" ht="15.75" customHeight="1" x14ac:dyDescent="0.3">
      <c r="Z284" s="22"/>
      <c r="AD284" s="22"/>
      <c r="AJ284" s="22"/>
    </row>
    <row r="285" spans="1:36" ht="15.75" customHeight="1" x14ac:dyDescent="0.3">
      <c r="Z285" s="22"/>
      <c r="AD285" s="22"/>
      <c r="AJ285" s="22"/>
    </row>
    <row r="286" spans="1:36" ht="15.75" customHeight="1" x14ac:dyDescent="0.3">
      <c r="Z286" s="22"/>
      <c r="AD286" s="22"/>
      <c r="AJ286" s="22"/>
    </row>
    <row r="287" spans="1:36" ht="15.75" customHeight="1" x14ac:dyDescent="0.3">
      <c r="Z287" s="22"/>
      <c r="AD287" s="22"/>
      <c r="AJ287" s="22"/>
    </row>
    <row r="288" spans="1:36" ht="15.75" customHeight="1" x14ac:dyDescent="0.3">
      <c r="Z288" s="22"/>
      <c r="AD288" s="22"/>
      <c r="AJ288" s="22"/>
    </row>
    <row r="289" spans="26:36" ht="15.75" customHeight="1" x14ac:dyDescent="0.3">
      <c r="Z289" s="22"/>
      <c r="AD289" s="22"/>
      <c r="AJ289" s="22"/>
    </row>
    <row r="290" spans="26:36" ht="15.75" customHeight="1" x14ac:dyDescent="0.3">
      <c r="Z290" s="22"/>
      <c r="AD290" s="22"/>
      <c r="AJ290" s="22"/>
    </row>
    <row r="291" spans="26:36" ht="15.75" customHeight="1" x14ac:dyDescent="0.3">
      <c r="Z291" s="22"/>
      <c r="AD291" s="22"/>
      <c r="AJ291" s="22"/>
    </row>
    <row r="292" spans="26:36" ht="15.75" customHeight="1" x14ac:dyDescent="0.3">
      <c r="Z292" s="22"/>
      <c r="AD292" s="22"/>
      <c r="AJ292" s="22"/>
    </row>
    <row r="293" spans="26:36" ht="15.75" customHeight="1" x14ac:dyDescent="0.3">
      <c r="Z293" s="22"/>
      <c r="AD293" s="22"/>
      <c r="AJ293" s="22"/>
    </row>
    <row r="294" spans="26:36" ht="15.75" customHeight="1" x14ac:dyDescent="0.3">
      <c r="Z294" s="22"/>
      <c r="AD294" s="22"/>
      <c r="AJ294" s="22"/>
    </row>
    <row r="295" spans="26:36" ht="15.75" customHeight="1" x14ac:dyDescent="0.3">
      <c r="Z295" s="22"/>
      <c r="AD295" s="22"/>
      <c r="AJ295" s="22"/>
    </row>
    <row r="296" spans="26:36" ht="15.75" customHeight="1" x14ac:dyDescent="0.3">
      <c r="Z296" s="22"/>
      <c r="AD296" s="22"/>
      <c r="AJ296" s="22"/>
    </row>
    <row r="297" spans="26:36" ht="15.75" customHeight="1" x14ac:dyDescent="0.3">
      <c r="Z297" s="22"/>
      <c r="AD297" s="22"/>
      <c r="AJ297" s="22"/>
    </row>
    <row r="298" spans="26:36" ht="15.75" customHeight="1" x14ac:dyDescent="0.3">
      <c r="Z298" s="22"/>
      <c r="AD298" s="22"/>
      <c r="AJ298" s="22"/>
    </row>
    <row r="299" spans="26:36" ht="15.75" customHeight="1" x14ac:dyDescent="0.3">
      <c r="Z299" s="22"/>
      <c r="AD299" s="22"/>
      <c r="AJ299" s="22"/>
    </row>
    <row r="300" spans="26:36" ht="15.75" customHeight="1" x14ac:dyDescent="0.3">
      <c r="Z300" s="22"/>
      <c r="AD300" s="22"/>
      <c r="AJ300" s="22"/>
    </row>
    <row r="301" spans="26:36" ht="15.75" customHeight="1" x14ac:dyDescent="0.3">
      <c r="Z301" s="22"/>
      <c r="AD301" s="22"/>
      <c r="AJ301" s="22"/>
    </row>
    <row r="302" spans="26:36" ht="15.75" customHeight="1" x14ac:dyDescent="0.3">
      <c r="Z302" s="22"/>
      <c r="AD302" s="22"/>
      <c r="AJ302" s="22"/>
    </row>
    <row r="303" spans="26:36" ht="15.75" customHeight="1" x14ac:dyDescent="0.3">
      <c r="Z303" s="22"/>
      <c r="AD303" s="22"/>
      <c r="AJ303" s="22"/>
    </row>
    <row r="304" spans="26:36" ht="15.75" customHeight="1" x14ac:dyDescent="0.3">
      <c r="Z304" s="22"/>
      <c r="AD304" s="22"/>
      <c r="AJ304" s="22"/>
    </row>
    <row r="305" spans="26:36" ht="15.75" customHeight="1" x14ac:dyDescent="0.3">
      <c r="Z305" s="22"/>
      <c r="AD305" s="22"/>
      <c r="AJ305" s="22"/>
    </row>
    <row r="306" spans="26:36" ht="15.75" customHeight="1" x14ac:dyDescent="0.3">
      <c r="Z306" s="22"/>
      <c r="AD306" s="22"/>
      <c r="AJ306" s="22"/>
    </row>
    <row r="307" spans="26:36" ht="15.75" customHeight="1" x14ac:dyDescent="0.3">
      <c r="Z307" s="22"/>
      <c r="AD307" s="22"/>
      <c r="AJ307" s="22"/>
    </row>
    <row r="308" spans="26:36" ht="15.75" customHeight="1" x14ac:dyDescent="0.3">
      <c r="Z308" s="22"/>
      <c r="AD308" s="22"/>
      <c r="AJ308" s="22"/>
    </row>
    <row r="309" spans="26:36" ht="15.75" customHeight="1" x14ac:dyDescent="0.3">
      <c r="Z309" s="22"/>
      <c r="AD309" s="22"/>
      <c r="AJ309" s="22"/>
    </row>
    <row r="310" spans="26:36" ht="15.75" customHeight="1" x14ac:dyDescent="0.3">
      <c r="Z310" s="22"/>
      <c r="AD310" s="22"/>
      <c r="AJ310" s="22"/>
    </row>
    <row r="311" spans="26:36" ht="15.75" customHeight="1" x14ac:dyDescent="0.3">
      <c r="Z311" s="22"/>
      <c r="AD311" s="22"/>
      <c r="AJ311" s="22"/>
    </row>
    <row r="312" spans="26:36" ht="15.75" customHeight="1" x14ac:dyDescent="0.3">
      <c r="Z312" s="22"/>
      <c r="AD312" s="22"/>
      <c r="AJ312" s="22"/>
    </row>
    <row r="313" spans="26:36" ht="15.75" customHeight="1" x14ac:dyDescent="0.3">
      <c r="Z313" s="22"/>
      <c r="AD313" s="22"/>
      <c r="AJ313" s="22"/>
    </row>
    <row r="314" spans="26:36" ht="15.75" customHeight="1" x14ac:dyDescent="0.3">
      <c r="Z314" s="22"/>
      <c r="AD314" s="22"/>
      <c r="AJ314" s="22"/>
    </row>
    <row r="315" spans="26:36" ht="15.75" customHeight="1" x14ac:dyDescent="0.3">
      <c r="Z315" s="22"/>
      <c r="AD315" s="22"/>
      <c r="AJ315" s="22"/>
    </row>
    <row r="316" spans="26:36" ht="15.75" customHeight="1" x14ac:dyDescent="0.3">
      <c r="Z316" s="22"/>
      <c r="AD316" s="22"/>
      <c r="AJ316" s="22"/>
    </row>
    <row r="317" spans="26:36" ht="15.75" customHeight="1" x14ac:dyDescent="0.3">
      <c r="Z317" s="22"/>
      <c r="AD317" s="22"/>
      <c r="AJ317" s="22"/>
    </row>
    <row r="318" spans="26:36" ht="15.75" customHeight="1" x14ac:dyDescent="0.3">
      <c r="Z318" s="22"/>
      <c r="AD318" s="22"/>
      <c r="AJ318" s="22"/>
    </row>
    <row r="319" spans="26:36" ht="15.75" customHeight="1" x14ac:dyDescent="0.3">
      <c r="Z319" s="22"/>
      <c r="AD319" s="22"/>
      <c r="AJ319" s="22"/>
    </row>
    <row r="320" spans="26:36" ht="15.75" customHeight="1" x14ac:dyDescent="0.3">
      <c r="Z320" s="22"/>
      <c r="AD320" s="22"/>
      <c r="AJ320" s="22"/>
    </row>
    <row r="321" spans="26:36" ht="15.75" customHeight="1" x14ac:dyDescent="0.3">
      <c r="Z321" s="22"/>
      <c r="AD321" s="22"/>
      <c r="AJ321" s="22"/>
    </row>
    <row r="322" spans="26:36" ht="15.75" customHeight="1" x14ac:dyDescent="0.3">
      <c r="Z322" s="22"/>
      <c r="AD322" s="22"/>
      <c r="AJ322" s="22"/>
    </row>
    <row r="323" spans="26:36" ht="15.75" customHeight="1" x14ac:dyDescent="0.3">
      <c r="Z323" s="22"/>
      <c r="AD323" s="22"/>
      <c r="AJ323" s="22"/>
    </row>
    <row r="324" spans="26:36" ht="15.75" customHeight="1" x14ac:dyDescent="0.3">
      <c r="Z324" s="22"/>
      <c r="AD324" s="22"/>
      <c r="AJ324" s="22"/>
    </row>
    <row r="325" spans="26:36" ht="15.75" customHeight="1" x14ac:dyDescent="0.3">
      <c r="Z325" s="22"/>
      <c r="AD325" s="22"/>
      <c r="AJ325" s="22"/>
    </row>
    <row r="326" spans="26:36" ht="15.75" customHeight="1" x14ac:dyDescent="0.3">
      <c r="Z326" s="22"/>
      <c r="AD326" s="22"/>
      <c r="AJ326" s="22"/>
    </row>
    <row r="327" spans="26:36" ht="15.75" customHeight="1" x14ac:dyDescent="0.3">
      <c r="Z327" s="22"/>
      <c r="AD327" s="22"/>
      <c r="AJ327" s="22"/>
    </row>
    <row r="328" spans="26:36" ht="15.75" customHeight="1" x14ac:dyDescent="0.3">
      <c r="Z328" s="22"/>
      <c r="AD328" s="22"/>
      <c r="AJ328" s="22"/>
    </row>
    <row r="329" spans="26:36" ht="15.75" customHeight="1" x14ac:dyDescent="0.3">
      <c r="Z329" s="22"/>
      <c r="AD329" s="22"/>
      <c r="AJ329" s="22"/>
    </row>
    <row r="330" spans="26:36" ht="15.75" customHeight="1" x14ac:dyDescent="0.3">
      <c r="Z330" s="22"/>
      <c r="AD330" s="22"/>
      <c r="AJ330" s="22"/>
    </row>
    <row r="331" spans="26:36" ht="15.75" customHeight="1" x14ac:dyDescent="0.3">
      <c r="Z331" s="22"/>
      <c r="AD331" s="22"/>
      <c r="AJ331" s="22"/>
    </row>
    <row r="332" spans="26:36" ht="15.75" customHeight="1" x14ac:dyDescent="0.3">
      <c r="Z332" s="22"/>
      <c r="AD332" s="22"/>
      <c r="AJ332" s="22"/>
    </row>
    <row r="333" spans="26:36" ht="15.75" customHeight="1" x14ac:dyDescent="0.3">
      <c r="Z333" s="22"/>
      <c r="AD333" s="22"/>
      <c r="AJ333" s="22"/>
    </row>
    <row r="334" spans="26:36" ht="15.75" customHeight="1" x14ac:dyDescent="0.3">
      <c r="Z334" s="22"/>
      <c r="AD334" s="22"/>
      <c r="AJ334" s="22"/>
    </row>
    <row r="335" spans="26:36" ht="15.75" customHeight="1" x14ac:dyDescent="0.3">
      <c r="Z335" s="22"/>
      <c r="AD335" s="22"/>
      <c r="AJ335" s="22"/>
    </row>
    <row r="336" spans="26:36" ht="15.75" customHeight="1" x14ac:dyDescent="0.3">
      <c r="Z336" s="22"/>
      <c r="AD336" s="22"/>
      <c r="AJ336" s="22"/>
    </row>
    <row r="337" spans="26:36" ht="15.75" customHeight="1" x14ac:dyDescent="0.3">
      <c r="Z337" s="22"/>
      <c r="AD337" s="22"/>
      <c r="AJ337" s="22"/>
    </row>
    <row r="338" spans="26:36" ht="15.75" customHeight="1" x14ac:dyDescent="0.3">
      <c r="Z338" s="22"/>
      <c r="AD338" s="22"/>
      <c r="AJ338" s="22"/>
    </row>
    <row r="339" spans="26:36" ht="15.75" customHeight="1" x14ac:dyDescent="0.3">
      <c r="Z339" s="22"/>
      <c r="AD339" s="22"/>
      <c r="AJ339" s="22"/>
    </row>
    <row r="340" spans="26:36" ht="15.75" customHeight="1" x14ac:dyDescent="0.3">
      <c r="Z340" s="22"/>
      <c r="AD340" s="22"/>
      <c r="AJ340" s="22"/>
    </row>
    <row r="341" spans="26:36" ht="15.75" customHeight="1" x14ac:dyDescent="0.3">
      <c r="Z341" s="22"/>
      <c r="AD341" s="22"/>
      <c r="AJ341" s="22"/>
    </row>
    <row r="342" spans="26:36" ht="15.75" customHeight="1" x14ac:dyDescent="0.3">
      <c r="Z342" s="22"/>
      <c r="AD342" s="22"/>
      <c r="AJ342" s="22"/>
    </row>
    <row r="343" spans="26:36" ht="15.75" customHeight="1" x14ac:dyDescent="0.3">
      <c r="Z343" s="22"/>
      <c r="AD343" s="22"/>
      <c r="AJ343" s="22"/>
    </row>
    <row r="344" spans="26:36" ht="15.75" customHeight="1" x14ac:dyDescent="0.3">
      <c r="Z344" s="22"/>
      <c r="AD344" s="22"/>
      <c r="AJ344" s="22"/>
    </row>
    <row r="345" spans="26:36" ht="15.75" customHeight="1" x14ac:dyDescent="0.3">
      <c r="Z345" s="22"/>
      <c r="AD345" s="22"/>
      <c r="AJ345" s="22"/>
    </row>
    <row r="346" spans="26:36" ht="15.75" customHeight="1" x14ac:dyDescent="0.3">
      <c r="Z346" s="22"/>
      <c r="AD346" s="22"/>
      <c r="AJ346" s="22"/>
    </row>
    <row r="347" spans="26:36" ht="15.75" customHeight="1" x14ac:dyDescent="0.3">
      <c r="Z347" s="22"/>
      <c r="AD347" s="22"/>
      <c r="AJ347" s="22"/>
    </row>
    <row r="348" spans="26:36" ht="15.75" customHeight="1" x14ac:dyDescent="0.3">
      <c r="Z348" s="22"/>
      <c r="AD348" s="22"/>
      <c r="AJ348" s="22"/>
    </row>
    <row r="349" spans="26:36" ht="15.75" customHeight="1" x14ac:dyDescent="0.3">
      <c r="Z349" s="22"/>
      <c r="AD349" s="22"/>
      <c r="AJ349" s="22"/>
    </row>
    <row r="350" spans="26:36" ht="15.75" customHeight="1" x14ac:dyDescent="0.3">
      <c r="Z350" s="22"/>
      <c r="AD350" s="22"/>
      <c r="AJ350" s="22"/>
    </row>
    <row r="351" spans="26:36" ht="15.75" customHeight="1" x14ac:dyDescent="0.3">
      <c r="Z351" s="22"/>
      <c r="AD351" s="22"/>
      <c r="AJ351" s="22"/>
    </row>
    <row r="352" spans="26:36" ht="15.75" customHeight="1" x14ac:dyDescent="0.3">
      <c r="Z352" s="22"/>
      <c r="AD352" s="22"/>
      <c r="AJ352" s="22"/>
    </row>
    <row r="353" spans="26:36" ht="15.75" customHeight="1" x14ac:dyDescent="0.3">
      <c r="Z353" s="22"/>
      <c r="AD353" s="22"/>
      <c r="AJ353" s="22"/>
    </row>
    <row r="354" spans="26:36" ht="15.75" customHeight="1" x14ac:dyDescent="0.3">
      <c r="Z354" s="22"/>
      <c r="AD354" s="22"/>
      <c r="AJ354" s="22"/>
    </row>
    <row r="355" spans="26:36" ht="15.75" customHeight="1" x14ac:dyDescent="0.3">
      <c r="Z355" s="22"/>
      <c r="AD355" s="22"/>
      <c r="AJ355" s="22"/>
    </row>
    <row r="356" spans="26:36" ht="15.75" customHeight="1" x14ac:dyDescent="0.3">
      <c r="Z356" s="22"/>
      <c r="AD356" s="22"/>
      <c r="AJ356" s="22"/>
    </row>
    <row r="357" spans="26:36" ht="15.75" customHeight="1" x14ac:dyDescent="0.3">
      <c r="Z357" s="22"/>
      <c r="AD357" s="22"/>
      <c r="AJ357" s="22"/>
    </row>
    <row r="358" spans="26:36" ht="15.75" customHeight="1" x14ac:dyDescent="0.3">
      <c r="Z358" s="22"/>
      <c r="AD358" s="22"/>
      <c r="AJ358" s="22"/>
    </row>
    <row r="359" spans="26:36" ht="15.75" customHeight="1" x14ac:dyDescent="0.3">
      <c r="Z359" s="22"/>
      <c r="AD359" s="22"/>
      <c r="AJ359" s="22"/>
    </row>
    <row r="360" spans="26:36" ht="15.75" customHeight="1" x14ac:dyDescent="0.3">
      <c r="Z360" s="22"/>
      <c r="AD360" s="22"/>
      <c r="AJ360" s="22"/>
    </row>
    <row r="361" spans="26:36" ht="15.75" customHeight="1" x14ac:dyDescent="0.3">
      <c r="Z361" s="22"/>
      <c r="AD361" s="22"/>
      <c r="AJ361" s="22"/>
    </row>
    <row r="362" spans="26:36" ht="15.75" customHeight="1" x14ac:dyDescent="0.3">
      <c r="Z362" s="22"/>
      <c r="AD362" s="22"/>
      <c r="AJ362" s="22"/>
    </row>
    <row r="363" spans="26:36" ht="15.75" customHeight="1" x14ac:dyDescent="0.3">
      <c r="Z363" s="22"/>
      <c r="AD363" s="22"/>
      <c r="AJ363" s="22"/>
    </row>
    <row r="364" spans="26:36" ht="15.75" customHeight="1" x14ac:dyDescent="0.3">
      <c r="Z364" s="22"/>
      <c r="AD364" s="22"/>
      <c r="AJ364" s="22"/>
    </row>
    <row r="365" spans="26:36" ht="15.75" customHeight="1" x14ac:dyDescent="0.3">
      <c r="Z365" s="22"/>
      <c r="AD365" s="22"/>
      <c r="AJ365" s="22"/>
    </row>
    <row r="366" spans="26:36" ht="15.75" customHeight="1" x14ac:dyDescent="0.3">
      <c r="Z366" s="22"/>
      <c r="AD366" s="22"/>
      <c r="AJ366" s="22"/>
    </row>
    <row r="367" spans="26:36" ht="15.75" customHeight="1" x14ac:dyDescent="0.3">
      <c r="Z367" s="22"/>
      <c r="AD367" s="22"/>
      <c r="AJ367" s="22"/>
    </row>
    <row r="368" spans="26:36" ht="15.75" customHeight="1" x14ac:dyDescent="0.3">
      <c r="Z368" s="22"/>
      <c r="AD368" s="22"/>
      <c r="AJ368" s="22"/>
    </row>
    <row r="369" spans="26:36" ht="15.75" customHeight="1" x14ac:dyDescent="0.3">
      <c r="Z369" s="22"/>
      <c r="AD369" s="22"/>
      <c r="AJ369" s="22"/>
    </row>
    <row r="370" spans="26:36" ht="15.75" customHeight="1" x14ac:dyDescent="0.3">
      <c r="Z370" s="22"/>
      <c r="AD370" s="22"/>
      <c r="AJ370" s="22"/>
    </row>
    <row r="371" spans="26:36" ht="15.75" customHeight="1" x14ac:dyDescent="0.3">
      <c r="Z371" s="22"/>
      <c r="AD371" s="22"/>
      <c r="AJ371" s="22"/>
    </row>
    <row r="372" spans="26:36" ht="15.75" customHeight="1" x14ac:dyDescent="0.3">
      <c r="Z372" s="22"/>
      <c r="AD372" s="22"/>
      <c r="AJ372" s="22"/>
    </row>
    <row r="373" spans="26:36" ht="15.75" customHeight="1" x14ac:dyDescent="0.3">
      <c r="Z373" s="22"/>
      <c r="AD373" s="22"/>
      <c r="AJ373" s="22"/>
    </row>
    <row r="374" spans="26:36" ht="15.75" customHeight="1" x14ac:dyDescent="0.3">
      <c r="Z374" s="22"/>
      <c r="AD374" s="22"/>
      <c r="AJ374" s="22"/>
    </row>
    <row r="375" spans="26:36" ht="15.75" customHeight="1" x14ac:dyDescent="0.3">
      <c r="Z375" s="22"/>
      <c r="AD375" s="22"/>
      <c r="AJ375" s="22"/>
    </row>
    <row r="376" spans="26:36" ht="15.75" customHeight="1" x14ac:dyDescent="0.3">
      <c r="Z376" s="22"/>
      <c r="AD376" s="22"/>
      <c r="AJ376" s="22"/>
    </row>
    <row r="377" spans="26:36" ht="15.75" customHeight="1" x14ac:dyDescent="0.3">
      <c r="Z377" s="22"/>
      <c r="AD377" s="22"/>
      <c r="AJ377" s="22"/>
    </row>
    <row r="378" spans="26:36" ht="15.75" customHeight="1" x14ac:dyDescent="0.3">
      <c r="Z378" s="22"/>
      <c r="AD378" s="22"/>
      <c r="AJ378" s="22"/>
    </row>
    <row r="379" spans="26:36" ht="15.75" customHeight="1" x14ac:dyDescent="0.3">
      <c r="Z379" s="22"/>
      <c r="AD379" s="22"/>
      <c r="AJ379" s="22"/>
    </row>
    <row r="380" spans="26:36" ht="15.75" customHeight="1" x14ac:dyDescent="0.3">
      <c r="Z380" s="22"/>
      <c r="AD380" s="22"/>
      <c r="AJ380" s="22"/>
    </row>
    <row r="381" spans="26:36" ht="15.75" customHeight="1" x14ac:dyDescent="0.3">
      <c r="Z381" s="22"/>
      <c r="AD381" s="22"/>
      <c r="AJ381" s="22"/>
    </row>
    <row r="382" spans="26:36" ht="15.75" customHeight="1" x14ac:dyDescent="0.3">
      <c r="Z382" s="22"/>
      <c r="AD382" s="22"/>
      <c r="AJ382" s="22"/>
    </row>
    <row r="383" spans="26:36" ht="15.75" customHeight="1" x14ac:dyDescent="0.3">
      <c r="Z383" s="22"/>
      <c r="AD383" s="22"/>
      <c r="AJ383" s="22"/>
    </row>
    <row r="384" spans="26:36" ht="15.75" customHeight="1" x14ac:dyDescent="0.3">
      <c r="Z384" s="22"/>
      <c r="AD384" s="22"/>
      <c r="AJ384" s="22"/>
    </row>
    <row r="385" spans="26:36" ht="15.75" customHeight="1" x14ac:dyDescent="0.3">
      <c r="Z385" s="22"/>
      <c r="AD385" s="22"/>
      <c r="AJ385" s="22"/>
    </row>
    <row r="386" spans="26:36" ht="15.75" customHeight="1" x14ac:dyDescent="0.3">
      <c r="Z386" s="22"/>
      <c r="AD386" s="22"/>
      <c r="AJ386" s="22"/>
    </row>
    <row r="387" spans="26:36" ht="15.75" customHeight="1" x14ac:dyDescent="0.3">
      <c r="Z387" s="22"/>
      <c r="AD387" s="22"/>
      <c r="AJ387" s="22"/>
    </row>
    <row r="388" spans="26:36" ht="15.75" customHeight="1" x14ac:dyDescent="0.3">
      <c r="Z388" s="22"/>
      <c r="AD388" s="22"/>
      <c r="AJ388" s="22"/>
    </row>
    <row r="389" spans="26:36" ht="15.75" customHeight="1" x14ac:dyDescent="0.3">
      <c r="Z389" s="22"/>
      <c r="AD389" s="22"/>
      <c r="AJ389" s="22"/>
    </row>
    <row r="390" spans="26:36" ht="15.75" customHeight="1" x14ac:dyDescent="0.3">
      <c r="Z390" s="22"/>
      <c r="AD390" s="22"/>
      <c r="AJ390" s="22"/>
    </row>
    <row r="391" spans="26:36" ht="15.75" customHeight="1" x14ac:dyDescent="0.3">
      <c r="Z391" s="22"/>
      <c r="AD391" s="22"/>
      <c r="AJ391" s="22"/>
    </row>
    <row r="392" spans="26:36" ht="15.75" customHeight="1" x14ac:dyDescent="0.3">
      <c r="Z392" s="22"/>
      <c r="AD392" s="22"/>
      <c r="AJ392" s="22"/>
    </row>
    <row r="393" spans="26:36" ht="15.75" customHeight="1" x14ac:dyDescent="0.3">
      <c r="Z393" s="22"/>
      <c r="AD393" s="22"/>
      <c r="AJ393" s="22"/>
    </row>
    <row r="394" spans="26:36" ht="15.75" customHeight="1" x14ac:dyDescent="0.3">
      <c r="Z394" s="22"/>
      <c r="AD394" s="22"/>
      <c r="AJ394" s="22"/>
    </row>
    <row r="395" spans="26:36" ht="15.75" customHeight="1" x14ac:dyDescent="0.3">
      <c r="Z395" s="22"/>
      <c r="AD395" s="22"/>
      <c r="AJ395" s="22"/>
    </row>
    <row r="396" spans="26:36" ht="15.75" customHeight="1" x14ac:dyDescent="0.3">
      <c r="Z396" s="22"/>
      <c r="AD396" s="22"/>
      <c r="AJ396" s="22"/>
    </row>
    <row r="397" spans="26:36" ht="15.75" customHeight="1" x14ac:dyDescent="0.3">
      <c r="Z397" s="22"/>
      <c r="AD397" s="22"/>
      <c r="AJ397" s="22"/>
    </row>
    <row r="398" spans="26:36" ht="15.75" customHeight="1" x14ac:dyDescent="0.3">
      <c r="Z398" s="22"/>
      <c r="AD398" s="22"/>
      <c r="AJ398" s="22"/>
    </row>
    <row r="399" spans="26:36" ht="15.75" customHeight="1" x14ac:dyDescent="0.3">
      <c r="Z399" s="22"/>
      <c r="AD399" s="22"/>
      <c r="AJ399" s="22"/>
    </row>
    <row r="400" spans="26:36" ht="15.75" customHeight="1" x14ac:dyDescent="0.3">
      <c r="Z400" s="22"/>
      <c r="AD400" s="22"/>
      <c r="AJ400" s="22"/>
    </row>
    <row r="401" spans="26:36" ht="15.75" customHeight="1" x14ac:dyDescent="0.3">
      <c r="Z401" s="22"/>
      <c r="AD401" s="22"/>
      <c r="AJ401" s="22"/>
    </row>
    <row r="402" spans="26:36" ht="15.75" customHeight="1" x14ac:dyDescent="0.3">
      <c r="Z402" s="22"/>
      <c r="AD402" s="22"/>
      <c r="AJ402" s="22"/>
    </row>
    <row r="403" spans="26:36" ht="15.75" customHeight="1" x14ac:dyDescent="0.3">
      <c r="Z403" s="22"/>
      <c r="AD403" s="22"/>
      <c r="AJ403" s="22"/>
    </row>
    <row r="404" spans="26:36" ht="15.75" customHeight="1" x14ac:dyDescent="0.3">
      <c r="Z404" s="22"/>
      <c r="AD404" s="22"/>
      <c r="AJ404" s="22"/>
    </row>
    <row r="405" spans="26:36" ht="15.75" customHeight="1" x14ac:dyDescent="0.3">
      <c r="Z405" s="22"/>
      <c r="AD405" s="22"/>
      <c r="AJ405" s="22"/>
    </row>
    <row r="406" spans="26:36" ht="15.75" customHeight="1" x14ac:dyDescent="0.3">
      <c r="Z406" s="22"/>
      <c r="AD406" s="22"/>
      <c r="AJ406" s="22"/>
    </row>
    <row r="407" spans="26:36" ht="15.75" customHeight="1" x14ac:dyDescent="0.3">
      <c r="Z407" s="22"/>
      <c r="AD407" s="22"/>
      <c r="AJ407" s="22"/>
    </row>
    <row r="408" spans="26:36" ht="15.75" customHeight="1" x14ac:dyDescent="0.3">
      <c r="Z408" s="22"/>
      <c r="AD408" s="22"/>
      <c r="AJ408" s="22"/>
    </row>
    <row r="409" spans="26:36" ht="15.75" customHeight="1" x14ac:dyDescent="0.3">
      <c r="Z409" s="22"/>
      <c r="AD409" s="22"/>
      <c r="AJ409" s="22"/>
    </row>
    <row r="410" spans="26:36" ht="15.75" customHeight="1" x14ac:dyDescent="0.3">
      <c r="Z410" s="22"/>
      <c r="AD410" s="22"/>
      <c r="AJ410" s="22"/>
    </row>
    <row r="411" spans="26:36" ht="15.75" customHeight="1" x14ac:dyDescent="0.3">
      <c r="Z411" s="22"/>
      <c r="AD411" s="22"/>
      <c r="AJ411" s="22"/>
    </row>
    <row r="412" spans="26:36" ht="15.75" customHeight="1" x14ac:dyDescent="0.3">
      <c r="Z412" s="22"/>
      <c r="AD412" s="22"/>
      <c r="AJ412" s="22"/>
    </row>
    <row r="413" spans="26:36" ht="15.75" customHeight="1" x14ac:dyDescent="0.3">
      <c r="Z413" s="22"/>
      <c r="AD413" s="22"/>
      <c r="AJ413" s="22"/>
    </row>
    <row r="414" spans="26:36" ht="15.75" customHeight="1" x14ac:dyDescent="0.3">
      <c r="Z414" s="22"/>
      <c r="AD414" s="22"/>
      <c r="AJ414" s="22"/>
    </row>
    <row r="415" spans="26:36" ht="15.75" customHeight="1" x14ac:dyDescent="0.3">
      <c r="Z415" s="22"/>
      <c r="AD415" s="22"/>
      <c r="AJ415" s="22"/>
    </row>
    <row r="416" spans="26:36" ht="15.75" customHeight="1" x14ac:dyDescent="0.3">
      <c r="Z416" s="22"/>
      <c r="AD416" s="22"/>
      <c r="AJ416" s="22"/>
    </row>
    <row r="417" spans="26:36" ht="15.75" customHeight="1" x14ac:dyDescent="0.3">
      <c r="Z417" s="22"/>
      <c r="AD417" s="22"/>
      <c r="AJ417" s="22"/>
    </row>
    <row r="418" spans="26:36" ht="15.75" customHeight="1" x14ac:dyDescent="0.3">
      <c r="Z418" s="22"/>
      <c r="AD418" s="22"/>
      <c r="AJ418" s="22"/>
    </row>
    <row r="419" spans="26:36" ht="15.75" customHeight="1" x14ac:dyDescent="0.3">
      <c r="Z419" s="22"/>
      <c r="AD419" s="22"/>
      <c r="AJ419" s="22"/>
    </row>
    <row r="420" spans="26:36" ht="15.75" customHeight="1" x14ac:dyDescent="0.3">
      <c r="Z420" s="22"/>
      <c r="AD420" s="22"/>
      <c r="AJ420" s="22"/>
    </row>
    <row r="421" spans="26:36" ht="15.75" customHeight="1" x14ac:dyDescent="0.3">
      <c r="Z421" s="22"/>
      <c r="AD421" s="22"/>
      <c r="AJ421" s="22"/>
    </row>
    <row r="422" spans="26:36" ht="15.75" customHeight="1" x14ac:dyDescent="0.3">
      <c r="Z422" s="22"/>
      <c r="AD422" s="22"/>
      <c r="AJ422" s="22"/>
    </row>
    <row r="423" spans="26:36" ht="15.75" customHeight="1" x14ac:dyDescent="0.3">
      <c r="Z423" s="22"/>
      <c r="AD423" s="22"/>
      <c r="AJ423" s="22"/>
    </row>
    <row r="424" spans="26:36" ht="15.75" customHeight="1" x14ac:dyDescent="0.3">
      <c r="Z424" s="22"/>
      <c r="AD424" s="22"/>
      <c r="AJ424" s="22"/>
    </row>
    <row r="425" spans="26:36" ht="15.75" customHeight="1" x14ac:dyDescent="0.3">
      <c r="Z425" s="22"/>
      <c r="AD425" s="22"/>
      <c r="AJ425" s="22"/>
    </row>
    <row r="426" spans="26:36" ht="15.75" customHeight="1" x14ac:dyDescent="0.3">
      <c r="Z426" s="22"/>
      <c r="AD426" s="22"/>
      <c r="AJ426" s="22"/>
    </row>
    <row r="427" spans="26:36" ht="15.75" customHeight="1" x14ac:dyDescent="0.3">
      <c r="Z427" s="22"/>
      <c r="AD427" s="22"/>
      <c r="AJ427" s="22"/>
    </row>
    <row r="428" spans="26:36" ht="15.75" customHeight="1" x14ac:dyDescent="0.3">
      <c r="Z428" s="22"/>
      <c r="AD428" s="22"/>
      <c r="AJ428" s="22"/>
    </row>
    <row r="429" spans="26:36" ht="15.75" customHeight="1" x14ac:dyDescent="0.3">
      <c r="Z429" s="22"/>
      <c r="AD429" s="22"/>
      <c r="AJ429" s="22"/>
    </row>
    <row r="430" spans="26:36" ht="15.75" customHeight="1" x14ac:dyDescent="0.3">
      <c r="Z430" s="22"/>
      <c r="AD430" s="22"/>
      <c r="AJ430" s="22"/>
    </row>
    <row r="431" spans="26:36" ht="15.75" customHeight="1" x14ac:dyDescent="0.3">
      <c r="Z431" s="22"/>
      <c r="AD431" s="22"/>
      <c r="AJ431" s="22"/>
    </row>
    <row r="432" spans="26:36" ht="15.75" customHeight="1" x14ac:dyDescent="0.3">
      <c r="Z432" s="22"/>
      <c r="AD432" s="22"/>
      <c r="AJ432" s="22"/>
    </row>
    <row r="433" spans="26:36" ht="15.75" customHeight="1" x14ac:dyDescent="0.3">
      <c r="Z433" s="22"/>
      <c r="AD433" s="22"/>
      <c r="AJ433" s="22"/>
    </row>
    <row r="434" spans="26:36" ht="15.75" customHeight="1" x14ac:dyDescent="0.3">
      <c r="Z434" s="22"/>
      <c r="AD434" s="22"/>
      <c r="AJ434" s="22"/>
    </row>
    <row r="435" spans="26:36" ht="15.75" customHeight="1" x14ac:dyDescent="0.3">
      <c r="Z435" s="22"/>
      <c r="AD435" s="22"/>
      <c r="AJ435" s="22"/>
    </row>
    <row r="436" spans="26:36" ht="15.75" customHeight="1" x14ac:dyDescent="0.3">
      <c r="Z436" s="22"/>
      <c r="AD436" s="22"/>
      <c r="AJ436" s="22"/>
    </row>
    <row r="437" spans="26:36" ht="15.75" customHeight="1" x14ac:dyDescent="0.3">
      <c r="Z437" s="22"/>
      <c r="AD437" s="22"/>
      <c r="AJ437" s="22"/>
    </row>
    <row r="438" spans="26:36" ht="15.75" customHeight="1" x14ac:dyDescent="0.3">
      <c r="Z438" s="22"/>
      <c r="AD438" s="22"/>
      <c r="AJ438" s="22"/>
    </row>
    <row r="439" spans="26:36" ht="15.75" customHeight="1" x14ac:dyDescent="0.3">
      <c r="Z439" s="22"/>
      <c r="AD439" s="22"/>
      <c r="AJ439" s="22"/>
    </row>
    <row r="440" spans="26:36" ht="15.75" customHeight="1" x14ac:dyDescent="0.3">
      <c r="Z440" s="22"/>
      <c r="AD440" s="22"/>
      <c r="AJ440" s="22"/>
    </row>
    <row r="441" spans="26:36" ht="15.75" customHeight="1" x14ac:dyDescent="0.3">
      <c r="Z441" s="22"/>
      <c r="AD441" s="22"/>
      <c r="AJ441" s="22"/>
    </row>
    <row r="442" spans="26:36" ht="15.75" customHeight="1" x14ac:dyDescent="0.3">
      <c r="Z442" s="22"/>
      <c r="AD442" s="22"/>
      <c r="AJ442" s="22"/>
    </row>
    <row r="443" spans="26:36" ht="15.75" customHeight="1" x14ac:dyDescent="0.3">
      <c r="Z443" s="22"/>
      <c r="AD443" s="22"/>
      <c r="AJ443" s="22"/>
    </row>
    <row r="444" spans="26:36" ht="15.75" customHeight="1" x14ac:dyDescent="0.3">
      <c r="Z444" s="22"/>
      <c r="AD444" s="22"/>
      <c r="AJ444" s="22"/>
    </row>
    <row r="445" spans="26:36" ht="15.75" customHeight="1" x14ac:dyDescent="0.3">
      <c r="Z445" s="22"/>
      <c r="AD445" s="22"/>
      <c r="AJ445" s="22"/>
    </row>
    <row r="446" spans="26:36" ht="15.75" customHeight="1" x14ac:dyDescent="0.3">
      <c r="Z446" s="22"/>
      <c r="AD446" s="22"/>
      <c r="AJ446" s="22"/>
    </row>
    <row r="447" spans="26:36" ht="15.75" customHeight="1" x14ac:dyDescent="0.3">
      <c r="Z447" s="22"/>
      <c r="AD447" s="22"/>
      <c r="AJ447" s="22"/>
    </row>
    <row r="448" spans="26:36" ht="15.75" customHeight="1" x14ac:dyDescent="0.3">
      <c r="Z448" s="22"/>
      <c r="AD448" s="22"/>
      <c r="AJ448" s="22"/>
    </row>
    <row r="449" spans="26:36" ht="15.75" customHeight="1" x14ac:dyDescent="0.3">
      <c r="Z449" s="22"/>
      <c r="AD449" s="22"/>
      <c r="AJ449" s="22"/>
    </row>
    <row r="450" spans="26:36" ht="15.75" customHeight="1" x14ac:dyDescent="0.3">
      <c r="Z450" s="22"/>
      <c r="AD450" s="22"/>
      <c r="AJ450" s="22"/>
    </row>
    <row r="451" spans="26:36" ht="15.75" customHeight="1" x14ac:dyDescent="0.3">
      <c r="Z451" s="22"/>
      <c r="AD451" s="22"/>
      <c r="AJ451" s="22"/>
    </row>
    <row r="452" spans="26:36" ht="15.75" customHeight="1" x14ac:dyDescent="0.3">
      <c r="Z452" s="22"/>
      <c r="AD452" s="22"/>
      <c r="AJ452" s="22"/>
    </row>
    <row r="453" spans="26:36" ht="15.75" customHeight="1" x14ac:dyDescent="0.3">
      <c r="Z453" s="22"/>
      <c r="AD453" s="22"/>
      <c r="AJ453" s="22"/>
    </row>
    <row r="454" spans="26:36" ht="15.75" customHeight="1" x14ac:dyDescent="0.3">
      <c r="Z454" s="22"/>
      <c r="AD454" s="22"/>
      <c r="AJ454" s="22"/>
    </row>
    <row r="455" spans="26:36" ht="15.75" customHeight="1" x14ac:dyDescent="0.3">
      <c r="Z455" s="22"/>
      <c r="AD455" s="22"/>
      <c r="AJ455" s="22"/>
    </row>
    <row r="456" spans="26:36" ht="15.75" customHeight="1" x14ac:dyDescent="0.3">
      <c r="Z456" s="22"/>
      <c r="AD456" s="22"/>
      <c r="AJ456" s="22"/>
    </row>
    <row r="457" spans="26:36" ht="15.75" customHeight="1" x14ac:dyDescent="0.3">
      <c r="Z457" s="22"/>
      <c r="AD457" s="22"/>
      <c r="AJ457" s="22"/>
    </row>
    <row r="458" spans="26:36" ht="15.75" customHeight="1" x14ac:dyDescent="0.3">
      <c r="Z458" s="22"/>
      <c r="AD458" s="22"/>
      <c r="AJ458" s="22"/>
    </row>
    <row r="459" spans="26:36" ht="15.75" customHeight="1" x14ac:dyDescent="0.3">
      <c r="Z459" s="22"/>
      <c r="AD459" s="22"/>
      <c r="AJ459" s="22"/>
    </row>
    <row r="460" spans="26:36" ht="15.75" customHeight="1" x14ac:dyDescent="0.3">
      <c r="Z460" s="22"/>
      <c r="AD460" s="22"/>
      <c r="AJ460" s="22"/>
    </row>
    <row r="461" spans="26:36" ht="15.75" customHeight="1" x14ac:dyDescent="0.3">
      <c r="Z461" s="22"/>
      <c r="AD461" s="22"/>
      <c r="AJ461" s="22"/>
    </row>
    <row r="462" spans="26:36" ht="15.75" customHeight="1" x14ac:dyDescent="0.3">
      <c r="Z462" s="22"/>
      <c r="AD462" s="22"/>
      <c r="AJ462" s="22"/>
    </row>
    <row r="463" spans="26:36" ht="15.75" customHeight="1" x14ac:dyDescent="0.3">
      <c r="Z463" s="22"/>
      <c r="AD463" s="22"/>
      <c r="AJ463" s="22"/>
    </row>
    <row r="464" spans="26:36" ht="15.75" customHeight="1" x14ac:dyDescent="0.3">
      <c r="Z464" s="22"/>
      <c r="AD464" s="22"/>
      <c r="AJ464" s="22"/>
    </row>
    <row r="465" spans="26:36" ht="15.75" customHeight="1" x14ac:dyDescent="0.3">
      <c r="Z465" s="22"/>
      <c r="AD465" s="22"/>
      <c r="AJ465" s="22"/>
    </row>
    <row r="466" spans="26:36" ht="15.75" customHeight="1" x14ac:dyDescent="0.3">
      <c r="Z466" s="22"/>
      <c r="AD466" s="22"/>
      <c r="AJ466" s="22"/>
    </row>
    <row r="467" spans="26:36" ht="15.75" customHeight="1" x14ac:dyDescent="0.3">
      <c r="Z467" s="22"/>
      <c r="AD467" s="22"/>
      <c r="AJ467" s="22"/>
    </row>
    <row r="468" spans="26:36" ht="15.75" customHeight="1" x14ac:dyDescent="0.3">
      <c r="Z468" s="22"/>
      <c r="AD468" s="22"/>
      <c r="AJ468" s="22"/>
    </row>
    <row r="469" spans="26:36" ht="15.75" customHeight="1" x14ac:dyDescent="0.3">
      <c r="Z469" s="22"/>
      <c r="AD469" s="22"/>
      <c r="AJ469" s="22"/>
    </row>
    <row r="470" spans="26:36" ht="15.75" customHeight="1" x14ac:dyDescent="0.3">
      <c r="Z470" s="22"/>
      <c r="AD470" s="22"/>
      <c r="AJ470" s="22"/>
    </row>
    <row r="471" spans="26:36" ht="15.75" customHeight="1" x14ac:dyDescent="0.3">
      <c r="Z471" s="22"/>
      <c r="AD471" s="22"/>
      <c r="AJ471" s="22"/>
    </row>
    <row r="472" spans="26:36" ht="15.75" customHeight="1" x14ac:dyDescent="0.3">
      <c r="Z472" s="22"/>
      <c r="AD472" s="22"/>
      <c r="AJ472" s="22"/>
    </row>
    <row r="473" spans="26:36" ht="15.75" customHeight="1" x14ac:dyDescent="0.3">
      <c r="Z473" s="22"/>
      <c r="AD473" s="22"/>
      <c r="AJ473" s="22"/>
    </row>
    <row r="474" spans="26:36" ht="15.75" customHeight="1" x14ac:dyDescent="0.3">
      <c r="Z474" s="22"/>
      <c r="AD474" s="22"/>
      <c r="AJ474" s="22"/>
    </row>
    <row r="475" spans="26:36" ht="15.75" customHeight="1" x14ac:dyDescent="0.3">
      <c r="Z475" s="22"/>
      <c r="AD475" s="22"/>
      <c r="AJ475" s="22"/>
    </row>
    <row r="476" spans="26:36" ht="15.75" customHeight="1" x14ac:dyDescent="0.3">
      <c r="Z476" s="22"/>
      <c r="AD476" s="22"/>
      <c r="AJ476" s="22"/>
    </row>
    <row r="477" spans="26:36" ht="15.75" customHeight="1" x14ac:dyDescent="0.3">
      <c r="Z477" s="22"/>
      <c r="AD477" s="22"/>
      <c r="AJ477" s="22"/>
    </row>
    <row r="478" spans="26:36" ht="15.75" customHeight="1" x14ac:dyDescent="0.3">
      <c r="Z478" s="22"/>
      <c r="AD478" s="22"/>
      <c r="AJ478" s="22"/>
    </row>
    <row r="479" spans="26:36" ht="15.75" customHeight="1" x14ac:dyDescent="0.3">
      <c r="Z479" s="22"/>
      <c r="AD479" s="22"/>
      <c r="AJ479" s="22"/>
    </row>
    <row r="480" spans="26:36" ht="15.75" customHeight="1" x14ac:dyDescent="0.3">
      <c r="Z480" s="22"/>
      <c r="AD480" s="22"/>
      <c r="AJ480" s="22"/>
    </row>
    <row r="481" spans="26:36" ht="15.75" customHeight="1" x14ac:dyDescent="0.3">
      <c r="Z481" s="22"/>
      <c r="AD481" s="22"/>
      <c r="AJ481" s="22"/>
    </row>
    <row r="482" spans="26:36" ht="15.75" customHeight="1" x14ac:dyDescent="0.3">
      <c r="Z482" s="22"/>
      <c r="AD482" s="22"/>
      <c r="AJ482" s="22"/>
    </row>
    <row r="483" spans="26:36" ht="15.75" customHeight="1" x14ac:dyDescent="0.3">
      <c r="Z483" s="22"/>
      <c r="AD483" s="22"/>
      <c r="AJ483" s="22"/>
    </row>
    <row r="484" spans="26:36" ht="15.75" customHeight="1" x14ac:dyDescent="0.3">
      <c r="Z484" s="22"/>
      <c r="AD484" s="22"/>
      <c r="AJ484" s="22"/>
    </row>
    <row r="485" spans="26:36" ht="15.75" customHeight="1" x14ac:dyDescent="0.3">
      <c r="Z485" s="22"/>
      <c r="AD485" s="22"/>
      <c r="AJ485" s="22"/>
    </row>
    <row r="486" spans="26:36" ht="15.75" customHeight="1" x14ac:dyDescent="0.3">
      <c r="Z486" s="22"/>
      <c r="AD486" s="22"/>
      <c r="AJ486" s="22"/>
    </row>
    <row r="487" spans="26:36" ht="15.75" customHeight="1" x14ac:dyDescent="0.3">
      <c r="Z487" s="22"/>
      <c r="AD487" s="22"/>
      <c r="AJ487" s="22"/>
    </row>
    <row r="488" spans="26:36" ht="15.75" customHeight="1" x14ac:dyDescent="0.3">
      <c r="Z488" s="22"/>
      <c r="AD488" s="22"/>
      <c r="AJ488" s="22"/>
    </row>
    <row r="489" spans="26:36" ht="15.75" customHeight="1" x14ac:dyDescent="0.3">
      <c r="Z489" s="22"/>
      <c r="AD489" s="22"/>
      <c r="AJ489" s="22"/>
    </row>
    <row r="490" spans="26:36" ht="15.75" customHeight="1" x14ac:dyDescent="0.3">
      <c r="Z490" s="22"/>
      <c r="AD490" s="22"/>
      <c r="AJ490" s="22"/>
    </row>
    <row r="491" spans="26:36" ht="15.75" customHeight="1" x14ac:dyDescent="0.3">
      <c r="Z491" s="22"/>
      <c r="AD491" s="22"/>
      <c r="AJ491" s="22"/>
    </row>
    <row r="492" spans="26:36" ht="15.75" customHeight="1" x14ac:dyDescent="0.3">
      <c r="Z492" s="22"/>
      <c r="AD492" s="22"/>
      <c r="AJ492" s="22"/>
    </row>
    <row r="493" spans="26:36" ht="15.75" customHeight="1" x14ac:dyDescent="0.3">
      <c r="Z493" s="22"/>
      <c r="AD493" s="22"/>
      <c r="AJ493" s="22"/>
    </row>
    <row r="494" spans="26:36" ht="15.75" customHeight="1" x14ac:dyDescent="0.3">
      <c r="Z494" s="22"/>
      <c r="AD494" s="22"/>
      <c r="AJ494" s="22"/>
    </row>
    <row r="495" spans="26:36" ht="15.75" customHeight="1" x14ac:dyDescent="0.3">
      <c r="Z495" s="22"/>
      <c r="AD495" s="22"/>
      <c r="AJ495" s="22"/>
    </row>
    <row r="496" spans="26:36" ht="15.75" customHeight="1" x14ac:dyDescent="0.3">
      <c r="Z496" s="22"/>
      <c r="AD496" s="22"/>
      <c r="AJ496" s="22"/>
    </row>
    <row r="497" spans="26:36" ht="15.75" customHeight="1" x14ac:dyDescent="0.3">
      <c r="Z497" s="22"/>
      <c r="AD497" s="22"/>
      <c r="AJ497" s="22"/>
    </row>
    <row r="498" spans="26:36" ht="15.75" customHeight="1" x14ac:dyDescent="0.3">
      <c r="Z498" s="22"/>
      <c r="AD498" s="22"/>
      <c r="AJ498" s="22"/>
    </row>
    <row r="499" spans="26:36" ht="15.75" customHeight="1" x14ac:dyDescent="0.3">
      <c r="Z499" s="22"/>
      <c r="AD499" s="22"/>
      <c r="AJ499" s="22"/>
    </row>
    <row r="500" spans="26:36" ht="15.75" customHeight="1" x14ac:dyDescent="0.3">
      <c r="Z500" s="22"/>
      <c r="AD500" s="22"/>
      <c r="AJ500" s="22"/>
    </row>
    <row r="501" spans="26:36" ht="15.75" customHeight="1" x14ac:dyDescent="0.3">
      <c r="Z501" s="22"/>
      <c r="AD501" s="22"/>
      <c r="AJ501" s="22"/>
    </row>
    <row r="502" spans="26:36" ht="15.75" customHeight="1" x14ac:dyDescent="0.3">
      <c r="Z502" s="22"/>
      <c r="AD502" s="22"/>
      <c r="AJ502" s="22"/>
    </row>
    <row r="503" spans="26:36" ht="15.75" customHeight="1" x14ac:dyDescent="0.3">
      <c r="Z503" s="22"/>
      <c r="AD503" s="22"/>
      <c r="AJ503" s="22"/>
    </row>
    <row r="504" spans="26:36" ht="15.75" customHeight="1" x14ac:dyDescent="0.3">
      <c r="Z504" s="22"/>
      <c r="AD504" s="22"/>
      <c r="AJ504" s="22"/>
    </row>
    <row r="505" spans="26:36" ht="15.75" customHeight="1" x14ac:dyDescent="0.3">
      <c r="Z505" s="22"/>
      <c r="AD505" s="22"/>
      <c r="AJ505" s="22"/>
    </row>
    <row r="506" spans="26:36" ht="15.75" customHeight="1" x14ac:dyDescent="0.3">
      <c r="Z506" s="22"/>
      <c r="AD506" s="22"/>
      <c r="AJ506" s="22"/>
    </row>
    <row r="507" spans="26:36" ht="15.75" customHeight="1" x14ac:dyDescent="0.3">
      <c r="Z507" s="22"/>
      <c r="AD507" s="22"/>
      <c r="AJ507" s="22"/>
    </row>
    <row r="508" spans="26:36" ht="15.75" customHeight="1" x14ac:dyDescent="0.3">
      <c r="Z508" s="22"/>
      <c r="AD508" s="22"/>
      <c r="AJ508" s="22"/>
    </row>
    <row r="509" spans="26:36" ht="15.75" customHeight="1" x14ac:dyDescent="0.3">
      <c r="Z509" s="22"/>
      <c r="AD509" s="22"/>
      <c r="AJ509" s="22"/>
    </row>
    <row r="510" spans="26:36" ht="15.75" customHeight="1" x14ac:dyDescent="0.3">
      <c r="Z510" s="22"/>
      <c r="AD510" s="22"/>
      <c r="AJ510" s="22"/>
    </row>
    <row r="511" spans="26:36" ht="15.75" customHeight="1" x14ac:dyDescent="0.3">
      <c r="Z511" s="22"/>
      <c r="AD511" s="22"/>
      <c r="AJ511" s="22"/>
    </row>
    <row r="512" spans="26:36" ht="15.75" customHeight="1" x14ac:dyDescent="0.3">
      <c r="Z512" s="22"/>
      <c r="AD512" s="22"/>
      <c r="AJ512" s="22"/>
    </row>
    <row r="513" spans="26:36" ht="15.75" customHeight="1" x14ac:dyDescent="0.3">
      <c r="Z513" s="22"/>
      <c r="AD513" s="22"/>
      <c r="AJ513" s="22"/>
    </row>
    <row r="514" spans="26:36" ht="15.75" customHeight="1" x14ac:dyDescent="0.3">
      <c r="Z514" s="22"/>
      <c r="AD514" s="22"/>
      <c r="AJ514" s="22"/>
    </row>
    <row r="515" spans="26:36" ht="15.75" customHeight="1" x14ac:dyDescent="0.3">
      <c r="Z515" s="22"/>
      <c r="AD515" s="22"/>
      <c r="AJ515" s="22"/>
    </row>
    <row r="516" spans="26:36" ht="15.75" customHeight="1" x14ac:dyDescent="0.3">
      <c r="Z516" s="22"/>
      <c r="AD516" s="22"/>
      <c r="AJ516" s="22"/>
    </row>
    <row r="517" spans="26:36" ht="15.75" customHeight="1" x14ac:dyDescent="0.3">
      <c r="Z517" s="22"/>
      <c r="AD517" s="22"/>
      <c r="AJ517" s="22"/>
    </row>
    <row r="518" spans="26:36" ht="15.75" customHeight="1" x14ac:dyDescent="0.3">
      <c r="Z518" s="22"/>
      <c r="AD518" s="22"/>
      <c r="AJ518" s="22"/>
    </row>
    <row r="519" spans="26:36" ht="15.75" customHeight="1" x14ac:dyDescent="0.3">
      <c r="Z519" s="22"/>
      <c r="AD519" s="22"/>
      <c r="AJ519" s="22"/>
    </row>
    <row r="520" spans="26:36" ht="15.75" customHeight="1" x14ac:dyDescent="0.3">
      <c r="Z520" s="22"/>
      <c r="AD520" s="22"/>
      <c r="AJ520" s="22"/>
    </row>
    <row r="521" spans="26:36" ht="15.75" customHeight="1" x14ac:dyDescent="0.3">
      <c r="Z521" s="22"/>
      <c r="AD521" s="22"/>
      <c r="AJ521" s="22"/>
    </row>
    <row r="522" spans="26:36" ht="15.75" customHeight="1" x14ac:dyDescent="0.3">
      <c r="Z522" s="22"/>
      <c r="AD522" s="22"/>
      <c r="AJ522" s="22"/>
    </row>
    <row r="523" spans="26:36" ht="15.75" customHeight="1" x14ac:dyDescent="0.3">
      <c r="Z523" s="22"/>
      <c r="AD523" s="22"/>
      <c r="AJ523" s="22"/>
    </row>
    <row r="524" spans="26:36" ht="15.75" customHeight="1" x14ac:dyDescent="0.3">
      <c r="Z524" s="22"/>
      <c r="AD524" s="22"/>
      <c r="AJ524" s="22"/>
    </row>
    <row r="525" spans="26:36" ht="15.75" customHeight="1" x14ac:dyDescent="0.3">
      <c r="Z525" s="22"/>
      <c r="AD525" s="22"/>
      <c r="AJ525" s="22"/>
    </row>
    <row r="526" spans="26:36" ht="15.75" customHeight="1" x14ac:dyDescent="0.3">
      <c r="Z526" s="22"/>
      <c r="AD526" s="22"/>
      <c r="AJ526" s="22"/>
    </row>
    <row r="527" spans="26:36" ht="15.75" customHeight="1" x14ac:dyDescent="0.3">
      <c r="Z527" s="22"/>
      <c r="AD527" s="22"/>
      <c r="AJ527" s="22"/>
    </row>
    <row r="528" spans="26:36" ht="15.75" customHeight="1" x14ac:dyDescent="0.3">
      <c r="Z528" s="22"/>
      <c r="AD528" s="22"/>
      <c r="AJ528" s="22"/>
    </row>
    <row r="529" spans="26:36" ht="15.75" customHeight="1" x14ac:dyDescent="0.3">
      <c r="Z529" s="22"/>
      <c r="AD529" s="22"/>
      <c r="AJ529" s="22"/>
    </row>
    <row r="530" spans="26:36" ht="15.75" customHeight="1" x14ac:dyDescent="0.3">
      <c r="Z530" s="22"/>
      <c r="AD530" s="22"/>
      <c r="AJ530" s="22"/>
    </row>
    <row r="531" spans="26:36" ht="15.75" customHeight="1" x14ac:dyDescent="0.3">
      <c r="Z531" s="22"/>
      <c r="AD531" s="22"/>
      <c r="AJ531" s="22"/>
    </row>
    <row r="532" spans="26:36" ht="15.75" customHeight="1" x14ac:dyDescent="0.3">
      <c r="Z532" s="22"/>
      <c r="AD532" s="22"/>
      <c r="AJ532" s="22"/>
    </row>
    <row r="533" spans="26:36" ht="15.75" customHeight="1" x14ac:dyDescent="0.3">
      <c r="Z533" s="22"/>
      <c r="AD533" s="22"/>
      <c r="AJ533" s="22"/>
    </row>
    <row r="534" spans="26:36" ht="15.75" customHeight="1" x14ac:dyDescent="0.3">
      <c r="Z534" s="22"/>
      <c r="AD534" s="22"/>
      <c r="AJ534" s="22"/>
    </row>
    <row r="535" spans="26:36" ht="15.75" customHeight="1" x14ac:dyDescent="0.3">
      <c r="Z535" s="22"/>
      <c r="AD535" s="22"/>
      <c r="AJ535" s="22"/>
    </row>
    <row r="536" spans="26:36" ht="15.75" customHeight="1" x14ac:dyDescent="0.3">
      <c r="Z536" s="22"/>
      <c r="AD536" s="22"/>
      <c r="AJ536" s="22"/>
    </row>
    <row r="537" spans="26:36" ht="15.75" customHeight="1" x14ac:dyDescent="0.3">
      <c r="Z537" s="22"/>
      <c r="AD537" s="22"/>
      <c r="AJ537" s="22"/>
    </row>
    <row r="538" spans="26:36" ht="15.75" customHeight="1" x14ac:dyDescent="0.3">
      <c r="Z538" s="22"/>
      <c r="AD538" s="22"/>
      <c r="AJ538" s="22"/>
    </row>
    <row r="539" spans="26:36" ht="15.75" customHeight="1" x14ac:dyDescent="0.3">
      <c r="Z539" s="22"/>
      <c r="AD539" s="22"/>
      <c r="AJ539" s="22"/>
    </row>
    <row r="540" spans="26:36" ht="15.75" customHeight="1" x14ac:dyDescent="0.3">
      <c r="Z540" s="22"/>
      <c r="AD540" s="22"/>
      <c r="AJ540" s="22"/>
    </row>
    <row r="541" spans="26:36" ht="15.75" customHeight="1" x14ac:dyDescent="0.3">
      <c r="Z541" s="22"/>
      <c r="AD541" s="22"/>
      <c r="AJ541" s="22"/>
    </row>
    <row r="542" spans="26:36" ht="15.75" customHeight="1" x14ac:dyDescent="0.3">
      <c r="Z542" s="22"/>
      <c r="AD542" s="22"/>
      <c r="AJ542" s="22"/>
    </row>
    <row r="543" spans="26:36" ht="15.75" customHeight="1" x14ac:dyDescent="0.3">
      <c r="Z543" s="22"/>
      <c r="AD543" s="22"/>
      <c r="AJ543" s="22"/>
    </row>
    <row r="544" spans="26:36" ht="15.75" customHeight="1" x14ac:dyDescent="0.3">
      <c r="Z544" s="22"/>
      <c r="AD544" s="22"/>
      <c r="AJ544" s="22"/>
    </row>
    <row r="545" spans="26:36" ht="15.75" customHeight="1" x14ac:dyDescent="0.3">
      <c r="Z545" s="22"/>
      <c r="AD545" s="22"/>
      <c r="AJ545" s="22"/>
    </row>
    <row r="546" spans="26:36" ht="15.75" customHeight="1" x14ac:dyDescent="0.3">
      <c r="Z546" s="22"/>
      <c r="AD546" s="22"/>
      <c r="AJ546" s="22"/>
    </row>
    <row r="547" spans="26:36" ht="15.75" customHeight="1" x14ac:dyDescent="0.3">
      <c r="Z547" s="22"/>
      <c r="AD547" s="22"/>
      <c r="AJ547" s="22"/>
    </row>
    <row r="548" spans="26:36" ht="15.75" customHeight="1" x14ac:dyDescent="0.3">
      <c r="Z548" s="22"/>
      <c r="AD548" s="22"/>
      <c r="AJ548" s="22"/>
    </row>
    <row r="549" spans="26:36" ht="15.75" customHeight="1" x14ac:dyDescent="0.3">
      <c r="Z549" s="22"/>
      <c r="AD549" s="22"/>
      <c r="AJ549" s="22"/>
    </row>
    <row r="550" spans="26:36" ht="15.75" customHeight="1" x14ac:dyDescent="0.3">
      <c r="Z550" s="22"/>
      <c r="AD550" s="22"/>
      <c r="AJ550" s="22"/>
    </row>
    <row r="551" spans="26:36" ht="15.75" customHeight="1" x14ac:dyDescent="0.3">
      <c r="Z551" s="22"/>
      <c r="AD551" s="22"/>
      <c r="AJ551" s="22"/>
    </row>
    <row r="552" spans="26:36" ht="15.75" customHeight="1" x14ac:dyDescent="0.3">
      <c r="Z552" s="22"/>
      <c r="AD552" s="22"/>
      <c r="AJ552" s="22"/>
    </row>
    <row r="553" spans="26:36" ht="15.75" customHeight="1" x14ac:dyDescent="0.3">
      <c r="Z553" s="22"/>
      <c r="AD553" s="22"/>
      <c r="AJ553" s="22"/>
    </row>
    <row r="554" spans="26:36" ht="15.75" customHeight="1" x14ac:dyDescent="0.3">
      <c r="Z554" s="22"/>
      <c r="AD554" s="22"/>
      <c r="AJ554" s="22"/>
    </row>
    <row r="555" spans="26:36" ht="15.75" customHeight="1" x14ac:dyDescent="0.3">
      <c r="Z555" s="22"/>
      <c r="AD555" s="22"/>
      <c r="AJ555" s="22"/>
    </row>
    <row r="556" spans="26:36" ht="15.75" customHeight="1" x14ac:dyDescent="0.3">
      <c r="Z556" s="22"/>
      <c r="AD556" s="22"/>
      <c r="AJ556" s="22"/>
    </row>
    <row r="557" spans="26:36" ht="15.75" customHeight="1" x14ac:dyDescent="0.3">
      <c r="Z557" s="22"/>
      <c r="AD557" s="22"/>
      <c r="AJ557" s="22"/>
    </row>
    <row r="558" spans="26:36" ht="15.75" customHeight="1" x14ac:dyDescent="0.3">
      <c r="Z558" s="22"/>
      <c r="AD558" s="22"/>
      <c r="AJ558" s="22"/>
    </row>
    <row r="559" spans="26:36" ht="15.75" customHeight="1" x14ac:dyDescent="0.3">
      <c r="Z559" s="22"/>
      <c r="AD559" s="22"/>
      <c r="AJ559" s="22"/>
    </row>
    <row r="560" spans="26:36" ht="15.75" customHeight="1" x14ac:dyDescent="0.3">
      <c r="Z560" s="22"/>
      <c r="AD560" s="22"/>
      <c r="AJ560" s="22"/>
    </row>
    <row r="561" spans="26:36" ht="15.75" customHeight="1" x14ac:dyDescent="0.3">
      <c r="Z561" s="22"/>
      <c r="AD561" s="22"/>
      <c r="AJ561" s="22"/>
    </row>
    <row r="562" spans="26:36" ht="15.75" customHeight="1" x14ac:dyDescent="0.3">
      <c r="Z562" s="22"/>
      <c r="AD562" s="22"/>
      <c r="AJ562" s="22"/>
    </row>
    <row r="563" spans="26:36" ht="15.75" customHeight="1" x14ac:dyDescent="0.3">
      <c r="Z563" s="22"/>
      <c r="AD563" s="22"/>
      <c r="AJ563" s="22"/>
    </row>
    <row r="564" spans="26:36" ht="15.75" customHeight="1" x14ac:dyDescent="0.3">
      <c r="Z564" s="22"/>
      <c r="AD564" s="22"/>
      <c r="AJ564" s="22"/>
    </row>
    <row r="565" spans="26:36" ht="15.75" customHeight="1" x14ac:dyDescent="0.3">
      <c r="Z565" s="22"/>
      <c r="AD565" s="22"/>
      <c r="AJ565" s="22"/>
    </row>
    <row r="566" spans="26:36" ht="15.75" customHeight="1" x14ac:dyDescent="0.3">
      <c r="Z566" s="22"/>
      <c r="AD566" s="22"/>
      <c r="AJ566" s="22"/>
    </row>
    <row r="567" spans="26:36" ht="15.75" customHeight="1" x14ac:dyDescent="0.3">
      <c r="Z567" s="22"/>
      <c r="AD567" s="22"/>
      <c r="AJ567" s="22"/>
    </row>
    <row r="568" spans="26:36" ht="15.75" customHeight="1" x14ac:dyDescent="0.3">
      <c r="Z568" s="22"/>
      <c r="AD568" s="22"/>
      <c r="AJ568" s="22"/>
    </row>
    <row r="569" spans="26:36" ht="15.75" customHeight="1" x14ac:dyDescent="0.3">
      <c r="Z569" s="22"/>
      <c r="AD569" s="22"/>
      <c r="AJ569" s="22"/>
    </row>
    <row r="570" spans="26:36" ht="15.75" customHeight="1" x14ac:dyDescent="0.3">
      <c r="Z570" s="22"/>
      <c r="AD570" s="22"/>
      <c r="AJ570" s="22"/>
    </row>
    <row r="571" spans="26:36" ht="15.75" customHeight="1" x14ac:dyDescent="0.3">
      <c r="Z571" s="22"/>
      <c r="AD571" s="22"/>
      <c r="AJ571" s="22"/>
    </row>
    <row r="572" spans="26:36" ht="15.75" customHeight="1" x14ac:dyDescent="0.3">
      <c r="Z572" s="22"/>
      <c r="AD572" s="22"/>
      <c r="AJ572" s="22"/>
    </row>
    <row r="573" spans="26:36" ht="15.75" customHeight="1" x14ac:dyDescent="0.3">
      <c r="Z573" s="22"/>
      <c r="AD573" s="22"/>
      <c r="AJ573" s="22"/>
    </row>
    <row r="574" spans="26:36" ht="15.75" customHeight="1" x14ac:dyDescent="0.3">
      <c r="Z574" s="22"/>
      <c r="AD574" s="22"/>
      <c r="AJ574" s="22"/>
    </row>
    <row r="575" spans="26:36" ht="15.75" customHeight="1" x14ac:dyDescent="0.3">
      <c r="Z575" s="22"/>
      <c r="AD575" s="22"/>
      <c r="AJ575" s="22"/>
    </row>
    <row r="576" spans="26:36" ht="15.75" customHeight="1" x14ac:dyDescent="0.3">
      <c r="Z576" s="22"/>
      <c r="AD576" s="22"/>
      <c r="AJ576" s="22"/>
    </row>
    <row r="577" spans="26:36" ht="15.75" customHeight="1" x14ac:dyDescent="0.3">
      <c r="Z577" s="22"/>
      <c r="AD577" s="22"/>
      <c r="AJ577" s="22"/>
    </row>
    <row r="578" spans="26:36" ht="15.75" customHeight="1" x14ac:dyDescent="0.3">
      <c r="Z578" s="22"/>
      <c r="AD578" s="22"/>
      <c r="AJ578" s="22"/>
    </row>
    <row r="579" spans="26:36" ht="15.75" customHeight="1" x14ac:dyDescent="0.3">
      <c r="Z579" s="22"/>
      <c r="AD579" s="22"/>
      <c r="AJ579" s="22"/>
    </row>
    <row r="580" spans="26:36" ht="15.75" customHeight="1" x14ac:dyDescent="0.3">
      <c r="Z580" s="22"/>
      <c r="AD580" s="22"/>
      <c r="AJ580" s="22"/>
    </row>
    <row r="581" spans="26:36" ht="15.75" customHeight="1" x14ac:dyDescent="0.3">
      <c r="Z581" s="22"/>
      <c r="AD581" s="22"/>
      <c r="AJ581" s="22"/>
    </row>
    <row r="582" spans="26:36" ht="15.75" customHeight="1" x14ac:dyDescent="0.3">
      <c r="Z582" s="22"/>
      <c r="AD582" s="22"/>
      <c r="AJ582" s="22"/>
    </row>
    <row r="583" spans="26:36" ht="15.75" customHeight="1" x14ac:dyDescent="0.3">
      <c r="Z583" s="22"/>
      <c r="AD583" s="22"/>
      <c r="AJ583" s="22"/>
    </row>
    <row r="584" spans="26:36" ht="15.75" customHeight="1" x14ac:dyDescent="0.3">
      <c r="Z584" s="22"/>
      <c r="AD584" s="22"/>
      <c r="AJ584" s="22"/>
    </row>
    <row r="585" spans="26:36" ht="15.75" customHeight="1" x14ac:dyDescent="0.3">
      <c r="Z585" s="22"/>
      <c r="AD585" s="22"/>
      <c r="AJ585" s="22"/>
    </row>
    <row r="586" spans="26:36" ht="15.75" customHeight="1" x14ac:dyDescent="0.3">
      <c r="Z586" s="22"/>
      <c r="AD586" s="22"/>
      <c r="AJ586" s="22"/>
    </row>
    <row r="587" spans="26:36" ht="15.75" customHeight="1" x14ac:dyDescent="0.3">
      <c r="Z587" s="22"/>
      <c r="AD587" s="22"/>
      <c r="AJ587" s="22"/>
    </row>
    <row r="588" spans="26:36" ht="15.75" customHeight="1" x14ac:dyDescent="0.3">
      <c r="Z588" s="22"/>
      <c r="AD588" s="22"/>
      <c r="AJ588" s="22"/>
    </row>
    <row r="589" spans="26:36" ht="15.75" customHeight="1" x14ac:dyDescent="0.3">
      <c r="Z589" s="22"/>
      <c r="AD589" s="22"/>
      <c r="AJ589" s="22"/>
    </row>
    <row r="590" spans="26:36" ht="15.75" customHeight="1" x14ac:dyDescent="0.3">
      <c r="Z590" s="22"/>
      <c r="AD590" s="22"/>
      <c r="AJ590" s="22"/>
    </row>
    <row r="591" spans="26:36" ht="15.75" customHeight="1" x14ac:dyDescent="0.3">
      <c r="Z591" s="22"/>
      <c r="AD591" s="22"/>
      <c r="AJ591" s="22"/>
    </row>
    <row r="592" spans="26:36" ht="15.75" customHeight="1" x14ac:dyDescent="0.3">
      <c r="Z592" s="22"/>
      <c r="AD592" s="22"/>
      <c r="AJ592" s="22"/>
    </row>
    <row r="593" spans="26:36" ht="15.75" customHeight="1" x14ac:dyDescent="0.3">
      <c r="Z593" s="22"/>
      <c r="AD593" s="22"/>
      <c r="AJ593" s="22"/>
    </row>
    <row r="594" spans="26:36" ht="15.75" customHeight="1" x14ac:dyDescent="0.3">
      <c r="Z594" s="22"/>
      <c r="AD594" s="22"/>
      <c r="AJ594" s="22"/>
    </row>
    <row r="595" spans="26:36" ht="15.75" customHeight="1" x14ac:dyDescent="0.3">
      <c r="Z595" s="22"/>
      <c r="AD595" s="22"/>
      <c r="AJ595" s="22"/>
    </row>
    <row r="596" spans="26:36" ht="15.75" customHeight="1" x14ac:dyDescent="0.3">
      <c r="Z596" s="22"/>
      <c r="AD596" s="22"/>
      <c r="AJ596" s="22"/>
    </row>
    <row r="597" spans="26:36" ht="15.75" customHeight="1" x14ac:dyDescent="0.3">
      <c r="Z597" s="22"/>
      <c r="AD597" s="22"/>
      <c r="AJ597" s="22"/>
    </row>
    <row r="598" spans="26:36" ht="15.75" customHeight="1" x14ac:dyDescent="0.3">
      <c r="Z598" s="22"/>
      <c r="AD598" s="22"/>
      <c r="AJ598" s="22"/>
    </row>
    <row r="599" spans="26:36" ht="15.75" customHeight="1" x14ac:dyDescent="0.3">
      <c r="Z599" s="22"/>
      <c r="AD599" s="22"/>
      <c r="AJ599" s="22"/>
    </row>
    <row r="600" spans="26:36" ht="15.75" customHeight="1" x14ac:dyDescent="0.3">
      <c r="Z600" s="22"/>
      <c r="AD600" s="22"/>
      <c r="AJ600" s="22"/>
    </row>
    <row r="601" spans="26:36" ht="15.75" customHeight="1" x14ac:dyDescent="0.3">
      <c r="Z601" s="22"/>
      <c r="AD601" s="22"/>
      <c r="AJ601" s="22"/>
    </row>
    <row r="602" spans="26:36" ht="15.75" customHeight="1" x14ac:dyDescent="0.3">
      <c r="Z602" s="22"/>
      <c r="AD602" s="22"/>
      <c r="AJ602" s="22"/>
    </row>
    <row r="603" spans="26:36" ht="15.75" customHeight="1" x14ac:dyDescent="0.3">
      <c r="Z603" s="22"/>
      <c r="AD603" s="22"/>
      <c r="AJ603" s="22"/>
    </row>
    <row r="604" spans="26:36" ht="15.75" customHeight="1" x14ac:dyDescent="0.3">
      <c r="Z604" s="22"/>
      <c r="AD604" s="22"/>
      <c r="AJ604" s="22"/>
    </row>
    <row r="605" spans="26:36" ht="15.75" customHeight="1" x14ac:dyDescent="0.3">
      <c r="Z605" s="22"/>
      <c r="AD605" s="22"/>
      <c r="AJ605" s="22"/>
    </row>
    <row r="606" spans="26:36" ht="15.75" customHeight="1" x14ac:dyDescent="0.3">
      <c r="Z606" s="22"/>
      <c r="AD606" s="22"/>
      <c r="AJ606" s="22"/>
    </row>
    <row r="607" spans="26:36" ht="15.75" customHeight="1" x14ac:dyDescent="0.3">
      <c r="Z607" s="22"/>
      <c r="AD607" s="22"/>
      <c r="AJ607" s="22"/>
    </row>
    <row r="608" spans="26:36" ht="15.75" customHeight="1" x14ac:dyDescent="0.3">
      <c r="Z608" s="22"/>
      <c r="AD608" s="22"/>
      <c r="AJ608" s="22"/>
    </row>
    <row r="609" spans="26:36" ht="15.75" customHeight="1" x14ac:dyDescent="0.3">
      <c r="Z609" s="22"/>
      <c r="AD609" s="22"/>
      <c r="AJ609" s="22"/>
    </row>
    <row r="610" spans="26:36" ht="15.75" customHeight="1" x14ac:dyDescent="0.3">
      <c r="Z610" s="22"/>
      <c r="AD610" s="22"/>
      <c r="AJ610" s="22"/>
    </row>
    <row r="611" spans="26:36" ht="15.75" customHeight="1" x14ac:dyDescent="0.3">
      <c r="Z611" s="22"/>
      <c r="AD611" s="22"/>
      <c r="AJ611" s="22"/>
    </row>
    <row r="612" spans="26:36" ht="15.75" customHeight="1" x14ac:dyDescent="0.3">
      <c r="Z612" s="22"/>
      <c r="AD612" s="22"/>
      <c r="AJ612" s="22"/>
    </row>
    <row r="613" spans="26:36" ht="15.75" customHeight="1" x14ac:dyDescent="0.3">
      <c r="Z613" s="22"/>
      <c r="AD613" s="22"/>
      <c r="AJ613" s="22"/>
    </row>
    <row r="614" spans="26:36" ht="15.75" customHeight="1" x14ac:dyDescent="0.3">
      <c r="Z614" s="22"/>
      <c r="AD614" s="22"/>
      <c r="AJ614" s="22"/>
    </row>
    <row r="615" spans="26:36" ht="15.75" customHeight="1" x14ac:dyDescent="0.3">
      <c r="Z615" s="22"/>
      <c r="AD615" s="22"/>
      <c r="AJ615" s="22"/>
    </row>
    <row r="616" spans="26:36" ht="15.75" customHeight="1" x14ac:dyDescent="0.3">
      <c r="Z616" s="22"/>
      <c r="AD616" s="22"/>
      <c r="AJ616" s="22"/>
    </row>
    <row r="617" spans="26:36" ht="15.75" customHeight="1" x14ac:dyDescent="0.3">
      <c r="Z617" s="22"/>
      <c r="AD617" s="22"/>
      <c r="AJ617" s="22"/>
    </row>
    <row r="618" spans="26:36" ht="15.75" customHeight="1" x14ac:dyDescent="0.3">
      <c r="Z618" s="22"/>
      <c r="AD618" s="22"/>
      <c r="AJ618" s="22"/>
    </row>
    <row r="619" spans="26:36" ht="15.75" customHeight="1" x14ac:dyDescent="0.3">
      <c r="Z619" s="22"/>
      <c r="AD619" s="22"/>
      <c r="AJ619" s="22"/>
    </row>
    <row r="620" spans="26:36" ht="15.75" customHeight="1" x14ac:dyDescent="0.3">
      <c r="Z620" s="22"/>
      <c r="AD620" s="22"/>
      <c r="AJ620" s="22"/>
    </row>
    <row r="621" spans="26:36" ht="15.75" customHeight="1" x14ac:dyDescent="0.3">
      <c r="Z621" s="22"/>
      <c r="AD621" s="22"/>
      <c r="AJ621" s="22"/>
    </row>
    <row r="622" spans="26:36" ht="15.75" customHeight="1" x14ac:dyDescent="0.3">
      <c r="Z622" s="22"/>
      <c r="AD622" s="22"/>
      <c r="AJ622" s="22"/>
    </row>
    <row r="623" spans="26:36" ht="15.75" customHeight="1" x14ac:dyDescent="0.3">
      <c r="Z623" s="22"/>
      <c r="AD623" s="22"/>
      <c r="AJ623" s="22"/>
    </row>
    <row r="624" spans="26:36" ht="15.75" customHeight="1" x14ac:dyDescent="0.3">
      <c r="Z624" s="22"/>
      <c r="AD624" s="22"/>
      <c r="AJ624" s="22"/>
    </row>
    <row r="625" spans="26:36" ht="15.75" customHeight="1" x14ac:dyDescent="0.3">
      <c r="Z625" s="22"/>
      <c r="AD625" s="22"/>
      <c r="AJ625" s="22"/>
    </row>
    <row r="626" spans="26:36" ht="15.75" customHeight="1" x14ac:dyDescent="0.3">
      <c r="Z626" s="22"/>
      <c r="AD626" s="22"/>
      <c r="AJ626" s="22"/>
    </row>
    <row r="627" spans="26:36" ht="15.75" customHeight="1" x14ac:dyDescent="0.3">
      <c r="Z627" s="22"/>
      <c r="AD627" s="22"/>
      <c r="AJ627" s="22"/>
    </row>
    <row r="628" spans="26:36" ht="15.75" customHeight="1" x14ac:dyDescent="0.3">
      <c r="Z628" s="22"/>
      <c r="AD628" s="22"/>
      <c r="AJ628" s="22"/>
    </row>
    <row r="629" spans="26:36" ht="15.75" customHeight="1" x14ac:dyDescent="0.3">
      <c r="Z629" s="22"/>
      <c r="AD629" s="22"/>
      <c r="AJ629" s="22"/>
    </row>
    <row r="630" spans="26:36" ht="15.75" customHeight="1" x14ac:dyDescent="0.3">
      <c r="Z630" s="22"/>
      <c r="AD630" s="22"/>
      <c r="AJ630" s="22"/>
    </row>
    <row r="631" spans="26:36" ht="15.75" customHeight="1" x14ac:dyDescent="0.3">
      <c r="Z631" s="22"/>
      <c r="AD631" s="22"/>
      <c r="AJ631" s="22"/>
    </row>
    <row r="632" spans="26:36" ht="15.75" customHeight="1" x14ac:dyDescent="0.3">
      <c r="Z632" s="22"/>
      <c r="AD632" s="22"/>
      <c r="AJ632" s="22"/>
    </row>
    <row r="633" spans="26:36" ht="15.75" customHeight="1" x14ac:dyDescent="0.3">
      <c r="Z633" s="22"/>
      <c r="AD633" s="22"/>
      <c r="AJ633" s="22"/>
    </row>
    <row r="634" spans="26:36" ht="15.75" customHeight="1" x14ac:dyDescent="0.3">
      <c r="Z634" s="22"/>
      <c r="AD634" s="22"/>
      <c r="AJ634" s="22"/>
    </row>
    <row r="635" spans="26:36" ht="15.75" customHeight="1" x14ac:dyDescent="0.3">
      <c r="Z635" s="22"/>
      <c r="AD635" s="22"/>
      <c r="AJ635" s="22"/>
    </row>
    <row r="636" spans="26:36" ht="15.75" customHeight="1" x14ac:dyDescent="0.3">
      <c r="Z636" s="22"/>
      <c r="AD636" s="22"/>
      <c r="AJ636" s="22"/>
    </row>
    <row r="637" spans="26:36" ht="15.75" customHeight="1" x14ac:dyDescent="0.3">
      <c r="Z637" s="22"/>
      <c r="AD637" s="22"/>
      <c r="AJ637" s="22"/>
    </row>
    <row r="638" spans="26:36" ht="15.75" customHeight="1" x14ac:dyDescent="0.3">
      <c r="Z638" s="22"/>
      <c r="AD638" s="22"/>
      <c r="AJ638" s="22"/>
    </row>
    <row r="639" spans="26:36" ht="15.75" customHeight="1" x14ac:dyDescent="0.3">
      <c r="Z639" s="22"/>
      <c r="AD639" s="22"/>
      <c r="AJ639" s="22"/>
    </row>
    <row r="640" spans="26:36" ht="15.75" customHeight="1" x14ac:dyDescent="0.3">
      <c r="Z640" s="22"/>
      <c r="AD640" s="22"/>
      <c r="AJ640" s="22"/>
    </row>
    <row r="641" spans="26:36" ht="15.75" customHeight="1" x14ac:dyDescent="0.3">
      <c r="Z641" s="22"/>
      <c r="AD641" s="22"/>
      <c r="AJ641" s="22"/>
    </row>
    <row r="642" spans="26:36" ht="15.75" customHeight="1" x14ac:dyDescent="0.3">
      <c r="Z642" s="22"/>
      <c r="AD642" s="22"/>
      <c r="AJ642" s="22"/>
    </row>
    <row r="643" spans="26:36" ht="15.75" customHeight="1" x14ac:dyDescent="0.3">
      <c r="Z643" s="22"/>
      <c r="AD643" s="22"/>
      <c r="AJ643" s="22"/>
    </row>
    <row r="644" spans="26:36" ht="15.75" customHeight="1" x14ac:dyDescent="0.3">
      <c r="Z644" s="22"/>
      <c r="AD644" s="22"/>
      <c r="AJ644" s="22"/>
    </row>
    <row r="645" spans="26:36" ht="15.75" customHeight="1" x14ac:dyDescent="0.3">
      <c r="Z645" s="22"/>
      <c r="AD645" s="22"/>
      <c r="AJ645" s="22"/>
    </row>
    <row r="646" spans="26:36" ht="15.75" customHeight="1" x14ac:dyDescent="0.3">
      <c r="Z646" s="22"/>
      <c r="AD646" s="22"/>
      <c r="AJ646" s="22"/>
    </row>
    <row r="647" spans="26:36" ht="15.75" customHeight="1" x14ac:dyDescent="0.3">
      <c r="Z647" s="22"/>
      <c r="AD647" s="22"/>
      <c r="AJ647" s="22"/>
    </row>
    <row r="648" spans="26:36" ht="15.75" customHeight="1" x14ac:dyDescent="0.3">
      <c r="Z648" s="22"/>
      <c r="AD648" s="22"/>
      <c r="AJ648" s="22"/>
    </row>
    <row r="649" spans="26:36" ht="15.75" customHeight="1" x14ac:dyDescent="0.3">
      <c r="Z649" s="22"/>
      <c r="AD649" s="22"/>
      <c r="AJ649" s="22"/>
    </row>
    <row r="650" spans="26:36" ht="15.75" customHeight="1" x14ac:dyDescent="0.3">
      <c r="Z650" s="22"/>
      <c r="AD650" s="22"/>
      <c r="AJ650" s="22"/>
    </row>
    <row r="651" spans="26:36" ht="15.75" customHeight="1" x14ac:dyDescent="0.3">
      <c r="Z651" s="22"/>
      <c r="AD651" s="22"/>
      <c r="AJ651" s="22"/>
    </row>
    <row r="652" spans="26:36" ht="15.75" customHeight="1" x14ac:dyDescent="0.3">
      <c r="Z652" s="22"/>
      <c r="AD652" s="22"/>
      <c r="AJ652" s="22"/>
    </row>
    <row r="653" spans="26:36" ht="15.75" customHeight="1" x14ac:dyDescent="0.3">
      <c r="Z653" s="22"/>
      <c r="AD653" s="22"/>
      <c r="AJ653" s="22"/>
    </row>
    <row r="654" spans="26:36" ht="15.75" customHeight="1" x14ac:dyDescent="0.3">
      <c r="Z654" s="22"/>
      <c r="AD654" s="22"/>
      <c r="AJ654" s="22"/>
    </row>
    <row r="655" spans="26:36" ht="15.75" customHeight="1" x14ac:dyDescent="0.3">
      <c r="Z655" s="22"/>
      <c r="AD655" s="22"/>
      <c r="AJ655" s="22"/>
    </row>
    <row r="656" spans="26:36" ht="15.75" customHeight="1" x14ac:dyDescent="0.3">
      <c r="Z656" s="22"/>
      <c r="AD656" s="22"/>
      <c r="AJ656" s="22"/>
    </row>
    <row r="657" spans="26:36" ht="15.75" customHeight="1" x14ac:dyDescent="0.3">
      <c r="Z657" s="22"/>
      <c r="AD657" s="22"/>
      <c r="AJ657" s="22"/>
    </row>
    <row r="658" spans="26:36" ht="15.75" customHeight="1" x14ac:dyDescent="0.3">
      <c r="Z658" s="22"/>
      <c r="AD658" s="22"/>
      <c r="AJ658" s="22"/>
    </row>
    <row r="659" spans="26:36" ht="15.75" customHeight="1" x14ac:dyDescent="0.3">
      <c r="Z659" s="22"/>
      <c r="AD659" s="22"/>
      <c r="AJ659" s="22"/>
    </row>
    <row r="660" spans="26:36" ht="15.75" customHeight="1" x14ac:dyDescent="0.3">
      <c r="Z660" s="22"/>
      <c r="AD660" s="22"/>
      <c r="AJ660" s="22"/>
    </row>
    <row r="661" spans="26:36" ht="15.75" customHeight="1" x14ac:dyDescent="0.3">
      <c r="Z661" s="22"/>
      <c r="AD661" s="22"/>
      <c r="AJ661" s="22"/>
    </row>
    <row r="662" spans="26:36" ht="15.75" customHeight="1" x14ac:dyDescent="0.3">
      <c r="Z662" s="22"/>
      <c r="AD662" s="22"/>
      <c r="AJ662" s="22"/>
    </row>
    <row r="663" spans="26:36" ht="15.75" customHeight="1" x14ac:dyDescent="0.3">
      <c r="Z663" s="22"/>
      <c r="AD663" s="22"/>
      <c r="AJ663" s="22"/>
    </row>
    <row r="664" spans="26:36" ht="15.75" customHeight="1" x14ac:dyDescent="0.3">
      <c r="Z664" s="22"/>
      <c r="AD664" s="22"/>
      <c r="AJ664" s="22"/>
    </row>
    <row r="665" spans="26:36" ht="15.75" customHeight="1" x14ac:dyDescent="0.3">
      <c r="Z665" s="22"/>
      <c r="AD665" s="22"/>
      <c r="AJ665" s="22"/>
    </row>
    <row r="666" spans="26:36" ht="15.75" customHeight="1" x14ac:dyDescent="0.3">
      <c r="Z666" s="22"/>
      <c r="AD666" s="22"/>
      <c r="AJ666" s="22"/>
    </row>
    <row r="667" spans="26:36" ht="15.75" customHeight="1" x14ac:dyDescent="0.3">
      <c r="Z667" s="22"/>
      <c r="AD667" s="22"/>
      <c r="AJ667" s="22"/>
    </row>
    <row r="668" spans="26:36" ht="15.75" customHeight="1" x14ac:dyDescent="0.3">
      <c r="Z668" s="22"/>
      <c r="AD668" s="22"/>
      <c r="AJ668" s="22"/>
    </row>
    <row r="669" spans="26:36" ht="15.75" customHeight="1" x14ac:dyDescent="0.3">
      <c r="Z669" s="22"/>
      <c r="AD669" s="22"/>
      <c r="AJ669" s="22"/>
    </row>
    <row r="670" spans="26:36" ht="15.75" customHeight="1" x14ac:dyDescent="0.3">
      <c r="Z670" s="22"/>
      <c r="AD670" s="22"/>
      <c r="AJ670" s="22"/>
    </row>
    <row r="671" spans="26:36" ht="15.75" customHeight="1" x14ac:dyDescent="0.3">
      <c r="Z671" s="22"/>
      <c r="AD671" s="22"/>
      <c r="AJ671" s="22"/>
    </row>
    <row r="672" spans="26:36" ht="15.75" customHeight="1" x14ac:dyDescent="0.3">
      <c r="Z672" s="22"/>
      <c r="AD672" s="22"/>
      <c r="AJ672" s="22"/>
    </row>
    <row r="673" spans="26:36" ht="15.75" customHeight="1" x14ac:dyDescent="0.3">
      <c r="Z673" s="22"/>
      <c r="AD673" s="22"/>
      <c r="AJ673" s="22"/>
    </row>
    <row r="674" spans="26:36" ht="15.75" customHeight="1" x14ac:dyDescent="0.3">
      <c r="Z674" s="22"/>
      <c r="AD674" s="22"/>
      <c r="AJ674" s="22"/>
    </row>
    <row r="675" spans="26:36" ht="15.75" customHeight="1" x14ac:dyDescent="0.3">
      <c r="Z675" s="22"/>
      <c r="AD675" s="22"/>
      <c r="AJ675" s="22"/>
    </row>
    <row r="676" spans="26:36" ht="15.75" customHeight="1" x14ac:dyDescent="0.3">
      <c r="Z676" s="22"/>
      <c r="AD676" s="22"/>
      <c r="AJ676" s="22"/>
    </row>
    <row r="677" spans="26:36" ht="15.75" customHeight="1" x14ac:dyDescent="0.3">
      <c r="Z677" s="22"/>
      <c r="AD677" s="22"/>
      <c r="AJ677" s="22"/>
    </row>
    <row r="678" spans="26:36" ht="15.75" customHeight="1" x14ac:dyDescent="0.3">
      <c r="Z678" s="22"/>
      <c r="AD678" s="22"/>
      <c r="AJ678" s="22"/>
    </row>
    <row r="679" spans="26:36" ht="15.75" customHeight="1" x14ac:dyDescent="0.3">
      <c r="Z679" s="22"/>
      <c r="AD679" s="22"/>
      <c r="AJ679" s="22"/>
    </row>
    <row r="680" spans="26:36" ht="15.75" customHeight="1" x14ac:dyDescent="0.3">
      <c r="Z680" s="22"/>
      <c r="AD680" s="22"/>
      <c r="AJ680" s="22"/>
    </row>
    <row r="681" spans="26:36" ht="15.75" customHeight="1" x14ac:dyDescent="0.3">
      <c r="Z681" s="22"/>
      <c r="AD681" s="22"/>
      <c r="AJ681" s="22"/>
    </row>
    <row r="682" spans="26:36" ht="15.75" customHeight="1" x14ac:dyDescent="0.3">
      <c r="Z682" s="22"/>
      <c r="AD682" s="22"/>
      <c r="AJ682" s="22"/>
    </row>
    <row r="683" spans="26:36" ht="15.75" customHeight="1" x14ac:dyDescent="0.3">
      <c r="Z683" s="22"/>
      <c r="AD683" s="22"/>
      <c r="AJ683" s="22"/>
    </row>
    <row r="684" spans="26:36" ht="15.75" customHeight="1" x14ac:dyDescent="0.3">
      <c r="Z684" s="22"/>
      <c r="AD684" s="22"/>
      <c r="AJ684" s="22"/>
    </row>
    <row r="685" spans="26:36" ht="15.75" customHeight="1" x14ac:dyDescent="0.3">
      <c r="Z685" s="22"/>
      <c r="AD685" s="22"/>
      <c r="AJ685" s="22"/>
    </row>
    <row r="686" spans="26:36" ht="15.75" customHeight="1" x14ac:dyDescent="0.3">
      <c r="Z686" s="22"/>
      <c r="AD686" s="22"/>
      <c r="AJ686" s="22"/>
    </row>
    <row r="687" spans="26:36" ht="15.75" customHeight="1" x14ac:dyDescent="0.3">
      <c r="Z687" s="22"/>
      <c r="AD687" s="22"/>
      <c r="AJ687" s="22"/>
    </row>
    <row r="688" spans="26:36" ht="15.75" customHeight="1" x14ac:dyDescent="0.3">
      <c r="Z688" s="22"/>
      <c r="AD688" s="22"/>
      <c r="AJ688" s="22"/>
    </row>
    <row r="689" spans="26:36" ht="15.75" customHeight="1" x14ac:dyDescent="0.3">
      <c r="Z689" s="22"/>
      <c r="AD689" s="22"/>
      <c r="AJ689" s="22"/>
    </row>
    <row r="690" spans="26:36" ht="15.75" customHeight="1" x14ac:dyDescent="0.3">
      <c r="Z690" s="22"/>
      <c r="AD690" s="22"/>
      <c r="AJ690" s="22"/>
    </row>
    <row r="691" spans="26:36" ht="15.75" customHeight="1" x14ac:dyDescent="0.3">
      <c r="Z691" s="22"/>
      <c r="AD691" s="22"/>
      <c r="AJ691" s="22"/>
    </row>
    <row r="692" spans="26:36" ht="15.75" customHeight="1" x14ac:dyDescent="0.3">
      <c r="Z692" s="22"/>
      <c r="AD692" s="22"/>
      <c r="AJ692" s="22"/>
    </row>
    <row r="693" spans="26:36" ht="15.75" customHeight="1" x14ac:dyDescent="0.3">
      <c r="Z693" s="22"/>
      <c r="AD693" s="22"/>
      <c r="AJ693" s="22"/>
    </row>
    <row r="694" spans="26:36" ht="15.75" customHeight="1" x14ac:dyDescent="0.3">
      <c r="Z694" s="22"/>
      <c r="AD694" s="22"/>
      <c r="AJ694" s="22"/>
    </row>
    <row r="695" spans="26:36" ht="15.75" customHeight="1" x14ac:dyDescent="0.3">
      <c r="Z695" s="22"/>
      <c r="AD695" s="22"/>
      <c r="AJ695" s="22"/>
    </row>
    <row r="696" spans="26:36" ht="15.75" customHeight="1" x14ac:dyDescent="0.3">
      <c r="Z696" s="22"/>
      <c r="AD696" s="22"/>
      <c r="AJ696" s="22"/>
    </row>
    <row r="697" spans="26:36" ht="15.75" customHeight="1" x14ac:dyDescent="0.3">
      <c r="Z697" s="22"/>
      <c r="AD697" s="22"/>
      <c r="AJ697" s="22"/>
    </row>
    <row r="698" spans="26:36" ht="15.75" customHeight="1" x14ac:dyDescent="0.3">
      <c r="Z698" s="22"/>
      <c r="AD698" s="22"/>
      <c r="AJ698" s="22"/>
    </row>
    <row r="699" spans="26:36" ht="15.75" customHeight="1" x14ac:dyDescent="0.3">
      <c r="Z699" s="22"/>
      <c r="AD699" s="22"/>
      <c r="AJ699" s="22"/>
    </row>
    <row r="700" spans="26:36" ht="15.75" customHeight="1" x14ac:dyDescent="0.3">
      <c r="Z700" s="22"/>
      <c r="AD700" s="22"/>
      <c r="AJ700" s="22"/>
    </row>
    <row r="701" spans="26:36" ht="15.75" customHeight="1" x14ac:dyDescent="0.3">
      <c r="Z701" s="22"/>
      <c r="AD701" s="22"/>
      <c r="AJ701" s="22"/>
    </row>
    <row r="702" spans="26:36" ht="15.75" customHeight="1" x14ac:dyDescent="0.3">
      <c r="Z702" s="22"/>
      <c r="AD702" s="22"/>
      <c r="AJ702" s="22"/>
    </row>
    <row r="703" spans="26:36" ht="15.75" customHeight="1" x14ac:dyDescent="0.3">
      <c r="Z703" s="22"/>
      <c r="AD703" s="22"/>
      <c r="AJ703" s="22"/>
    </row>
    <row r="704" spans="26:36" ht="15.75" customHeight="1" x14ac:dyDescent="0.3">
      <c r="Z704" s="22"/>
      <c r="AD704" s="22"/>
      <c r="AJ704" s="22"/>
    </row>
    <row r="705" spans="26:36" ht="15.75" customHeight="1" x14ac:dyDescent="0.3">
      <c r="Z705" s="22"/>
      <c r="AD705" s="22"/>
      <c r="AJ705" s="22"/>
    </row>
    <row r="706" spans="26:36" ht="15.75" customHeight="1" x14ac:dyDescent="0.3">
      <c r="Z706" s="22"/>
      <c r="AD706" s="22"/>
      <c r="AJ706" s="22"/>
    </row>
    <row r="707" spans="26:36" ht="15.75" customHeight="1" x14ac:dyDescent="0.3">
      <c r="Z707" s="22"/>
      <c r="AD707" s="22"/>
      <c r="AJ707" s="22"/>
    </row>
    <row r="708" spans="26:36" ht="15.75" customHeight="1" x14ac:dyDescent="0.3">
      <c r="Z708" s="22"/>
      <c r="AD708" s="22"/>
      <c r="AJ708" s="22"/>
    </row>
    <row r="709" spans="26:36" ht="15.75" customHeight="1" x14ac:dyDescent="0.3">
      <c r="Z709" s="22"/>
      <c r="AD709" s="22"/>
      <c r="AJ709" s="22"/>
    </row>
    <row r="710" spans="26:36" ht="15.75" customHeight="1" x14ac:dyDescent="0.3">
      <c r="Z710" s="22"/>
      <c r="AD710" s="22"/>
      <c r="AJ710" s="22"/>
    </row>
    <row r="711" spans="26:36" ht="15.75" customHeight="1" x14ac:dyDescent="0.3">
      <c r="Z711" s="22"/>
      <c r="AD711" s="22"/>
      <c r="AJ711" s="22"/>
    </row>
    <row r="712" spans="26:36" ht="15.75" customHeight="1" x14ac:dyDescent="0.3">
      <c r="Z712" s="22"/>
      <c r="AD712" s="22"/>
      <c r="AJ712" s="22"/>
    </row>
    <row r="713" spans="26:36" ht="15.75" customHeight="1" x14ac:dyDescent="0.3">
      <c r="Z713" s="22"/>
      <c r="AD713" s="22"/>
      <c r="AJ713" s="22"/>
    </row>
    <row r="714" spans="26:36" ht="15.75" customHeight="1" x14ac:dyDescent="0.3">
      <c r="Z714" s="22"/>
      <c r="AD714" s="22"/>
      <c r="AJ714" s="22"/>
    </row>
    <row r="715" spans="26:36" ht="15.75" customHeight="1" x14ac:dyDescent="0.3">
      <c r="Z715" s="22"/>
      <c r="AD715" s="22"/>
      <c r="AJ715" s="22"/>
    </row>
    <row r="716" spans="26:36" ht="15.75" customHeight="1" x14ac:dyDescent="0.3">
      <c r="Z716" s="22"/>
      <c r="AD716" s="22"/>
      <c r="AJ716" s="22"/>
    </row>
    <row r="717" spans="26:36" ht="15.75" customHeight="1" x14ac:dyDescent="0.3">
      <c r="Z717" s="22"/>
      <c r="AD717" s="22"/>
      <c r="AJ717" s="22"/>
    </row>
    <row r="718" spans="26:36" ht="15.75" customHeight="1" x14ac:dyDescent="0.3">
      <c r="Z718" s="22"/>
      <c r="AD718" s="22"/>
      <c r="AJ718" s="22"/>
    </row>
    <row r="719" spans="26:36" ht="15.75" customHeight="1" x14ac:dyDescent="0.3">
      <c r="Z719" s="22"/>
      <c r="AD719" s="22"/>
      <c r="AJ719" s="22"/>
    </row>
    <row r="720" spans="26:36" ht="15.75" customHeight="1" x14ac:dyDescent="0.3">
      <c r="Z720" s="22"/>
      <c r="AD720" s="22"/>
      <c r="AJ720" s="22"/>
    </row>
    <row r="721" spans="26:36" ht="15.75" customHeight="1" x14ac:dyDescent="0.3">
      <c r="Z721" s="22"/>
      <c r="AD721" s="22"/>
      <c r="AJ721" s="22"/>
    </row>
    <row r="722" spans="26:36" ht="15.75" customHeight="1" x14ac:dyDescent="0.3">
      <c r="Z722" s="22"/>
      <c r="AD722" s="22"/>
      <c r="AJ722" s="22"/>
    </row>
    <row r="723" spans="26:36" ht="15.75" customHeight="1" x14ac:dyDescent="0.3">
      <c r="Z723" s="22"/>
      <c r="AD723" s="22"/>
      <c r="AJ723" s="22"/>
    </row>
    <row r="724" spans="26:36" ht="15.75" customHeight="1" x14ac:dyDescent="0.3">
      <c r="Z724" s="22"/>
      <c r="AD724" s="22"/>
      <c r="AJ724" s="22"/>
    </row>
    <row r="725" spans="26:36" ht="15.75" customHeight="1" x14ac:dyDescent="0.3">
      <c r="Z725" s="22"/>
      <c r="AD725" s="22"/>
      <c r="AJ725" s="22"/>
    </row>
    <row r="726" spans="26:36" ht="15.75" customHeight="1" x14ac:dyDescent="0.3">
      <c r="Z726" s="22"/>
      <c r="AD726" s="22"/>
      <c r="AJ726" s="22"/>
    </row>
    <row r="727" spans="26:36" ht="15.75" customHeight="1" x14ac:dyDescent="0.3">
      <c r="Z727" s="22"/>
      <c r="AD727" s="22"/>
      <c r="AJ727" s="22"/>
    </row>
    <row r="728" spans="26:36" ht="15.75" customHeight="1" x14ac:dyDescent="0.3">
      <c r="Z728" s="22"/>
      <c r="AD728" s="22"/>
      <c r="AJ728" s="22"/>
    </row>
    <row r="729" spans="26:36" ht="15.75" customHeight="1" x14ac:dyDescent="0.3">
      <c r="Z729" s="22"/>
      <c r="AD729" s="22"/>
      <c r="AJ729" s="22"/>
    </row>
    <row r="730" spans="26:36" ht="15.75" customHeight="1" x14ac:dyDescent="0.3">
      <c r="Z730" s="22"/>
      <c r="AD730" s="22"/>
      <c r="AJ730" s="22"/>
    </row>
    <row r="731" spans="26:36" ht="15.75" customHeight="1" x14ac:dyDescent="0.3">
      <c r="Z731" s="22"/>
      <c r="AD731" s="22"/>
      <c r="AJ731" s="22"/>
    </row>
    <row r="732" spans="26:36" ht="15.75" customHeight="1" x14ac:dyDescent="0.3">
      <c r="Z732" s="22"/>
      <c r="AD732" s="22"/>
      <c r="AJ732" s="22"/>
    </row>
    <row r="733" spans="26:36" ht="15.75" customHeight="1" x14ac:dyDescent="0.3">
      <c r="Z733" s="22"/>
      <c r="AD733" s="22"/>
      <c r="AJ733" s="22"/>
    </row>
    <row r="734" spans="26:36" ht="15.75" customHeight="1" x14ac:dyDescent="0.3">
      <c r="Z734" s="22"/>
      <c r="AD734" s="22"/>
      <c r="AJ734" s="22"/>
    </row>
    <row r="735" spans="26:36" ht="15.75" customHeight="1" x14ac:dyDescent="0.3">
      <c r="Z735" s="22"/>
      <c r="AD735" s="22"/>
      <c r="AJ735" s="22"/>
    </row>
    <row r="736" spans="26:36" ht="15.75" customHeight="1" x14ac:dyDescent="0.3">
      <c r="Z736" s="22"/>
      <c r="AD736" s="22"/>
      <c r="AJ736" s="22"/>
    </row>
    <row r="737" spans="26:36" ht="15.75" customHeight="1" x14ac:dyDescent="0.3">
      <c r="Z737" s="22"/>
      <c r="AD737" s="22"/>
      <c r="AJ737" s="22"/>
    </row>
    <row r="738" spans="26:36" ht="15.75" customHeight="1" x14ac:dyDescent="0.3">
      <c r="Z738" s="22"/>
      <c r="AD738" s="22"/>
      <c r="AJ738" s="22"/>
    </row>
    <row r="739" spans="26:36" ht="15.75" customHeight="1" x14ac:dyDescent="0.3">
      <c r="Z739" s="22"/>
      <c r="AD739" s="22"/>
      <c r="AJ739" s="22"/>
    </row>
    <row r="740" spans="26:36" ht="15.75" customHeight="1" x14ac:dyDescent="0.3">
      <c r="Z740" s="22"/>
      <c r="AD740" s="22"/>
      <c r="AJ740" s="22"/>
    </row>
    <row r="741" spans="26:36" ht="15.75" customHeight="1" x14ac:dyDescent="0.3">
      <c r="Z741" s="22"/>
      <c r="AD741" s="22"/>
      <c r="AJ741" s="22"/>
    </row>
    <row r="742" spans="26:36" ht="15.75" customHeight="1" x14ac:dyDescent="0.3">
      <c r="Z742" s="22"/>
      <c r="AD742" s="22"/>
      <c r="AJ742" s="22"/>
    </row>
    <row r="743" spans="26:36" ht="15.75" customHeight="1" x14ac:dyDescent="0.3">
      <c r="Z743" s="22"/>
      <c r="AD743" s="22"/>
      <c r="AJ743" s="22"/>
    </row>
    <row r="744" spans="26:36" ht="15.75" customHeight="1" x14ac:dyDescent="0.3">
      <c r="Z744" s="22"/>
      <c r="AD744" s="22"/>
      <c r="AJ744" s="22"/>
    </row>
    <row r="745" spans="26:36" ht="15.75" customHeight="1" x14ac:dyDescent="0.3">
      <c r="Z745" s="22"/>
      <c r="AD745" s="22"/>
      <c r="AJ745" s="22"/>
    </row>
    <row r="746" spans="26:36" ht="15.75" customHeight="1" x14ac:dyDescent="0.3">
      <c r="Z746" s="22"/>
      <c r="AD746" s="22"/>
      <c r="AJ746" s="22"/>
    </row>
    <row r="747" spans="26:36" ht="15.75" customHeight="1" x14ac:dyDescent="0.3">
      <c r="Z747" s="22"/>
      <c r="AD747" s="22"/>
      <c r="AJ747" s="22"/>
    </row>
    <row r="748" spans="26:36" ht="15.75" customHeight="1" x14ac:dyDescent="0.3">
      <c r="Z748" s="22"/>
      <c r="AD748" s="22"/>
      <c r="AJ748" s="22"/>
    </row>
    <row r="749" spans="26:36" ht="15.75" customHeight="1" x14ac:dyDescent="0.3">
      <c r="Z749" s="22"/>
      <c r="AD749" s="22"/>
      <c r="AJ749" s="22"/>
    </row>
    <row r="750" spans="26:36" ht="15.75" customHeight="1" x14ac:dyDescent="0.3">
      <c r="Z750" s="22"/>
      <c r="AD750" s="22"/>
      <c r="AJ750" s="22"/>
    </row>
    <row r="751" spans="26:36" ht="15.75" customHeight="1" x14ac:dyDescent="0.3">
      <c r="Z751" s="22"/>
      <c r="AD751" s="22"/>
      <c r="AJ751" s="22"/>
    </row>
    <row r="752" spans="26:36" ht="15.75" customHeight="1" x14ac:dyDescent="0.3">
      <c r="Z752" s="22"/>
      <c r="AD752" s="22"/>
      <c r="AJ752" s="22"/>
    </row>
    <row r="753" spans="26:36" ht="15.75" customHeight="1" x14ac:dyDescent="0.3">
      <c r="Z753" s="22"/>
      <c r="AD753" s="22"/>
      <c r="AJ753" s="22"/>
    </row>
    <row r="754" spans="26:36" ht="15.75" customHeight="1" x14ac:dyDescent="0.3">
      <c r="Z754" s="22"/>
      <c r="AD754" s="22"/>
      <c r="AJ754" s="22"/>
    </row>
    <row r="755" spans="26:36" ht="15.75" customHeight="1" x14ac:dyDescent="0.3">
      <c r="Z755" s="22"/>
      <c r="AD755" s="22"/>
      <c r="AJ755" s="22"/>
    </row>
    <row r="756" spans="26:36" ht="15.75" customHeight="1" x14ac:dyDescent="0.3">
      <c r="Z756" s="22"/>
      <c r="AD756" s="22"/>
      <c r="AJ756" s="22"/>
    </row>
    <row r="757" spans="26:36" ht="15.75" customHeight="1" x14ac:dyDescent="0.3">
      <c r="Z757" s="22"/>
      <c r="AD757" s="22"/>
      <c r="AJ757" s="22"/>
    </row>
    <row r="758" spans="26:36" ht="15.75" customHeight="1" x14ac:dyDescent="0.3">
      <c r="Z758" s="22"/>
      <c r="AD758" s="22"/>
      <c r="AJ758" s="22"/>
    </row>
    <row r="759" spans="26:36" ht="15.75" customHeight="1" x14ac:dyDescent="0.3">
      <c r="Z759" s="22"/>
      <c r="AD759" s="22"/>
      <c r="AJ759" s="22"/>
    </row>
    <row r="760" spans="26:36" ht="15.75" customHeight="1" x14ac:dyDescent="0.3">
      <c r="Z760" s="22"/>
      <c r="AD760" s="22"/>
      <c r="AJ760" s="22"/>
    </row>
    <row r="761" spans="26:36" ht="15.75" customHeight="1" x14ac:dyDescent="0.3">
      <c r="Z761" s="22"/>
      <c r="AD761" s="22"/>
      <c r="AJ761" s="22"/>
    </row>
    <row r="762" spans="26:36" ht="15.75" customHeight="1" x14ac:dyDescent="0.3">
      <c r="Z762" s="22"/>
      <c r="AD762" s="22"/>
      <c r="AJ762" s="22"/>
    </row>
    <row r="763" spans="26:36" ht="15.75" customHeight="1" x14ac:dyDescent="0.3">
      <c r="Z763" s="22"/>
      <c r="AD763" s="22"/>
      <c r="AJ763" s="22"/>
    </row>
    <row r="764" spans="26:36" ht="15.75" customHeight="1" x14ac:dyDescent="0.3">
      <c r="Z764" s="22"/>
      <c r="AD764" s="22"/>
      <c r="AJ764" s="22"/>
    </row>
    <row r="765" spans="26:36" ht="15.75" customHeight="1" x14ac:dyDescent="0.3">
      <c r="Z765" s="22"/>
      <c r="AD765" s="22"/>
      <c r="AJ765" s="22"/>
    </row>
    <row r="766" spans="26:36" ht="15.75" customHeight="1" x14ac:dyDescent="0.3">
      <c r="Z766" s="22"/>
      <c r="AD766" s="22"/>
      <c r="AJ766" s="22"/>
    </row>
    <row r="767" spans="26:36" ht="15.75" customHeight="1" x14ac:dyDescent="0.3">
      <c r="Z767" s="22"/>
      <c r="AD767" s="22"/>
      <c r="AJ767" s="22"/>
    </row>
    <row r="768" spans="26:36" ht="15.75" customHeight="1" x14ac:dyDescent="0.3">
      <c r="Z768" s="22"/>
      <c r="AD768" s="22"/>
      <c r="AJ768" s="22"/>
    </row>
    <row r="769" spans="26:36" ht="15.75" customHeight="1" x14ac:dyDescent="0.3">
      <c r="Z769" s="22"/>
      <c r="AD769" s="22"/>
      <c r="AJ769" s="22"/>
    </row>
    <row r="770" spans="26:36" ht="15.75" customHeight="1" x14ac:dyDescent="0.3">
      <c r="Z770" s="22"/>
      <c r="AD770" s="22"/>
      <c r="AJ770" s="22"/>
    </row>
    <row r="771" spans="26:36" ht="15.75" customHeight="1" x14ac:dyDescent="0.3">
      <c r="Z771" s="22"/>
      <c r="AD771" s="22"/>
      <c r="AJ771" s="22"/>
    </row>
    <row r="772" spans="26:36" ht="15.75" customHeight="1" x14ac:dyDescent="0.3">
      <c r="Z772" s="22"/>
      <c r="AD772" s="22"/>
      <c r="AJ772" s="22"/>
    </row>
    <row r="773" spans="26:36" ht="15.75" customHeight="1" x14ac:dyDescent="0.3">
      <c r="Z773" s="22"/>
      <c r="AD773" s="22"/>
      <c r="AJ773" s="22"/>
    </row>
    <row r="774" spans="26:36" ht="15.75" customHeight="1" x14ac:dyDescent="0.3">
      <c r="Z774" s="22"/>
      <c r="AD774" s="22"/>
      <c r="AJ774" s="22"/>
    </row>
    <row r="775" spans="26:36" ht="15.75" customHeight="1" x14ac:dyDescent="0.3">
      <c r="Z775" s="22"/>
      <c r="AD775" s="22"/>
      <c r="AJ775" s="22"/>
    </row>
    <row r="776" spans="26:36" ht="15.75" customHeight="1" x14ac:dyDescent="0.3">
      <c r="Z776" s="22"/>
      <c r="AD776" s="22"/>
      <c r="AJ776" s="22"/>
    </row>
    <row r="777" spans="26:36" ht="15.75" customHeight="1" x14ac:dyDescent="0.3">
      <c r="Z777" s="22"/>
      <c r="AD777" s="22"/>
      <c r="AJ777" s="22"/>
    </row>
    <row r="778" spans="26:36" ht="15.75" customHeight="1" x14ac:dyDescent="0.3">
      <c r="Z778" s="22"/>
      <c r="AD778" s="22"/>
      <c r="AJ778" s="22"/>
    </row>
    <row r="779" spans="26:36" ht="15.75" customHeight="1" x14ac:dyDescent="0.3">
      <c r="Z779" s="22"/>
      <c r="AD779" s="22"/>
      <c r="AJ779" s="22"/>
    </row>
    <row r="780" spans="26:36" ht="15.75" customHeight="1" x14ac:dyDescent="0.3">
      <c r="Z780" s="22"/>
      <c r="AD780" s="22"/>
      <c r="AJ780" s="22"/>
    </row>
    <row r="781" spans="26:36" ht="15.75" customHeight="1" x14ac:dyDescent="0.3">
      <c r="Z781" s="22"/>
      <c r="AD781" s="22"/>
      <c r="AJ781" s="22"/>
    </row>
    <row r="782" spans="26:36" ht="15.75" customHeight="1" x14ac:dyDescent="0.3">
      <c r="Z782" s="22"/>
      <c r="AD782" s="22"/>
      <c r="AJ782" s="22"/>
    </row>
    <row r="783" spans="26:36" ht="15.75" customHeight="1" x14ac:dyDescent="0.3">
      <c r="Z783" s="22"/>
      <c r="AD783" s="22"/>
      <c r="AJ783" s="22"/>
    </row>
    <row r="784" spans="26:36" ht="15.75" customHeight="1" x14ac:dyDescent="0.3">
      <c r="Z784" s="22"/>
      <c r="AD784" s="22"/>
      <c r="AJ784" s="22"/>
    </row>
    <row r="785" spans="26:36" ht="15.75" customHeight="1" x14ac:dyDescent="0.3">
      <c r="Z785" s="22"/>
      <c r="AD785" s="22"/>
      <c r="AJ785" s="22"/>
    </row>
    <row r="786" spans="26:36" ht="15.75" customHeight="1" x14ac:dyDescent="0.3">
      <c r="Z786" s="22"/>
      <c r="AD786" s="22"/>
      <c r="AJ786" s="22"/>
    </row>
    <row r="787" spans="26:36" ht="15.75" customHeight="1" x14ac:dyDescent="0.3">
      <c r="Z787" s="22"/>
      <c r="AD787" s="22"/>
      <c r="AJ787" s="22"/>
    </row>
    <row r="788" spans="26:36" ht="15.75" customHeight="1" x14ac:dyDescent="0.3">
      <c r="Z788" s="22"/>
      <c r="AD788" s="22"/>
      <c r="AJ788" s="22"/>
    </row>
    <row r="789" spans="26:36" ht="15.75" customHeight="1" x14ac:dyDescent="0.3">
      <c r="Z789" s="22"/>
      <c r="AD789" s="22"/>
      <c r="AJ789" s="22"/>
    </row>
    <row r="790" spans="26:36" ht="15.75" customHeight="1" x14ac:dyDescent="0.3">
      <c r="Z790" s="22"/>
      <c r="AD790" s="22"/>
      <c r="AJ790" s="22"/>
    </row>
    <row r="791" spans="26:36" ht="15.75" customHeight="1" x14ac:dyDescent="0.3">
      <c r="Z791" s="22"/>
      <c r="AD791" s="22"/>
      <c r="AJ791" s="22"/>
    </row>
    <row r="792" spans="26:36" ht="15.75" customHeight="1" x14ac:dyDescent="0.3">
      <c r="Z792" s="22"/>
      <c r="AD792" s="22"/>
      <c r="AJ792" s="22"/>
    </row>
    <row r="793" spans="26:36" ht="15.75" customHeight="1" x14ac:dyDescent="0.3">
      <c r="Z793" s="22"/>
      <c r="AD793" s="22"/>
      <c r="AJ793" s="22"/>
    </row>
    <row r="794" spans="26:36" ht="15.75" customHeight="1" x14ac:dyDescent="0.3">
      <c r="Z794" s="22"/>
      <c r="AD794" s="22"/>
      <c r="AJ794" s="22"/>
    </row>
    <row r="795" spans="26:36" ht="15.75" customHeight="1" x14ac:dyDescent="0.3">
      <c r="Z795" s="22"/>
      <c r="AD795" s="22"/>
      <c r="AJ795" s="22"/>
    </row>
    <row r="796" spans="26:36" ht="15.75" customHeight="1" x14ac:dyDescent="0.3">
      <c r="Z796" s="22"/>
      <c r="AD796" s="22"/>
      <c r="AJ796" s="22"/>
    </row>
    <row r="797" spans="26:36" ht="15.75" customHeight="1" x14ac:dyDescent="0.3">
      <c r="Z797" s="22"/>
      <c r="AD797" s="22"/>
      <c r="AJ797" s="22"/>
    </row>
    <row r="798" spans="26:36" ht="15.75" customHeight="1" x14ac:dyDescent="0.3">
      <c r="Z798" s="22"/>
      <c r="AD798" s="22"/>
      <c r="AJ798" s="22"/>
    </row>
    <row r="799" spans="26:36" ht="15.75" customHeight="1" x14ac:dyDescent="0.3">
      <c r="Z799" s="22"/>
      <c r="AD799" s="22"/>
      <c r="AJ799" s="22"/>
    </row>
    <row r="800" spans="26:36" ht="15.75" customHeight="1" x14ac:dyDescent="0.3">
      <c r="Z800" s="22"/>
      <c r="AD800" s="22"/>
      <c r="AJ800" s="22"/>
    </row>
    <row r="801" spans="26:36" ht="15.75" customHeight="1" x14ac:dyDescent="0.3">
      <c r="Z801" s="22"/>
      <c r="AD801" s="22"/>
      <c r="AJ801" s="22"/>
    </row>
    <row r="802" spans="26:36" ht="15.75" customHeight="1" x14ac:dyDescent="0.3">
      <c r="Z802" s="22"/>
      <c r="AD802" s="22"/>
      <c r="AJ802" s="22"/>
    </row>
    <row r="803" spans="26:36" ht="15.75" customHeight="1" x14ac:dyDescent="0.3">
      <c r="Z803" s="22"/>
      <c r="AD803" s="22"/>
      <c r="AJ803" s="22"/>
    </row>
    <row r="804" spans="26:36" ht="15.75" customHeight="1" x14ac:dyDescent="0.3">
      <c r="Z804" s="22"/>
      <c r="AD804" s="22"/>
      <c r="AJ804" s="22"/>
    </row>
    <row r="805" spans="26:36" ht="15.75" customHeight="1" x14ac:dyDescent="0.3">
      <c r="Z805" s="22"/>
      <c r="AD805" s="22"/>
      <c r="AJ805" s="22"/>
    </row>
    <row r="806" spans="26:36" ht="15.75" customHeight="1" x14ac:dyDescent="0.3">
      <c r="Z806" s="22"/>
      <c r="AD806" s="22"/>
      <c r="AJ806" s="22"/>
    </row>
    <row r="807" spans="26:36" ht="15.75" customHeight="1" x14ac:dyDescent="0.3">
      <c r="Z807" s="22"/>
      <c r="AD807" s="22"/>
      <c r="AJ807" s="22"/>
    </row>
    <row r="808" spans="26:36" ht="15.75" customHeight="1" x14ac:dyDescent="0.3">
      <c r="Z808" s="22"/>
      <c r="AD808" s="22"/>
      <c r="AJ808" s="22"/>
    </row>
    <row r="809" spans="26:36" ht="15.75" customHeight="1" x14ac:dyDescent="0.3">
      <c r="Z809" s="22"/>
      <c r="AD809" s="22"/>
      <c r="AJ809" s="22"/>
    </row>
    <row r="810" spans="26:36" ht="15.75" customHeight="1" x14ac:dyDescent="0.3">
      <c r="Z810" s="22"/>
      <c r="AD810" s="22"/>
      <c r="AJ810" s="22"/>
    </row>
    <row r="811" spans="26:36" ht="15.75" customHeight="1" x14ac:dyDescent="0.3">
      <c r="Z811" s="22"/>
      <c r="AD811" s="22"/>
      <c r="AJ811" s="22"/>
    </row>
    <row r="812" spans="26:36" ht="15.75" customHeight="1" x14ac:dyDescent="0.3">
      <c r="Z812" s="22"/>
      <c r="AD812" s="22"/>
      <c r="AJ812" s="22"/>
    </row>
    <row r="813" spans="26:36" ht="15.75" customHeight="1" x14ac:dyDescent="0.3">
      <c r="Z813" s="22"/>
      <c r="AD813" s="22"/>
      <c r="AJ813" s="22"/>
    </row>
    <row r="814" spans="26:36" ht="15.75" customHeight="1" x14ac:dyDescent="0.3">
      <c r="Z814" s="22"/>
      <c r="AD814" s="22"/>
      <c r="AJ814" s="22"/>
    </row>
    <row r="815" spans="26:36" ht="15.75" customHeight="1" x14ac:dyDescent="0.3">
      <c r="Z815" s="22"/>
      <c r="AD815" s="22"/>
      <c r="AJ815" s="22"/>
    </row>
    <row r="816" spans="26:36" ht="15.75" customHeight="1" x14ac:dyDescent="0.3">
      <c r="Z816" s="22"/>
      <c r="AD816" s="22"/>
      <c r="AJ816" s="22"/>
    </row>
    <row r="817" spans="26:36" ht="15.75" customHeight="1" x14ac:dyDescent="0.3">
      <c r="Z817" s="22"/>
      <c r="AD817" s="22"/>
      <c r="AJ817" s="22"/>
    </row>
    <row r="818" spans="26:36" ht="15.75" customHeight="1" x14ac:dyDescent="0.3">
      <c r="Z818" s="22"/>
      <c r="AD818" s="22"/>
      <c r="AJ818" s="22"/>
    </row>
    <row r="819" spans="26:36" ht="15.75" customHeight="1" x14ac:dyDescent="0.3">
      <c r="Z819" s="22"/>
      <c r="AD819" s="22"/>
      <c r="AJ819" s="22"/>
    </row>
    <row r="820" spans="26:36" ht="15.75" customHeight="1" x14ac:dyDescent="0.3">
      <c r="Z820" s="22"/>
      <c r="AD820" s="22"/>
      <c r="AJ820" s="22"/>
    </row>
    <row r="821" spans="26:36" ht="15.75" customHeight="1" x14ac:dyDescent="0.3">
      <c r="Z821" s="22"/>
      <c r="AD821" s="22"/>
      <c r="AJ821" s="22"/>
    </row>
    <row r="822" spans="26:36" ht="15.75" customHeight="1" x14ac:dyDescent="0.3">
      <c r="Z822" s="22"/>
      <c r="AD822" s="22"/>
      <c r="AJ822" s="22"/>
    </row>
    <row r="823" spans="26:36" ht="15.75" customHeight="1" x14ac:dyDescent="0.3">
      <c r="Z823" s="22"/>
      <c r="AD823" s="22"/>
      <c r="AJ823" s="22"/>
    </row>
    <row r="824" spans="26:36" ht="15.75" customHeight="1" x14ac:dyDescent="0.3">
      <c r="Z824" s="22"/>
      <c r="AD824" s="22"/>
      <c r="AJ824" s="22"/>
    </row>
    <row r="825" spans="26:36" ht="15.75" customHeight="1" x14ac:dyDescent="0.3">
      <c r="Z825" s="22"/>
      <c r="AD825" s="22"/>
      <c r="AJ825" s="22"/>
    </row>
    <row r="826" spans="26:36" ht="15.75" customHeight="1" x14ac:dyDescent="0.3">
      <c r="Z826" s="22"/>
      <c r="AD826" s="22"/>
      <c r="AJ826" s="22"/>
    </row>
    <row r="827" spans="26:36" ht="15.75" customHeight="1" x14ac:dyDescent="0.3">
      <c r="Z827" s="22"/>
      <c r="AD827" s="22"/>
      <c r="AJ827" s="22"/>
    </row>
    <row r="828" spans="26:36" ht="15.75" customHeight="1" x14ac:dyDescent="0.3">
      <c r="Z828" s="22"/>
      <c r="AD828" s="22"/>
      <c r="AJ828" s="22"/>
    </row>
    <row r="829" spans="26:36" ht="15.75" customHeight="1" x14ac:dyDescent="0.3">
      <c r="Z829" s="22"/>
      <c r="AD829" s="22"/>
      <c r="AJ829" s="22"/>
    </row>
    <row r="830" spans="26:36" ht="15.75" customHeight="1" x14ac:dyDescent="0.3">
      <c r="Z830" s="22"/>
      <c r="AD830" s="22"/>
      <c r="AJ830" s="22"/>
    </row>
    <row r="831" spans="26:36" ht="15.75" customHeight="1" x14ac:dyDescent="0.3">
      <c r="Z831" s="22"/>
      <c r="AD831" s="22"/>
      <c r="AJ831" s="22"/>
    </row>
    <row r="832" spans="26:36" ht="15.75" customHeight="1" x14ac:dyDescent="0.3">
      <c r="Z832" s="22"/>
      <c r="AD832" s="22"/>
      <c r="AJ832" s="22"/>
    </row>
    <row r="833" spans="26:36" ht="15.75" customHeight="1" x14ac:dyDescent="0.3">
      <c r="Z833" s="22"/>
      <c r="AD833" s="22"/>
      <c r="AJ833" s="22"/>
    </row>
    <row r="834" spans="26:36" ht="15.75" customHeight="1" x14ac:dyDescent="0.3">
      <c r="Z834" s="22"/>
      <c r="AD834" s="22"/>
      <c r="AJ834" s="22"/>
    </row>
    <row r="835" spans="26:36" ht="15.75" customHeight="1" x14ac:dyDescent="0.3">
      <c r="Z835" s="22"/>
      <c r="AD835" s="22"/>
      <c r="AJ835" s="22"/>
    </row>
    <row r="836" spans="26:36" ht="15.75" customHeight="1" x14ac:dyDescent="0.3">
      <c r="Z836" s="22"/>
      <c r="AD836" s="22"/>
      <c r="AJ836" s="22"/>
    </row>
    <row r="837" spans="26:36" ht="15.75" customHeight="1" x14ac:dyDescent="0.3">
      <c r="Z837" s="22"/>
      <c r="AD837" s="22"/>
      <c r="AJ837" s="22"/>
    </row>
    <row r="838" spans="26:36" ht="15.75" customHeight="1" x14ac:dyDescent="0.3">
      <c r="Z838" s="22"/>
      <c r="AD838" s="22"/>
      <c r="AJ838" s="22"/>
    </row>
    <row r="839" spans="26:36" ht="15.75" customHeight="1" x14ac:dyDescent="0.3">
      <c r="Z839" s="22"/>
      <c r="AD839" s="22"/>
      <c r="AJ839" s="22"/>
    </row>
    <row r="840" spans="26:36" ht="15.75" customHeight="1" x14ac:dyDescent="0.3">
      <c r="Z840" s="22"/>
      <c r="AD840" s="22"/>
      <c r="AJ840" s="22"/>
    </row>
    <row r="841" spans="26:36" ht="15.75" customHeight="1" x14ac:dyDescent="0.3">
      <c r="Z841" s="22"/>
      <c r="AD841" s="22"/>
      <c r="AJ841" s="22"/>
    </row>
    <row r="842" spans="26:36" ht="15.75" customHeight="1" x14ac:dyDescent="0.3">
      <c r="Z842" s="22"/>
      <c r="AD842" s="22"/>
      <c r="AJ842" s="22"/>
    </row>
    <row r="843" spans="26:36" ht="15.75" customHeight="1" x14ac:dyDescent="0.3">
      <c r="Z843" s="22"/>
      <c r="AD843" s="22"/>
      <c r="AJ843" s="22"/>
    </row>
    <row r="844" spans="26:36" ht="15.75" customHeight="1" x14ac:dyDescent="0.3">
      <c r="Z844" s="22"/>
      <c r="AD844" s="22"/>
      <c r="AJ844" s="22"/>
    </row>
    <row r="845" spans="26:36" ht="15.75" customHeight="1" x14ac:dyDescent="0.3">
      <c r="Z845" s="22"/>
      <c r="AD845" s="22"/>
      <c r="AJ845" s="22"/>
    </row>
    <row r="846" spans="26:36" ht="15.75" customHeight="1" x14ac:dyDescent="0.3">
      <c r="Z846" s="22"/>
      <c r="AD846" s="22"/>
      <c r="AJ846" s="22"/>
    </row>
    <row r="847" spans="26:36" ht="15.75" customHeight="1" x14ac:dyDescent="0.3">
      <c r="Z847" s="22"/>
      <c r="AD847" s="22"/>
      <c r="AJ847" s="22"/>
    </row>
    <row r="848" spans="26:36" ht="15.75" customHeight="1" x14ac:dyDescent="0.3">
      <c r="Z848" s="22"/>
      <c r="AD848" s="22"/>
      <c r="AJ848" s="22"/>
    </row>
    <row r="849" spans="26:36" ht="15.75" customHeight="1" x14ac:dyDescent="0.3">
      <c r="Z849" s="22"/>
      <c r="AD849" s="22"/>
      <c r="AJ849" s="22"/>
    </row>
    <row r="850" spans="26:36" ht="15.75" customHeight="1" x14ac:dyDescent="0.3">
      <c r="Z850" s="22"/>
      <c r="AD850" s="22"/>
      <c r="AJ850" s="22"/>
    </row>
    <row r="851" spans="26:36" ht="15.75" customHeight="1" x14ac:dyDescent="0.3">
      <c r="Z851" s="22"/>
      <c r="AD851" s="22"/>
      <c r="AJ851" s="22"/>
    </row>
    <row r="852" spans="26:36" ht="15.75" customHeight="1" x14ac:dyDescent="0.3">
      <c r="Z852" s="22"/>
      <c r="AD852" s="22"/>
      <c r="AJ852" s="22"/>
    </row>
    <row r="853" spans="26:36" ht="15.75" customHeight="1" x14ac:dyDescent="0.3">
      <c r="Z853" s="22"/>
      <c r="AD853" s="22"/>
      <c r="AJ853" s="22"/>
    </row>
    <row r="854" spans="26:36" ht="15.75" customHeight="1" x14ac:dyDescent="0.3">
      <c r="Z854" s="22"/>
      <c r="AD854" s="22"/>
      <c r="AJ854" s="22"/>
    </row>
    <row r="855" spans="26:36" ht="15.75" customHeight="1" x14ac:dyDescent="0.3">
      <c r="Z855" s="22"/>
      <c r="AD855" s="22"/>
      <c r="AJ855" s="22"/>
    </row>
    <row r="856" spans="26:36" ht="15.75" customHeight="1" x14ac:dyDescent="0.3">
      <c r="Z856" s="22"/>
      <c r="AD856" s="22"/>
      <c r="AJ856" s="22"/>
    </row>
    <row r="857" spans="26:36" ht="15.75" customHeight="1" x14ac:dyDescent="0.3">
      <c r="Z857" s="22"/>
      <c r="AD857" s="22"/>
      <c r="AJ857" s="22"/>
    </row>
    <row r="858" spans="26:36" ht="15.75" customHeight="1" x14ac:dyDescent="0.3">
      <c r="Z858" s="22"/>
      <c r="AD858" s="22"/>
      <c r="AJ858" s="22"/>
    </row>
    <row r="859" spans="26:36" ht="15.75" customHeight="1" x14ac:dyDescent="0.3">
      <c r="Z859" s="22"/>
      <c r="AD859" s="22"/>
      <c r="AJ859" s="22"/>
    </row>
    <row r="860" spans="26:36" ht="15.75" customHeight="1" x14ac:dyDescent="0.3">
      <c r="Z860" s="22"/>
      <c r="AD860" s="22"/>
      <c r="AJ860" s="22"/>
    </row>
    <row r="861" spans="26:36" ht="15.75" customHeight="1" x14ac:dyDescent="0.3">
      <c r="Z861" s="22"/>
      <c r="AD861" s="22"/>
      <c r="AJ861" s="22"/>
    </row>
    <row r="862" spans="26:36" ht="15.75" customHeight="1" x14ac:dyDescent="0.3">
      <c r="Z862" s="22"/>
      <c r="AD862" s="22"/>
      <c r="AJ862" s="22"/>
    </row>
    <row r="863" spans="26:36" ht="15.75" customHeight="1" x14ac:dyDescent="0.3">
      <c r="Z863" s="22"/>
      <c r="AD863" s="22"/>
      <c r="AJ863" s="22"/>
    </row>
    <row r="864" spans="26:36" ht="15.75" customHeight="1" x14ac:dyDescent="0.3">
      <c r="Z864" s="22"/>
      <c r="AD864" s="22"/>
      <c r="AJ864" s="22"/>
    </row>
    <row r="865" spans="26:36" ht="15.75" customHeight="1" x14ac:dyDescent="0.3">
      <c r="Z865" s="22"/>
      <c r="AD865" s="22"/>
      <c r="AJ865" s="22"/>
    </row>
    <row r="866" spans="26:36" ht="15.75" customHeight="1" x14ac:dyDescent="0.3">
      <c r="Z866" s="22"/>
      <c r="AD866" s="22"/>
      <c r="AJ866" s="22"/>
    </row>
    <row r="867" spans="26:36" ht="15.75" customHeight="1" x14ac:dyDescent="0.3">
      <c r="Z867" s="22"/>
      <c r="AD867" s="22"/>
      <c r="AJ867" s="22"/>
    </row>
    <row r="868" spans="26:36" ht="15.75" customHeight="1" x14ac:dyDescent="0.3">
      <c r="Z868" s="22"/>
      <c r="AD868" s="22"/>
      <c r="AJ868" s="22"/>
    </row>
    <row r="869" spans="26:36" ht="15.75" customHeight="1" x14ac:dyDescent="0.3">
      <c r="Z869" s="22"/>
      <c r="AD869" s="22"/>
      <c r="AJ869" s="22"/>
    </row>
    <row r="870" spans="26:36" ht="15.75" customHeight="1" x14ac:dyDescent="0.3">
      <c r="Z870" s="22"/>
      <c r="AD870" s="22"/>
      <c r="AJ870" s="22"/>
    </row>
    <row r="871" spans="26:36" ht="15.75" customHeight="1" x14ac:dyDescent="0.3">
      <c r="Z871" s="22"/>
      <c r="AD871" s="22"/>
      <c r="AJ871" s="22"/>
    </row>
    <row r="872" spans="26:36" ht="15.75" customHeight="1" x14ac:dyDescent="0.3">
      <c r="Z872" s="22"/>
      <c r="AD872" s="22"/>
      <c r="AJ872" s="22"/>
    </row>
    <row r="873" spans="26:36" ht="15.75" customHeight="1" x14ac:dyDescent="0.3">
      <c r="Z873" s="22"/>
      <c r="AD873" s="22"/>
      <c r="AJ873" s="22"/>
    </row>
    <row r="874" spans="26:36" ht="15.75" customHeight="1" x14ac:dyDescent="0.3">
      <c r="Z874" s="22"/>
      <c r="AD874" s="22"/>
      <c r="AJ874" s="22"/>
    </row>
    <row r="875" spans="26:36" ht="15.75" customHeight="1" x14ac:dyDescent="0.3">
      <c r="Z875" s="22"/>
      <c r="AD875" s="22"/>
      <c r="AJ875" s="22"/>
    </row>
    <row r="876" spans="26:36" ht="15.75" customHeight="1" x14ac:dyDescent="0.3">
      <c r="Z876" s="22"/>
      <c r="AD876" s="22"/>
      <c r="AJ876" s="22"/>
    </row>
    <row r="877" spans="26:36" ht="15.75" customHeight="1" x14ac:dyDescent="0.3">
      <c r="Z877" s="22"/>
      <c r="AD877" s="22"/>
      <c r="AJ877" s="22"/>
    </row>
    <row r="878" spans="26:36" ht="15.75" customHeight="1" x14ac:dyDescent="0.3">
      <c r="Z878" s="22"/>
      <c r="AD878" s="22"/>
      <c r="AJ878" s="22"/>
    </row>
    <row r="879" spans="26:36" ht="15.75" customHeight="1" x14ac:dyDescent="0.3">
      <c r="Z879" s="22"/>
      <c r="AD879" s="22"/>
      <c r="AJ879" s="22"/>
    </row>
    <row r="880" spans="26:36" ht="15.75" customHeight="1" x14ac:dyDescent="0.3">
      <c r="Z880" s="22"/>
      <c r="AD880" s="22"/>
      <c r="AJ880" s="22"/>
    </row>
    <row r="881" spans="26:36" ht="15.75" customHeight="1" x14ac:dyDescent="0.3">
      <c r="Z881" s="22"/>
      <c r="AD881" s="22"/>
      <c r="AJ881" s="22"/>
    </row>
    <row r="882" spans="26:36" ht="15.75" customHeight="1" x14ac:dyDescent="0.3">
      <c r="Z882" s="22"/>
      <c r="AD882" s="22"/>
      <c r="AJ882" s="22"/>
    </row>
    <row r="883" spans="26:36" ht="15.75" customHeight="1" x14ac:dyDescent="0.3">
      <c r="Z883" s="22"/>
      <c r="AD883" s="22"/>
      <c r="AJ883" s="22"/>
    </row>
  </sheetData>
  <mergeCells count="1">
    <mergeCell ref="A1:Y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36" customWidth="1"/>
    <col min="2" max="26" width="10.6640625" customWidth="1"/>
  </cols>
  <sheetData>
    <row r="1" spans="1:26" ht="14.25" customHeight="1" x14ac:dyDescent="0.3">
      <c r="A1" s="88" t="s">
        <v>125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4.25" customHeight="1" x14ac:dyDescent="0.3">
      <c r="A2" s="27" t="s">
        <v>1</v>
      </c>
      <c r="B2" s="27" t="s">
        <v>126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  <c r="R2" s="27" t="s">
        <v>17</v>
      </c>
      <c r="S2" s="27" t="s">
        <v>18</v>
      </c>
      <c r="T2" s="27" t="s">
        <v>19</v>
      </c>
      <c r="U2" s="27" t="s">
        <v>20</v>
      </c>
      <c r="V2" s="27" t="s">
        <v>21</v>
      </c>
      <c r="W2" s="27" t="s">
        <v>22</v>
      </c>
      <c r="X2" s="27" t="s">
        <v>23</v>
      </c>
      <c r="Y2" s="27" t="s">
        <v>24</v>
      </c>
      <c r="Z2" s="27" t="s">
        <v>25</v>
      </c>
    </row>
    <row r="3" spans="1:26" ht="14.25" customHeight="1" x14ac:dyDescent="0.3">
      <c r="A3" s="28" t="s">
        <v>42</v>
      </c>
      <c r="B3" s="29" t="s">
        <v>127</v>
      </c>
      <c r="C3" s="29">
        <v>11.84</v>
      </c>
      <c r="D3" s="29">
        <v>11.84</v>
      </c>
      <c r="E3" s="29">
        <v>11.84</v>
      </c>
      <c r="F3" s="29">
        <v>11.84</v>
      </c>
      <c r="G3" s="29">
        <v>11.84</v>
      </c>
      <c r="H3" s="29">
        <v>11.84</v>
      </c>
      <c r="I3" s="29">
        <v>11.84</v>
      </c>
      <c r="J3" s="29">
        <v>11.84</v>
      </c>
      <c r="K3" s="29">
        <v>11.84</v>
      </c>
      <c r="L3" s="29">
        <v>11.84</v>
      </c>
      <c r="M3" s="29">
        <v>11.84</v>
      </c>
      <c r="N3" s="29">
        <v>11.84</v>
      </c>
      <c r="O3" s="29">
        <v>11.84</v>
      </c>
      <c r="P3" s="29">
        <v>11.84</v>
      </c>
      <c r="Q3" s="29">
        <v>11.84</v>
      </c>
      <c r="R3" s="29">
        <v>11.84</v>
      </c>
      <c r="S3" s="29">
        <v>11.84</v>
      </c>
      <c r="T3" s="29">
        <v>11.84</v>
      </c>
      <c r="U3" s="29">
        <v>11.84</v>
      </c>
      <c r="V3" s="29">
        <v>11.84</v>
      </c>
      <c r="W3" s="29">
        <v>11.84</v>
      </c>
      <c r="X3" s="29">
        <v>11.84</v>
      </c>
      <c r="Y3" s="29">
        <v>11.84</v>
      </c>
      <c r="Z3" s="30">
        <v>11.84</v>
      </c>
    </row>
    <row r="4" spans="1:26" ht="14.25" customHeight="1" x14ac:dyDescent="0.3">
      <c r="A4" s="31" t="s">
        <v>43</v>
      </c>
      <c r="B4" s="32">
        <v>32.76</v>
      </c>
      <c r="C4" s="32">
        <v>32.76</v>
      </c>
      <c r="D4" s="32">
        <v>32.76</v>
      </c>
      <c r="E4" s="32">
        <v>32.76</v>
      </c>
      <c r="F4" s="32">
        <v>32.76</v>
      </c>
      <c r="G4" s="32">
        <v>32.76</v>
      </c>
      <c r="H4" s="32">
        <v>32.76</v>
      </c>
      <c r="I4" s="32">
        <v>32.76</v>
      </c>
      <c r="J4" s="32">
        <v>32.76</v>
      </c>
      <c r="K4" s="32">
        <v>32.76</v>
      </c>
      <c r="L4" s="32">
        <v>32.76</v>
      </c>
      <c r="M4" s="32">
        <v>32.76</v>
      </c>
      <c r="N4" s="32">
        <v>32.76</v>
      </c>
      <c r="O4" s="32">
        <v>32.76</v>
      </c>
      <c r="P4" s="32">
        <v>32.76</v>
      </c>
      <c r="Q4" s="32">
        <v>32.76</v>
      </c>
      <c r="R4" s="32">
        <v>32.76</v>
      </c>
      <c r="S4" s="32">
        <v>32.76</v>
      </c>
      <c r="T4" s="32">
        <v>32.76</v>
      </c>
      <c r="U4" s="32">
        <v>32.76</v>
      </c>
      <c r="V4" s="32">
        <v>32.76</v>
      </c>
      <c r="W4" s="32">
        <v>32.76</v>
      </c>
      <c r="X4" s="32">
        <v>32.76</v>
      </c>
      <c r="Y4" s="32">
        <v>32.76</v>
      </c>
      <c r="Z4" s="33">
        <v>32.76</v>
      </c>
    </row>
    <row r="5" spans="1:26" ht="14.25" customHeight="1" x14ac:dyDescent="0.3">
      <c r="A5" s="31" t="s">
        <v>44</v>
      </c>
      <c r="B5" s="32"/>
      <c r="C5" s="32"/>
      <c r="D5" s="32">
        <v>20.99</v>
      </c>
      <c r="E5" s="32"/>
      <c r="F5" s="32">
        <v>20.99</v>
      </c>
      <c r="G5" s="32"/>
      <c r="H5" s="32">
        <v>20.99</v>
      </c>
      <c r="I5" s="32"/>
      <c r="J5" s="32">
        <v>20.99</v>
      </c>
      <c r="K5" s="32"/>
      <c r="L5" s="32">
        <v>20.99</v>
      </c>
      <c r="M5" s="32"/>
      <c r="N5" s="32">
        <v>20.99</v>
      </c>
      <c r="O5" s="32"/>
      <c r="P5" s="32">
        <v>20.99</v>
      </c>
      <c r="Q5" s="32"/>
      <c r="R5" s="32">
        <v>20.99</v>
      </c>
      <c r="S5" s="32"/>
      <c r="T5" s="32">
        <v>20.99</v>
      </c>
      <c r="U5" s="32"/>
      <c r="V5" s="32">
        <v>20.99</v>
      </c>
      <c r="W5" s="32"/>
      <c r="X5" s="32">
        <v>20.99</v>
      </c>
      <c r="Y5" s="32"/>
      <c r="Z5" s="33">
        <v>20.99</v>
      </c>
    </row>
    <row r="6" spans="1:26" ht="14.25" customHeight="1" x14ac:dyDescent="0.3">
      <c r="A6" s="31" t="s">
        <v>45</v>
      </c>
      <c r="B6" s="32"/>
      <c r="C6" s="32"/>
      <c r="D6" s="32"/>
      <c r="E6" s="32"/>
      <c r="F6" s="32">
        <v>76.09</v>
      </c>
      <c r="G6" s="32"/>
      <c r="H6" s="32">
        <v>76.09</v>
      </c>
      <c r="I6" s="32"/>
      <c r="J6" s="32">
        <v>76.09</v>
      </c>
      <c r="K6" s="32"/>
      <c r="L6" s="32">
        <v>76.09</v>
      </c>
      <c r="M6" s="32"/>
      <c r="N6" s="32">
        <v>76.09</v>
      </c>
      <c r="O6" s="32"/>
      <c r="P6" s="32">
        <v>76.09</v>
      </c>
      <c r="Q6" s="32"/>
      <c r="R6" s="32">
        <v>76.09</v>
      </c>
      <c r="S6" s="32"/>
      <c r="T6" s="32">
        <v>76.09</v>
      </c>
      <c r="U6" s="32"/>
      <c r="V6" s="32">
        <v>76.09</v>
      </c>
      <c r="W6" s="32"/>
      <c r="X6" s="32"/>
      <c r="Y6" s="32"/>
      <c r="Z6" s="33">
        <v>76.09</v>
      </c>
    </row>
    <row r="7" spans="1:26" ht="14.25" customHeight="1" x14ac:dyDescent="0.3">
      <c r="A7" s="34" t="s">
        <v>46</v>
      </c>
      <c r="B7" s="35"/>
      <c r="C7" s="35"/>
      <c r="D7" s="35">
        <v>0</v>
      </c>
      <c r="E7" s="35"/>
      <c r="F7" s="35">
        <v>55.85</v>
      </c>
      <c r="G7" s="35"/>
      <c r="H7" s="35"/>
      <c r="I7" s="35"/>
      <c r="J7" s="35">
        <v>55.85</v>
      </c>
      <c r="K7" s="35"/>
      <c r="L7" s="35"/>
      <c r="M7" s="35"/>
      <c r="N7" s="35">
        <v>55.85</v>
      </c>
      <c r="O7" s="35"/>
      <c r="P7" s="35"/>
      <c r="Q7" s="35"/>
      <c r="R7" s="35">
        <v>55.85</v>
      </c>
      <c r="S7" s="35"/>
      <c r="T7" s="35"/>
      <c r="U7" s="35"/>
      <c r="V7" s="35">
        <v>55.85</v>
      </c>
      <c r="W7" s="35"/>
      <c r="X7" s="35">
        <v>0</v>
      </c>
      <c r="Y7" s="35"/>
      <c r="Z7" s="36">
        <v>55.85</v>
      </c>
    </row>
    <row r="8" spans="1:26" ht="14.25" customHeight="1" x14ac:dyDescent="0.3">
      <c r="A8" s="37" t="s">
        <v>92</v>
      </c>
      <c r="B8" s="38">
        <f t="shared" ref="B8:Z8" si="0">SUM(B3:B7)</f>
        <v>32.76</v>
      </c>
      <c r="C8" s="38">
        <f t="shared" si="0"/>
        <v>44.599999999999994</v>
      </c>
      <c r="D8" s="38">
        <f t="shared" si="0"/>
        <v>65.589999999999989</v>
      </c>
      <c r="E8" s="38">
        <f t="shared" si="0"/>
        <v>44.599999999999994</v>
      </c>
      <c r="F8" s="38">
        <f t="shared" si="0"/>
        <v>197.53</v>
      </c>
      <c r="G8" s="38">
        <f t="shared" si="0"/>
        <v>44.599999999999994</v>
      </c>
      <c r="H8" s="38">
        <f t="shared" si="0"/>
        <v>141.68</v>
      </c>
      <c r="I8" s="38">
        <f t="shared" si="0"/>
        <v>44.599999999999994</v>
      </c>
      <c r="J8" s="38">
        <f t="shared" si="0"/>
        <v>197.53</v>
      </c>
      <c r="K8" s="38">
        <f t="shared" si="0"/>
        <v>44.599999999999994</v>
      </c>
      <c r="L8" s="38">
        <f t="shared" si="0"/>
        <v>141.68</v>
      </c>
      <c r="M8" s="38">
        <f t="shared" si="0"/>
        <v>44.599999999999994</v>
      </c>
      <c r="N8" s="38">
        <f t="shared" si="0"/>
        <v>197.53</v>
      </c>
      <c r="O8" s="38">
        <f t="shared" si="0"/>
        <v>44.599999999999994</v>
      </c>
      <c r="P8" s="38">
        <f t="shared" si="0"/>
        <v>141.68</v>
      </c>
      <c r="Q8" s="38">
        <f t="shared" si="0"/>
        <v>44.599999999999994</v>
      </c>
      <c r="R8" s="38">
        <f t="shared" si="0"/>
        <v>197.53</v>
      </c>
      <c r="S8" s="38">
        <f t="shared" si="0"/>
        <v>44.599999999999994</v>
      </c>
      <c r="T8" s="38">
        <f t="shared" si="0"/>
        <v>141.68</v>
      </c>
      <c r="U8" s="38">
        <f t="shared" si="0"/>
        <v>44.599999999999994</v>
      </c>
      <c r="V8" s="38">
        <f t="shared" si="0"/>
        <v>197.53</v>
      </c>
      <c r="W8" s="38">
        <f t="shared" si="0"/>
        <v>44.599999999999994</v>
      </c>
      <c r="X8" s="38">
        <f t="shared" si="0"/>
        <v>65.589999999999989</v>
      </c>
      <c r="Y8" s="38">
        <f t="shared" si="0"/>
        <v>44.599999999999994</v>
      </c>
      <c r="Z8" s="39">
        <f t="shared" si="0"/>
        <v>197.53</v>
      </c>
    </row>
    <row r="9" spans="1:26" ht="14.25" customHeight="1" x14ac:dyDescent="0.3">
      <c r="A9" s="28" t="s">
        <v>118</v>
      </c>
      <c r="B9" s="29">
        <v>40.32</v>
      </c>
      <c r="C9" s="29">
        <v>40.32</v>
      </c>
      <c r="D9" s="29">
        <v>40.32</v>
      </c>
      <c r="E9" s="29">
        <v>40.32</v>
      </c>
      <c r="F9" s="29">
        <v>40.32</v>
      </c>
      <c r="G9" s="29">
        <v>40.32</v>
      </c>
      <c r="H9" s="29">
        <v>40.32</v>
      </c>
      <c r="I9" s="29">
        <v>40.32</v>
      </c>
      <c r="J9" s="29">
        <v>40.32</v>
      </c>
      <c r="K9" s="29">
        <v>40.32</v>
      </c>
      <c r="L9" s="29">
        <v>40.32</v>
      </c>
      <c r="M9" s="29">
        <v>40.32</v>
      </c>
      <c r="N9" s="29">
        <v>40.32</v>
      </c>
      <c r="O9" s="29">
        <v>40.32</v>
      </c>
      <c r="P9" s="29">
        <v>40.32</v>
      </c>
      <c r="Q9" s="29">
        <v>40.32</v>
      </c>
      <c r="R9" s="29">
        <v>40.32</v>
      </c>
      <c r="S9" s="29">
        <v>40.32</v>
      </c>
      <c r="T9" s="29">
        <v>40.32</v>
      </c>
      <c r="U9" s="29">
        <v>40.32</v>
      </c>
      <c r="V9" s="29">
        <v>40.32</v>
      </c>
      <c r="W9" s="29">
        <v>40.32</v>
      </c>
      <c r="X9" s="29">
        <v>40.32</v>
      </c>
      <c r="Y9" s="29">
        <v>40.32</v>
      </c>
      <c r="Z9" s="30">
        <v>40.32</v>
      </c>
    </row>
    <row r="10" spans="1:26" ht="14.25" customHeight="1" x14ac:dyDescent="0.3">
      <c r="A10" s="31" t="s">
        <v>94</v>
      </c>
      <c r="B10" s="32"/>
      <c r="C10" s="32"/>
      <c r="D10" s="32"/>
      <c r="E10" s="32"/>
      <c r="F10" s="32">
        <v>7.71</v>
      </c>
      <c r="G10" s="32"/>
      <c r="H10" s="32"/>
      <c r="I10" s="32"/>
      <c r="J10" s="32">
        <v>7.71</v>
      </c>
      <c r="K10" s="32"/>
      <c r="L10" s="32"/>
      <c r="M10" s="32"/>
      <c r="N10" s="32">
        <v>7.71</v>
      </c>
      <c r="O10" s="32"/>
      <c r="P10" s="32"/>
      <c r="Q10" s="32"/>
      <c r="R10" s="32">
        <v>7.71</v>
      </c>
      <c r="S10" s="32"/>
      <c r="T10" s="32"/>
      <c r="U10" s="32"/>
      <c r="V10" s="32">
        <v>7.71</v>
      </c>
      <c r="W10" s="32"/>
      <c r="X10" s="32"/>
      <c r="Y10" s="32"/>
      <c r="Z10" s="33">
        <v>7.71</v>
      </c>
    </row>
    <row r="11" spans="1:26" ht="14.25" customHeight="1" x14ac:dyDescent="0.3">
      <c r="A11" s="31" t="s">
        <v>95</v>
      </c>
      <c r="B11" s="32"/>
      <c r="C11" s="32"/>
      <c r="D11" s="32">
        <v>6.16</v>
      </c>
      <c r="E11" s="32"/>
      <c r="F11" s="32">
        <v>6.16</v>
      </c>
      <c r="G11" s="32"/>
      <c r="H11" s="32">
        <v>6.16</v>
      </c>
      <c r="I11" s="32"/>
      <c r="J11" s="32">
        <v>6.16</v>
      </c>
      <c r="K11" s="32"/>
      <c r="L11" s="32">
        <v>6.16</v>
      </c>
      <c r="M11" s="32"/>
      <c r="N11" s="32">
        <v>6.16</v>
      </c>
      <c r="O11" s="32"/>
      <c r="P11" s="32">
        <v>6.16</v>
      </c>
      <c r="Q11" s="32"/>
      <c r="R11" s="32">
        <v>6.16</v>
      </c>
      <c r="S11" s="32"/>
      <c r="T11" s="32">
        <v>6.16</v>
      </c>
      <c r="U11" s="32"/>
      <c r="V11" s="32">
        <v>6.16</v>
      </c>
      <c r="W11" s="32"/>
      <c r="X11" s="32">
        <v>6.16</v>
      </c>
      <c r="Y11" s="32"/>
      <c r="Z11" s="33">
        <v>6.16</v>
      </c>
    </row>
    <row r="12" spans="1:26" ht="14.25" customHeight="1" x14ac:dyDescent="0.3">
      <c r="A12" s="31" t="s">
        <v>96</v>
      </c>
      <c r="B12" s="32"/>
      <c r="C12" s="32"/>
      <c r="D12" s="32">
        <v>6.62</v>
      </c>
      <c r="E12" s="32"/>
      <c r="F12" s="32">
        <v>6.62</v>
      </c>
      <c r="G12" s="32"/>
      <c r="H12" s="32">
        <v>6.62</v>
      </c>
      <c r="I12" s="32"/>
      <c r="J12" s="32">
        <v>6.62</v>
      </c>
      <c r="K12" s="32"/>
      <c r="L12" s="32">
        <v>6.62</v>
      </c>
      <c r="M12" s="32"/>
      <c r="N12" s="32">
        <v>6.62</v>
      </c>
      <c r="O12" s="32"/>
      <c r="P12" s="32">
        <v>6.62</v>
      </c>
      <c r="Q12" s="32"/>
      <c r="R12" s="32">
        <v>6.62</v>
      </c>
      <c r="S12" s="32"/>
      <c r="T12" s="32">
        <v>6.62</v>
      </c>
      <c r="U12" s="32"/>
      <c r="V12" s="32">
        <v>6.62</v>
      </c>
      <c r="W12" s="32"/>
      <c r="X12" s="32">
        <v>6.62</v>
      </c>
      <c r="Y12" s="32"/>
      <c r="Z12" s="33">
        <v>6.62</v>
      </c>
    </row>
    <row r="13" spans="1:26" ht="14.25" customHeight="1" x14ac:dyDescent="0.3">
      <c r="A13" s="31" t="s">
        <v>119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>
        <v>17.73</v>
      </c>
      <c r="M13" s="32"/>
      <c r="N13" s="32"/>
      <c r="O13" s="32"/>
      <c r="P13" s="32"/>
      <c r="Q13" s="32"/>
      <c r="R13" s="32"/>
      <c r="S13" s="32"/>
      <c r="T13" s="32"/>
      <c r="U13" s="32"/>
      <c r="V13" s="32">
        <v>17.73</v>
      </c>
      <c r="W13" s="32"/>
      <c r="X13" s="32"/>
      <c r="Y13" s="32"/>
      <c r="Z13" s="33"/>
    </row>
    <row r="14" spans="1:26" ht="14.25" customHeight="1" x14ac:dyDescent="0.3">
      <c r="A14" s="40" t="s">
        <v>120</v>
      </c>
      <c r="B14" s="32"/>
      <c r="C14" s="32">
        <v>54.81</v>
      </c>
      <c r="D14" s="32"/>
      <c r="E14" s="32"/>
      <c r="F14" s="32"/>
      <c r="G14" s="32"/>
      <c r="H14" s="32"/>
      <c r="I14" s="32"/>
      <c r="J14" s="32"/>
      <c r="K14" s="32"/>
      <c r="L14" s="32">
        <v>54.81</v>
      </c>
      <c r="M14" s="32"/>
      <c r="N14" s="32"/>
      <c r="O14" s="32"/>
      <c r="P14" s="32"/>
      <c r="Q14" s="32"/>
      <c r="R14" s="32"/>
      <c r="S14" s="32"/>
      <c r="T14" s="32"/>
      <c r="U14" s="32"/>
      <c r="V14" s="32">
        <v>54.81</v>
      </c>
      <c r="W14" s="32"/>
      <c r="X14" s="32"/>
      <c r="Y14" s="32"/>
      <c r="Z14" s="33"/>
    </row>
    <row r="15" spans="1:26" ht="14.25" customHeight="1" x14ac:dyDescent="0.3">
      <c r="A15" s="31" t="s">
        <v>121</v>
      </c>
      <c r="B15" s="32">
        <v>3.5</v>
      </c>
      <c r="C15" s="32">
        <v>3.5</v>
      </c>
      <c r="D15" s="32">
        <v>3.5</v>
      </c>
      <c r="E15" s="32">
        <v>3.5</v>
      </c>
      <c r="F15" s="32">
        <v>3.5</v>
      </c>
      <c r="G15" s="32">
        <v>3.5</v>
      </c>
      <c r="H15" s="32">
        <v>3.5</v>
      </c>
      <c r="I15" s="32">
        <v>3.5</v>
      </c>
      <c r="J15" s="32">
        <v>3.5</v>
      </c>
      <c r="K15" s="32">
        <v>3.5</v>
      </c>
      <c r="L15" s="32">
        <v>3.5</v>
      </c>
      <c r="M15" s="32">
        <v>3.5</v>
      </c>
      <c r="N15" s="32">
        <v>3.5</v>
      </c>
      <c r="O15" s="32">
        <v>3.5</v>
      </c>
      <c r="P15" s="32">
        <v>3.5</v>
      </c>
      <c r="Q15" s="32">
        <v>3.5</v>
      </c>
      <c r="R15" s="32">
        <v>3.5</v>
      </c>
      <c r="S15" s="32">
        <v>3.5</v>
      </c>
      <c r="T15" s="32">
        <v>3.5</v>
      </c>
      <c r="U15" s="32">
        <v>3.5</v>
      </c>
      <c r="V15" s="32">
        <v>3.5</v>
      </c>
      <c r="W15" s="32">
        <v>3.5</v>
      </c>
      <c r="X15" s="32">
        <v>3.5</v>
      </c>
      <c r="Y15" s="32">
        <v>3.5</v>
      </c>
      <c r="Z15" s="33">
        <v>3.5</v>
      </c>
    </row>
    <row r="16" spans="1:26" ht="14.25" customHeight="1" x14ac:dyDescent="0.3">
      <c r="A16" s="34" t="s">
        <v>122</v>
      </c>
      <c r="B16" s="35"/>
      <c r="C16" s="35"/>
      <c r="D16" s="35"/>
      <c r="E16" s="35"/>
      <c r="F16" s="35">
        <v>3.59</v>
      </c>
      <c r="G16" s="35"/>
      <c r="H16" s="35"/>
      <c r="I16" s="35"/>
      <c r="J16" s="35">
        <v>3.59</v>
      </c>
      <c r="K16" s="35"/>
      <c r="L16" s="35"/>
      <c r="M16" s="35"/>
      <c r="N16" s="35">
        <v>3.59</v>
      </c>
      <c r="O16" s="35"/>
      <c r="P16" s="35"/>
      <c r="Q16" s="35"/>
      <c r="R16" s="35">
        <v>3.59</v>
      </c>
      <c r="S16" s="35"/>
      <c r="T16" s="35"/>
      <c r="U16" s="35"/>
      <c r="V16" s="35">
        <v>3.59</v>
      </c>
      <c r="W16" s="35"/>
      <c r="X16" s="35"/>
      <c r="Y16" s="35"/>
      <c r="Z16" s="36">
        <v>3.59</v>
      </c>
    </row>
    <row r="17" spans="1:26" ht="14.25" customHeight="1" x14ac:dyDescent="0.3">
      <c r="A17" s="41" t="s">
        <v>104</v>
      </c>
      <c r="B17" s="42">
        <f t="shared" ref="B17:Z17" si="1">SUM(B9:B16)</f>
        <v>43.82</v>
      </c>
      <c r="C17" s="42">
        <f t="shared" si="1"/>
        <v>98.63</v>
      </c>
      <c r="D17" s="42">
        <f t="shared" si="1"/>
        <v>56.6</v>
      </c>
      <c r="E17" s="42">
        <f t="shared" si="1"/>
        <v>43.82</v>
      </c>
      <c r="F17" s="42">
        <f t="shared" si="1"/>
        <v>67.900000000000006</v>
      </c>
      <c r="G17" s="42">
        <f t="shared" si="1"/>
        <v>43.82</v>
      </c>
      <c r="H17" s="42">
        <f t="shared" si="1"/>
        <v>56.6</v>
      </c>
      <c r="I17" s="42">
        <f t="shared" si="1"/>
        <v>43.82</v>
      </c>
      <c r="J17" s="42">
        <f t="shared" si="1"/>
        <v>67.900000000000006</v>
      </c>
      <c r="K17" s="42">
        <f t="shared" si="1"/>
        <v>43.82</v>
      </c>
      <c r="L17" s="42">
        <f t="shared" si="1"/>
        <v>129.13999999999999</v>
      </c>
      <c r="M17" s="42">
        <f t="shared" si="1"/>
        <v>43.82</v>
      </c>
      <c r="N17" s="42">
        <f t="shared" si="1"/>
        <v>67.900000000000006</v>
      </c>
      <c r="O17" s="42">
        <f t="shared" si="1"/>
        <v>43.82</v>
      </c>
      <c r="P17" s="42">
        <f t="shared" si="1"/>
        <v>56.6</v>
      </c>
      <c r="Q17" s="42">
        <f t="shared" si="1"/>
        <v>43.82</v>
      </c>
      <c r="R17" s="42">
        <f t="shared" si="1"/>
        <v>67.900000000000006</v>
      </c>
      <c r="S17" s="42">
        <f t="shared" si="1"/>
        <v>43.82</v>
      </c>
      <c r="T17" s="42">
        <f t="shared" si="1"/>
        <v>56.6</v>
      </c>
      <c r="U17" s="42">
        <f t="shared" si="1"/>
        <v>43.82</v>
      </c>
      <c r="V17" s="42">
        <f t="shared" si="1"/>
        <v>140.44</v>
      </c>
      <c r="W17" s="42">
        <f t="shared" si="1"/>
        <v>43.82</v>
      </c>
      <c r="X17" s="42">
        <f t="shared" si="1"/>
        <v>56.6</v>
      </c>
      <c r="Y17" s="42">
        <f t="shared" si="1"/>
        <v>43.82</v>
      </c>
      <c r="Z17" s="43">
        <f t="shared" si="1"/>
        <v>67.900000000000006</v>
      </c>
    </row>
    <row r="18" spans="1:26" ht="14.25" customHeight="1" x14ac:dyDescent="0.3">
      <c r="A18" s="28" t="s">
        <v>105</v>
      </c>
      <c r="B18" s="29">
        <v>15.18</v>
      </c>
      <c r="C18" s="29">
        <v>20.79</v>
      </c>
      <c r="D18" s="29">
        <v>137.28</v>
      </c>
      <c r="E18" s="29">
        <v>15.18</v>
      </c>
      <c r="F18" s="29">
        <v>146.19</v>
      </c>
      <c r="G18" s="29">
        <v>15.18</v>
      </c>
      <c r="H18" s="29">
        <v>157.08000000000001</v>
      </c>
      <c r="I18" s="29">
        <v>15.18</v>
      </c>
      <c r="J18" s="29">
        <v>181.5</v>
      </c>
      <c r="K18" s="29">
        <v>15.18</v>
      </c>
      <c r="L18" s="29">
        <v>150.81</v>
      </c>
      <c r="M18" s="29">
        <v>15.18</v>
      </c>
      <c r="N18" s="29">
        <v>163.35</v>
      </c>
      <c r="O18" s="29">
        <v>15.18</v>
      </c>
      <c r="P18" s="29">
        <v>128.04</v>
      </c>
      <c r="Q18" s="29">
        <v>15.18</v>
      </c>
      <c r="R18" s="29">
        <v>147.51</v>
      </c>
      <c r="S18" s="29">
        <v>15.18</v>
      </c>
      <c r="T18" s="29">
        <v>161.04</v>
      </c>
      <c r="U18" s="29">
        <v>15.18</v>
      </c>
      <c r="V18" s="29">
        <v>289.74</v>
      </c>
      <c r="W18" s="29">
        <v>15.18</v>
      </c>
      <c r="X18" s="29">
        <v>137.28</v>
      </c>
      <c r="Y18" s="29">
        <v>15.18</v>
      </c>
      <c r="Z18" s="30">
        <v>163.35</v>
      </c>
    </row>
    <row r="19" spans="1:26" ht="14.25" customHeight="1" x14ac:dyDescent="0.3">
      <c r="A19" s="31" t="s">
        <v>123</v>
      </c>
      <c r="B19" s="32">
        <v>0</v>
      </c>
      <c r="C19" s="32">
        <v>0</v>
      </c>
      <c r="D19" s="32">
        <v>17.16</v>
      </c>
      <c r="E19" s="32">
        <v>0</v>
      </c>
      <c r="F19" s="32">
        <v>17.16</v>
      </c>
      <c r="G19" s="32">
        <v>0</v>
      </c>
      <c r="H19" s="32">
        <v>17.16</v>
      </c>
      <c r="I19" s="32">
        <v>0</v>
      </c>
      <c r="J19" s="32">
        <v>17.16</v>
      </c>
      <c r="K19" s="32">
        <v>0</v>
      </c>
      <c r="L19" s="32">
        <v>17.16</v>
      </c>
      <c r="M19" s="32">
        <v>0</v>
      </c>
      <c r="N19" s="32">
        <v>17.16</v>
      </c>
      <c r="O19" s="32">
        <v>0</v>
      </c>
      <c r="P19" s="32">
        <v>17.16</v>
      </c>
      <c r="Q19" s="32">
        <v>0</v>
      </c>
      <c r="R19" s="32">
        <v>17.16</v>
      </c>
      <c r="S19" s="32">
        <v>0</v>
      </c>
      <c r="T19" s="32">
        <v>17.16</v>
      </c>
      <c r="U19" s="32">
        <v>0</v>
      </c>
      <c r="V19" s="32">
        <v>17.16</v>
      </c>
      <c r="W19" s="32">
        <v>0</v>
      </c>
      <c r="X19" s="32">
        <v>17.16</v>
      </c>
      <c r="Y19" s="32">
        <v>0</v>
      </c>
      <c r="Z19" s="32">
        <v>17.16</v>
      </c>
    </row>
    <row r="20" spans="1:26" ht="14.25" customHeight="1" x14ac:dyDescent="0.3">
      <c r="A20" s="31" t="s">
        <v>107</v>
      </c>
      <c r="B20" s="32"/>
      <c r="C20" s="32"/>
      <c r="D20" s="32">
        <v>15.84</v>
      </c>
      <c r="E20" s="32"/>
      <c r="F20" s="32">
        <v>15.84</v>
      </c>
      <c r="G20" s="32"/>
      <c r="H20" s="32">
        <v>15.84</v>
      </c>
      <c r="I20" s="32"/>
      <c r="J20" s="32">
        <v>15.84</v>
      </c>
      <c r="K20" s="32"/>
      <c r="L20" s="32">
        <v>15.84</v>
      </c>
      <c r="M20" s="32"/>
      <c r="N20" s="32">
        <v>15.84</v>
      </c>
      <c r="O20" s="32"/>
      <c r="P20" s="32">
        <v>15.84</v>
      </c>
      <c r="Q20" s="32"/>
      <c r="R20" s="32">
        <v>15.84</v>
      </c>
      <c r="S20" s="32"/>
      <c r="T20" s="32">
        <v>15.84</v>
      </c>
      <c r="U20" s="32"/>
      <c r="V20" s="32">
        <v>15.84</v>
      </c>
      <c r="W20" s="32"/>
      <c r="X20" s="32">
        <v>15.84</v>
      </c>
      <c r="Y20" s="32"/>
      <c r="Z20" s="32">
        <v>15.84</v>
      </c>
    </row>
    <row r="21" spans="1:26" ht="14.25" customHeight="1" x14ac:dyDescent="0.3">
      <c r="A21" s="31" t="s">
        <v>108</v>
      </c>
      <c r="B21" s="32">
        <v>0</v>
      </c>
      <c r="C21" s="32">
        <v>0</v>
      </c>
      <c r="D21" s="32">
        <v>0</v>
      </c>
      <c r="E21" s="32">
        <v>0</v>
      </c>
      <c r="F21" s="32">
        <v>16.5</v>
      </c>
      <c r="G21" s="32">
        <v>0</v>
      </c>
      <c r="H21" s="32">
        <v>0</v>
      </c>
      <c r="I21" s="32">
        <v>0</v>
      </c>
      <c r="J21" s="32">
        <v>16.5</v>
      </c>
      <c r="K21" s="32">
        <v>0</v>
      </c>
      <c r="L21" s="32">
        <v>0</v>
      </c>
      <c r="M21" s="32">
        <v>0</v>
      </c>
      <c r="N21" s="32">
        <v>16.5</v>
      </c>
      <c r="O21" s="32">
        <v>0</v>
      </c>
      <c r="P21" s="32">
        <v>0</v>
      </c>
      <c r="Q21" s="32">
        <v>0</v>
      </c>
      <c r="R21" s="32">
        <v>16.5</v>
      </c>
      <c r="S21" s="32">
        <v>0</v>
      </c>
      <c r="T21" s="32">
        <v>0</v>
      </c>
      <c r="U21" s="32">
        <v>0</v>
      </c>
      <c r="V21" s="32">
        <v>16.5</v>
      </c>
      <c r="W21" s="32">
        <v>0</v>
      </c>
      <c r="X21" s="32">
        <v>0</v>
      </c>
      <c r="Y21" s="32">
        <v>0</v>
      </c>
      <c r="Z21" s="33">
        <v>16.5</v>
      </c>
    </row>
    <row r="22" spans="1:26" ht="14.25" customHeight="1" x14ac:dyDescent="0.3">
      <c r="A22" s="34" t="s">
        <v>109</v>
      </c>
      <c r="B22" s="35"/>
      <c r="C22" s="35"/>
      <c r="D22" s="35">
        <v>9.9</v>
      </c>
      <c r="E22" s="35"/>
      <c r="F22" s="35">
        <v>9.9</v>
      </c>
      <c r="G22" s="35"/>
      <c r="H22" s="35">
        <v>9.9</v>
      </c>
      <c r="I22" s="35"/>
      <c r="J22" s="35">
        <v>9.9</v>
      </c>
      <c r="K22" s="35"/>
      <c r="L22" s="35">
        <v>9.9</v>
      </c>
      <c r="M22" s="35"/>
      <c r="N22" s="35">
        <v>9.9</v>
      </c>
      <c r="O22" s="35"/>
      <c r="P22" s="35">
        <v>9.9</v>
      </c>
      <c r="Q22" s="35"/>
      <c r="R22" s="35">
        <v>9.9</v>
      </c>
      <c r="S22" s="35"/>
      <c r="T22" s="35">
        <v>9.9</v>
      </c>
      <c r="U22" s="35"/>
      <c r="V22" s="35">
        <v>9.9</v>
      </c>
      <c r="W22" s="35"/>
      <c r="X22" s="35">
        <v>9.9</v>
      </c>
      <c r="Y22" s="35"/>
      <c r="Z22" s="36">
        <v>9.9</v>
      </c>
    </row>
    <row r="23" spans="1:26" ht="14.25" customHeight="1" x14ac:dyDescent="0.3">
      <c r="A23" s="44" t="s">
        <v>113</v>
      </c>
      <c r="B23" s="45">
        <f t="shared" ref="B23:Z23" si="2">SUM(B18:B22)</f>
        <v>15.18</v>
      </c>
      <c r="C23" s="45">
        <f t="shared" si="2"/>
        <v>20.79</v>
      </c>
      <c r="D23" s="45">
        <f t="shared" si="2"/>
        <v>180.18</v>
      </c>
      <c r="E23" s="45">
        <f t="shared" si="2"/>
        <v>15.18</v>
      </c>
      <c r="F23" s="45">
        <f t="shared" si="2"/>
        <v>205.59</v>
      </c>
      <c r="G23" s="45">
        <f t="shared" si="2"/>
        <v>15.18</v>
      </c>
      <c r="H23" s="45">
        <f t="shared" si="2"/>
        <v>199.98000000000002</v>
      </c>
      <c r="I23" s="45">
        <f t="shared" si="2"/>
        <v>15.18</v>
      </c>
      <c r="J23" s="45">
        <f t="shared" si="2"/>
        <v>240.9</v>
      </c>
      <c r="K23" s="45">
        <f t="shared" si="2"/>
        <v>15.18</v>
      </c>
      <c r="L23" s="45">
        <f t="shared" si="2"/>
        <v>193.71</v>
      </c>
      <c r="M23" s="45">
        <f t="shared" si="2"/>
        <v>15.18</v>
      </c>
      <c r="N23" s="45">
        <f t="shared" si="2"/>
        <v>222.75</v>
      </c>
      <c r="O23" s="45">
        <f t="shared" si="2"/>
        <v>15.18</v>
      </c>
      <c r="P23" s="45">
        <f t="shared" si="2"/>
        <v>170.94</v>
      </c>
      <c r="Q23" s="45">
        <f t="shared" si="2"/>
        <v>15.18</v>
      </c>
      <c r="R23" s="45">
        <f t="shared" si="2"/>
        <v>206.91</v>
      </c>
      <c r="S23" s="45">
        <f t="shared" si="2"/>
        <v>15.18</v>
      </c>
      <c r="T23" s="45">
        <f t="shared" si="2"/>
        <v>203.94</v>
      </c>
      <c r="U23" s="45">
        <f t="shared" si="2"/>
        <v>15.18</v>
      </c>
      <c r="V23" s="45">
        <f t="shared" si="2"/>
        <v>349.14</v>
      </c>
      <c r="W23" s="45">
        <f t="shared" si="2"/>
        <v>15.18</v>
      </c>
      <c r="X23" s="45">
        <f t="shared" si="2"/>
        <v>180.18</v>
      </c>
      <c r="Y23" s="45">
        <f t="shared" si="2"/>
        <v>15.18</v>
      </c>
      <c r="Z23" s="46">
        <f t="shared" si="2"/>
        <v>222.75</v>
      </c>
    </row>
    <row r="24" spans="1:26" ht="14.25" customHeight="1" x14ac:dyDescent="0.3">
      <c r="A24" s="47" t="s">
        <v>114</v>
      </c>
      <c r="B24" s="48">
        <f t="shared" ref="B24:Z24" si="3">+B8+B17+B23</f>
        <v>91.759999999999991</v>
      </c>
      <c r="C24" s="48">
        <f t="shared" si="3"/>
        <v>164.01999999999998</v>
      </c>
      <c r="D24" s="48">
        <f t="shared" si="3"/>
        <v>302.37</v>
      </c>
      <c r="E24" s="48">
        <f t="shared" si="3"/>
        <v>103.6</v>
      </c>
      <c r="F24" s="48">
        <f t="shared" si="3"/>
        <v>471.02</v>
      </c>
      <c r="G24" s="48">
        <f t="shared" si="3"/>
        <v>103.6</v>
      </c>
      <c r="H24" s="48">
        <f t="shared" si="3"/>
        <v>398.26</v>
      </c>
      <c r="I24" s="48">
        <f t="shared" si="3"/>
        <v>103.6</v>
      </c>
      <c r="J24" s="48">
        <f t="shared" si="3"/>
        <v>506.33000000000004</v>
      </c>
      <c r="K24" s="48">
        <f t="shared" si="3"/>
        <v>103.6</v>
      </c>
      <c r="L24" s="48">
        <f t="shared" si="3"/>
        <v>464.53</v>
      </c>
      <c r="M24" s="48">
        <f t="shared" si="3"/>
        <v>103.6</v>
      </c>
      <c r="N24" s="48">
        <f t="shared" si="3"/>
        <v>488.18</v>
      </c>
      <c r="O24" s="48">
        <f t="shared" si="3"/>
        <v>103.6</v>
      </c>
      <c r="P24" s="48">
        <f t="shared" si="3"/>
        <v>369.22</v>
      </c>
      <c r="Q24" s="48">
        <f t="shared" si="3"/>
        <v>103.6</v>
      </c>
      <c r="R24" s="48">
        <f t="shared" si="3"/>
        <v>472.34000000000003</v>
      </c>
      <c r="S24" s="48">
        <f t="shared" si="3"/>
        <v>103.6</v>
      </c>
      <c r="T24" s="48">
        <f t="shared" si="3"/>
        <v>402.22</v>
      </c>
      <c r="U24" s="48">
        <f t="shared" si="3"/>
        <v>103.6</v>
      </c>
      <c r="V24" s="48">
        <f t="shared" si="3"/>
        <v>687.11</v>
      </c>
      <c r="W24" s="48">
        <f t="shared" si="3"/>
        <v>103.6</v>
      </c>
      <c r="X24" s="48">
        <f t="shared" si="3"/>
        <v>302.37</v>
      </c>
      <c r="Y24" s="48">
        <f t="shared" si="3"/>
        <v>103.6</v>
      </c>
      <c r="Z24" s="48">
        <f t="shared" si="3"/>
        <v>488.18</v>
      </c>
    </row>
    <row r="25" spans="1:26" ht="14.25" customHeight="1" x14ac:dyDescent="0.3"/>
    <row r="26" spans="1:26" ht="14.25" customHeight="1" x14ac:dyDescent="0.3"/>
    <row r="27" spans="1:26" ht="14.25" customHeight="1" x14ac:dyDescent="0.3"/>
    <row r="28" spans="1:26" ht="14.25" customHeight="1" x14ac:dyDescent="0.3"/>
    <row r="29" spans="1:26" ht="14.25" customHeight="1" x14ac:dyDescent="0.3"/>
    <row r="30" spans="1:26" ht="14.25" customHeight="1" x14ac:dyDescent="0.3"/>
    <row r="31" spans="1:26" ht="14.25" customHeight="1" x14ac:dyDescent="0.3"/>
    <row r="32" spans="1:2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Z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000"/>
  <sheetViews>
    <sheetView workbookViewId="0">
      <selection activeCell="G5" sqref="G5"/>
    </sheetView>
  </sheetViews>
  <sheetFormatPr baseColWidth="10" defaultColWidth="14.44140625" defaultRowHeight="15" customHeight="1" x14ac:dyDescent="0.3"/>
  <cols>
    <col min="1" max="1" width="10.6640625" customWidth="1"/>
    <col min="2" max="2" width="4.109375" customWidth="1"/>
    <col min="3" max="3" width="19.6640625" customWidth="1"/>
    <col min="4" max="4" width="25.33203125" customWidth="1"/>
    <col min="5" max="5" width="15.6640625" customWidth="1"/>
    <col min="6" max="26" width="10.6640625" customWidth="1"/>
  </cols>
  <sheetData>
    <row r="1" spans="2:7" ht="14.25" customHeight="1" x14ac:dyDescent="0.3"/>
    <row r="2" spans="2:7" ht="14.25" customHeight="1" x14ac:dyDescent="0.3">
      <c r="B2" s="89" t="s">
        <v>128</v>
      </c>
      <c r="C2" s="90"/>
      <c r="D2" s="90"/>
      <c r="E2" s="91"/>
      <c r="G2" s="49" t="s">
        <v>129</v>
      </c>
    </row>
    <row r="3" spans="2:7" ht="14.25" customHeight="1" x14ac:dyDescent="0.3">
      <c r="B3" s="50">
        <v>1</v>
      </c>
      <c r="C3" s="9" t="s">
        <v>130</v>
      </c>
      <c r="D3" s="92" t="s">
        <v>131</v>
      </c>
      <c r="E3" s="51">
        <f>'POER AC 2.0 CD 4X4 TM DIESEL'!AP55*G3</f>
        <v>8178.9100000000008</v>
      </c>
      <c r="F3" s="52"/>
      <c r="G3" s="49">
        <v>1</v>
      </c>
    </row>
    <row r="4" spans="2:7" ht="14.25" customHeight="1" x14ac:dyDescent="0.3">
      <c r="B4" s="50">
        <v>2</v>
      </c>
      <c r="C4" s="9" t="s">
        <v>132</v>
      </c>
      <c r="D4" s="93"/>
      <c r="E4" s="51">
        <f>'POER AC 2.0 CD 4X4 TM DIESEL'!AP67*G3</f>
        <v>3019.67</v>
      </c>
    </row>
    <row r="5" spans="2:7" ht="14.25" customHeight="1" x14ac:dyDescent="0.3">
      <c r="B5" s="50">
        <v>3</v>
      </c>
      <c r="C5" s="9" t="s">
        <v>133</v>
      </c>
      <c r="D5" s="94"/>
      <c r="E5" s="51">
        <f>'POER AC 2.0 CD 4X4 TM DIESEL'!AP76*G3</f>
        <v>6104.45</v>
      </c>
    </row>
    <row r="6" spans="2:7" ht="33" customHeight="1" x14ac:dyDescent="0.3">
      <c r="B6" s="26">
        <v>4</v>
      </c>
      <c r="C6" s="53" t="s">
        <v>134</v>
      </c>
      <c r="D6" s="54" t="s">
        <v>135</v>
      </c>
      <c r="E6" s="55">
        <f>(E3+E4+E5)*0.3</f>
        <v>5190.9090000000006</v>
      </c>
    </row>
    <row r="7" spans="2:7" ht="14.25" customHeight="1" x14ac:dyDescent="0.3">
      <c r="B7" s="95" t="s">
        <v>136</v>
      </c>
      <c r="C7" s="96"/>
      <c r="D7" s="97"/>
      <c r="E7" s="56">
        <f>SUM(E3:E6)</f>
        <v>22493.939000000002</v>
      </c>
    </row>
    <row r="8" spans="2:7" ht="14.25" customHeight="1" x14ac:dyDescent="0.3">
      <c r="B8" s="98" t="s">
        <v>137</v>
      </c>
      <c r="C8" s="99"/>
      <c r="D8" s="99"/>
      <c r="E8" s="99"/>
    </row>
    <row r="9" spans="2:7" ht="14.25" customHeight="1" x14ac:dyDescent="0.3"/>
    <row r="10" spans="2:7" ht="14.25" customHeight="1" x14ac:dyDescent="0.3"/>
    <row r="11" spans="2:7" ht="14.25" customHeight="1" x14ac:dyDescent="0.3">
      <c r="B11" s="89" t="s">
        <v>138</v>
      </c>
      <c r="C11" s="90"/>
      <c r="D11" s="90"/>
      <c r="E11" s="91"/>
      <c r="G11" s="49" t="s">
        <v>129</v>
      </c>
    </row>
    <row r="12" spans="2:7" ht="14.25" customHeight="1" x14ac:dyDescent="0.3">
      <c r="B12" s="50">
        <v>1</v>
      </c>
      <c r="C12" s="9" t="s">
        <v>130</v>
      </c>
      <c r="D12" s="92" t="s">
        <v>131</v>
      </c>
      <c r="E12" s="51">
        <f>'POER AC 2.0 CD 4X2 TM DIESE'!AP55*G12</f>
        <v>8178.9100000000008</v>
      </c>
      <c r="G12" s="49">
        <v>1</v>
      </c>
    </row>
    <row r="13" spans="2:7" ht="14.25" customHeight="1" x14ac:dyDescent="0.3">
      <c r="B13" s="50">
        <v>2</v>
      </c>
      <c r="C13" s="9" t="s">
        <v>132</v>
      </c>
      <c r="D13" s="93"/>
      <c r="E13" s="51">
        <f>'POER AC 2.0 CD 4X2 TM DIESE'!AP65*G12</f>
        <v>2816.94</v>
      </c>
    </row>
    <row r="14" spans="2:7" ht="14.25" customHeight="1" x14ac:dyDescent="0.3">
      <c r="B14" s="50">
        <v>3</v>
      </c>
      <c r="C14" s="9" t="s">
        <v>133</v>
      </c>
      <c r="D14" s="94"/>
      <c r="E14" s="51">
        <f>'POER AC 2.0 CD 4X2 TM DIESE'!AP74*G12</f>
        <v>6104.45</v>
      </c>
    </row>
    <row r="15" spans="2:7" ht="36" customHeight="1" x14ac:dyDescent="0.3">
      <c r="B15" s="26">
        <v>4</v>
      </c>
      <c r="C15" s="53" t="s">
        <v>134</v>
      </c>
      <c r="D15" s="54" t="s">
        <v>135</v>
      </c>
      <c r="E15" s="55">
        <f>(E12+E13+E14)*0.3</f>
        <v>5130.0899999999992</v>
      </c>
    </row>
    <row r="16" spans="2:7" ht="14.25" customHeight="1" x14ac:dyDescent="0.3">
      <c r="B16" s="95" t="s">
        <v>136</v>
      </c>
      <c r="C16" s="96"/>
      <c r="D16" s="97"/>
      <c r="E16" s="56">
        <f>SUM(E12:E15)</f>
        <v>22230.39</v>
      </c>
    </row>
    <row r="17" spans="2:5" ht="14.25" customHeight="1" x14ac:dyDescent="0.3">
      <c r="B17" s="98" t="s">
        <v>137</v>
      </c>
      <c r="C17" s="99"/>
      <c r="D17" s="99"/>
      <c r="E17" s="99"/>
    </row>
    <row r="18" spans="2:5" ht="14.25" customHeight="1" x14ac:dyDescent="0.3"/>
    <row r="19" spans="2:5" ht="14.25" customHeight="1" x14ac:dyDescent="0.3"/>
    <row r="20" spans="2:5" ht="14.25" customHeight="1" x14ac:dyDescent="0.3"/>
    <row r="21" spans="2:5" ht="14.25" customHeight="1" x14ac:dyDescent="0.3"/>
    <row r="22" spans="2:5" ht="14.25" customHeight="1" x14ac:dyDescent="0.3"/>
    <row r="23" spans="2:5" ht="14.25" customHeight="1" x14ac:dyDescent="0.3"/>
    <row r="24" spans="2:5" ht="14.25" customHeight="1" x14ac:dyDescent="0.3"/>
    <row r="25" spans="2:5" ht="14.25" customHeight="1" x14ac:dyDescent="0.3"/>
    <row r="26" spans="2:5" ht="14.25" customHeight="1" x14ac:dyDescent="0.3"/>
    <row r="27" spans="2:5" ht="14.25" customHeight="1" x14ac:dyDescent="0.3"/>
    <row r="28" spans="2:5" ht="14.25" customHeight="1" x14ac:dyDescent="0.3"/>
    <row r="29" spans="2:5" ht="14.25" customHeight="1" x14ac:dyDescent="0.3"/>
    <row r="30" spans="2:5" ht="14.25" customHeight="1" x14ac:dyDescent="0.3"/>
    <row r="31" spans="2:5" ht="14.25" customHeight="1" x14ac:dyDescent="0.3"/>
    <row r="32" spans="2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D12:D14"/>
    <mergeCell ref="B16:D16"/>
    <mergeCell ref="B17:E17"/>
    <mergeCell ref="B2:E2"/>
    <mergeCell ref="D3:D5"/>
    <mergeCell ref="B7:D7"/>
    <mergeCell ref="B8:E8"/>
    <mergeCell ref="B11:E1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998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44.44140625" customWidth="1"/>
    <col min="4" max="4" width="13.5546875" customWidth="1"/>
    <col min="5" max="5" width="14.5546875" customWidth="1"/>
    <col min="6" max="6" width="12.5546875" customWidth="1"/>
    <col min="7" max="9" width="11.5546875" hidden="1" customWidth="1"/>
    <col min="10" max="10" width="10.6640625" hidden="1" customWidth="1"/>
    <col min="11" max="23" width="10.6640625" customWidth="1"/>
  </cols>
  <sheetData>
    <row r="1" spans="1:11" ht="14.25" customHeight="1" x14ac:dyDescent="0.3">
      <c r="A1" s="57" t="s">
        <v>139</v>
      </c>
      <c r="B1" s="104" t="s">
        <v>140</v>
      </c>
      <c r="C1" s="105"/>
      <c r="D1" s="105"/>
      <c r="E1" s="105"/>
      <c r="F1" s="105"/>
    </row>
    <row r="2" spans="1:11" ht="14.25" customHeight="1" x14ac:dyDescent="0.3">
      <c r="A2" s="57" t="s">
        <v>141</v>
      </c>
      <c r="B2" s="58" t="s">
        <v>142</v>
      </c>
      <c r="C2" s="106" t="s">
        <v>143</v>
      </c>
      <c r="D2" s="105"/>
      <c r="E2" s="105"/>
      <c r="F2" s="107"/>
    </row>
    <row r="3" spans="1:11" ht="28.8" x14ac:dyDescent="0.3">
      <c r="A3" s="59" t="s">
        <v>144</v>
      </c>
      <c r="B3" s="59" t="s">
        <v>145</v>
      </c>
      <c r="C3" s="60" t="s">
        <v>92</v>
      </c>
      <c r="D3" s="61" t="s">
        <v>146</v>
      </c>
      <c r="E3" s="60" t="s">
        <v>104</v>
      </c>
      <c r="F3" s="61" t="s">
        <v>147</v>
      </c>
    </row>
    <row r="4" spans="1:11" ht="14.25" customHeight="1" x14ac:dyDescent="0.3">
      <c r="A4" s="57">
        <v>1</v>
      </c>
      <c r="B4" s="62" t="s">
        <v>148</v>
      </c>
      <c r="C4" s="63">
        <f>G4*1.1</f>
        <v>1172.952</v>
      </c>
      <c r="D4" s="63">
        <v>264</v>
      </c>
      <c r="E4" s="63"/>
      <c r="F4" s="63">
        <f t="shared" ref="F4:F9" si="0">C4+D4+E4</f>
        <v>1436.952</v>
      </c>
      <c r="G4" s="64">
        <v>1066.32</v>
      </c>
      <c r="H4" s="65">
        <v>72.599999999999994</v>
      </c>
      <c r="J4" s="49">
        <v>0.15</v>
      </c>
    </row>
    <row r="5" spans="1:11" ht="14.25" customHeight="1" x14ac:dyDescent="0.3">
      <c r="A5" s="57">
        <v>2</v>
      </c>
      <c r="B5" s="62" t="s">
        <v>124</v>
      </c>
      <c r="C5" s="63">
        <v>966</v>
      </c>
      <c r="D5" s="63">
        <f>34*8</f>
        <v>272</v>
      </c>
      <c r="E5" s="63"/>
      <c r="F5" s="63">
        <f t="shared" si="0"/>
        <v>1238</v>
      </c>
      <c r="G5" s="64"/>
      <c r="H5" s="65"/>
      <c r="J5" s="49"/>
    </row>
    <row r="6" spans="1:11" ht="14.25" customHeight="1" x14ac:dyDescent="0.3">
      <c r="A6" s="57">
        <v>3</v>
      </c>
      <c r="B6" s="62" t="s">
        <v>149</v>
      </c>
      <c r="C6" s="63">
        <f t="shared" ref="C6:C9" si="1">G6*1.1</f>
        <v>237.76500000000001</v>
      </c>
      <c r="D6" s="63">
        <v>165</v>
      </c>
      <c r="E6" s="63">
        <v>35.44</v>
      </c>
      <c r="F6" s="63">
        <f t="shared" si="0"/>
        <v>438.20499999999998</v>
      </c>
      <c r="G6" s="64">
        <v>216.15</v>
      </c>
      <c r="H6" s="65">
        <v>57.75</v>
      </c>
    </row>
    <row r="7" spans="1:11" ht="14.25" customHeight="1" x14ac:dyDescent="0.3">
      <c r="A7" s="57">
        <v>4</v>
      </c>
      <c r="B7" s="62" t="s">
        <v>150</v>
      </c>
      <c r="C7" s="63">
        <f t="shared" si="1"/>
        <v>300.46499999999997</v>
      </c>
      <c r="D7" s="63">
        <v>132</v>
      </c>
      <c r="E7" s="63">
        <f>8.71*2</f>
        <v>17.420000000000002</v>
      </c>
      <c r="F7" s="63">
        <f t="shared" si="0"/>
        <v>449.88499999999999</v>
      </c>
      <c r="G7" s="64">
        <v>273.14999999999998</v>
      </c>
      <c r="H7" s="65">
        <v>67.650000000000006</v>
      </c>
    </row>
    <row r="8" spans="1:11" ht="14.25" customHeight="1" x14ac:dyDescent="0.3">
      <c r="A8" s="57">
        <v>5</v>
      </c>
      <c r="B8" s="62" t="s">
        <v>151</v>
      </c>
      <c r="C8" s="63">
        <f t="shared" si="1"/>
        <v>187.39600000000004</v>
      </c>
      <c r="D8" s="63">
        <v>49.5</v>
      </c>
      <c r="E8" s="63"/>
      <c r="F8" s="63">
        <f t="shared" si="0"/>
        <v>236.89600000000004</v>
      </c>
      <c r="G8" s="64">
        <v>170.36</v>
      </c>
      <c r="H8" s="65">
        <v>79.2</v>
      </c>
    </row>
    <row r="9" spans="1:11" ht="14.25" customHeight="1" x14ac:dyDescent="0.3">
      <c r="A9" s="57">
        <v>6</v>
      </c>
      <c r="B9" s="62" t="s">
        <v>152</v>
      </c>
      <c r="C9" s="63">
        <f t="shared" si="1"/>
        <v>125.41100000000002</v>
      </c>
      <c r="D9" s="63">
        <v>49.5</v>
      </c>
      <c r="E9" s="63"/>
      <c r="F9" s="63">
        <f t="shared" si="0"/>
        <v>174.911</v>
      </c>
      <c r="G9" s="64">
        <v>114.01</v>
      </c>
      <c r="H9" s="65">
        <v>56.1</v>
      </c>
    </row>
    <row r="10" spans="1:11" ht="14.25" customHeight="1" x14ac:dyDescent="0.3">
      <c r="A10" s="57">
        <v>7</v>
      </c>
      <c r="B10" s="62" t="s">
        <v>153</v>
      </c>
      <c r="C10" s="63">
        <v>350</v>
      </c>
      <c r="D10" s="108">
        <v>165</v>
      </c>
      <c r="E10" s="108"/>
      <c r="F10" s="109">
        <f>+C10+D10+E10+C11+C12</f>
        <v>575</v>
      </c>
      <c r="G10" s="49"/>
    </row>
    <row r="11" spans="1:11" ht="14.25" customHeight="1" x14ac:dyDescent="0.3">
      <c r="A11" s="57">
        <v>8</v>
      </c>
      <c r="B11" s="62" t="s">
        <v>79</v>
      </c>
      <c r="C11" s="63">
        <v>50</v>
      </c>
      <c r="D11" s="93"/>
      <c r="E11" s="93"/>
      <c r="F11" s="93"/>
      <c r="G11" s="49"/>
      <c r="K11" s="66"/>
    </row>
    <row r="12" spans="1:11" ht="14.25" customHeight="1" x14ac:dyDescent="0.3">
      <c r="A12" s="57">
        <v>9</v>
      </c>
      <c r="B12" s="67" t="s">
        <v>80</v>
      </c>
      <c r="C12" s="63">
        <v>10</v>
      </c>
      <c r="D12" s="94"/>
      <c r="E12" s="94"/>
      <c r="F12" s="94"/>
      <c r="G12" s="68"/>
      <c r="H12" s="69"/>
    </row>
    <row r="13" spans="1:11" ht="14.25" customHeight="1" x14ac:dyDescent="0.3">
      <c r="A13" s="57">
        <v>10</v>
      </c>
      <c r="B13" s="67" t="s">
        <v>154</v>
      </c>
      <c r="C13" s="63">
        <v>100</v>
      </c>
      <c r="D13" s="63">
        <v>68</v>
      </c>
      <c r="E13" s="63"/>
      <c r="F13" s="63">
        <f t="shared" ref="F13:F30" si="2">C13+D13+E13</f>
        <v>168</v>
      </c>
      <c r="G13" s="64">
        <v>81.47</v>
      </c>
      <c r="H13" s="65">
        <v>61.05</v>
      </c>
    </row>
    <row r="14" spans="1:11" ht="14.25" customHeight="1" x14ac:dyDescent="0.3">
      <c r="A14" s="57">
        <v>11</v>
      </c>
      <c r="B14" s="62" t="s">
        <v>155</v>
      </c>
      <c r="C14" s="63">
        <v>135</v>
      </c>
      <c r="D14" s="63">
        <v>49.5</v>
      </c>
      <c r="E14" s="63"/>
      <c r="F14" s="63">
        <f t="shared" si="2"/>
        <v>184.5</v>
      </c>
      <c r="G14" s="64">
        <v>128.79</v>
      </c>
      <c r="H14" s="65">
        <v>16.5</v>
      </c>
    </row>
    <row r="15" spans="1:11" ht="14.25" customHeight="1" x14ac:dyDescent="0.3">
      <c r="A15" s="57">
        <v>12</v>
      </c>
      <c r="B15" s="62" t="s">
        <v>156</v>
      </c>
      <c r="C15" s="63">
        <v>120</v>
      </c>
      <c r="D15" s="63">
        <v>49.5</v>
      </c>
      <c r="E15" s="63"/>
      <c r="F15" s="63">
        <f t="shared" si="2"/>
        <v>169.5</v>
      </c>
      <c r="G15" s="64">
        <v>94.12</v>
      </c>
      <c r="H15" s="65">
        <v>16.5</v>
      </c>
    </row>
    <row r="16" spans="1:11" ht="14.25" customHeight="1" x14ac:dyDescent="0.3">
      <c r="A16" s="57">
        <v>13</v>
      </c>
      <c r="B16" s="62" t="s">
        <v>157</v>
      </c>
      <c r="C16" s="63">
        <v>30</v>
      </c>
      <c r="D16" s="63">
        <v>82.5</v>
      </c>
      <c r="E16" s="63"/>
      <c r="F16" s="63">
        <f t="shared" si="2"/>
        <v>112.5</v>
      </c>
      <c r="G16" s="64">
        <v>189.85</v>
      </c>
      <c r="H16" s="65">
        <v>41.25</v>
      </c>
    </row>
    <row r="17" spans="1:26" ht="14.25" customHeight="1" x14ac:dyDescent="0.3">
      <c r="A17" s="57">
        <v>14</v>
      </c>
      <c r="B17" s="62" t="s">
        <v>158</v>
      </c>
      <c r="C17" s="63">
        <v>230.24</v>
      </c>
      <c r="D17" s="63">
        <v>115.5</v>
      </c>
      <c r="E17" s="63"/>
      <c r="F17" s="63">
        <f t="shared" si="2"/>
        <v>345.74</v>
      </c>
      <c r="G17" s="64"/>
      <c r="H17" s="65"/>
    </row>
    <row r="18" spans="1:26" ht="14.25" customHeight="1" x14ac:dyDescent="0.3">
      <c r="A18" s="57">
        <v>15</v>
      </c>
      <c r="B18" s="70" t="s">
        <v>159</v>
      </c>
      <c r="C18" s="71">
        <v>385.5</v>
      </c>
      <c r="D18" s="71">
        <v>66</v>
      </c>
      <c r="E18" s="71"/>
      <c r="F18" s="63">
        <f t="shared" si="2"/>
        <v>451.5</v>
      </c>
      <c r="G18" s="64">
        <v>35</v>
      </c>
      <c r="H18" s="65">
        <v>66</v>
      </c>
    </row>
    <row r="19" spans="1:26" ht="14.25" customHeight="1" x14ac:dyDescent="0.3">
      <c r="A19" s="57">
        <v>16</v>
      </c>
      <c r="B19" s="67" t="s">
        <v>160</v>
      </c>
      <c r="C19" s="71">
        <v>30</v>
      </c>
      <c r="D19" s="71">
        <v>68</v>
      </c>
      <c r="E19" s="71"/>
      <c r="F19" s="63">
        <f t="shared" si="2"/>
        <v>98</v>
      </c>
      <c r="G19" s="64"/>
      <c r="H19" s="65"/>
    </row>
    <row r="20" spans="1:26" ht="14.25" customHeight="1" x14ac:dyDescent="0.3">
      <c r="A20" s="57">
        <v>17</v>
      </c>
      <c r="B20" s="62" t="s">
        <v>161</v>
      </c>
      <c r="C20" s="63">
        <f>G20*1.1</f>
        <v>199.49600000000004</v>
      </c>
      <c r="D20" s="63">
        <v>165</v>
      </c>
      <c r="E20" s="63">
        <v>15</v>
      </c>
      <c r="F20" s="63">
        <f t="shared" si="2"/>
        <v>379.49600000000004</v>
      </c>
      <c r="G20" s="64">
        <v>181.36</v>
      </c>
      <c r="H20" s="65">
        <v>41.25</v>
      </c>
    </row>
    <row r="21" spans="1:26" ht="14.25" customHeight="1" x14ac:dyDescent="0.3">
      <c r="A21" s="57">
        <v>18</v>
      </c>
      <c r="B21" s="62" t="s">
        <v>162</v>
      </c>
      <c r="C21" s="63">
        <v>75</v>
      </c>
      <c r="D21" s="63">
        <v>66</v>
      </c>
      <c r="E21" s="63">
        <v>15</v>
      </c>
      <c r="F21" s="63">
        <f t="shared" si="2"/>
        <v>156</v>
      </c>
      <c r="G21" s="64">
        <v>58.05</v>
      </c>
      <c r="H21" s="65">
        <v>61.05</v>
      </c>
    </row>
    <row r="22" spans="1:26" ht="14.25" customHeight="1" x14ac:dyDescent="0.3">
      <c r="A22" s="57">
        <v>19</v>
      </c>
      <c r="B22" s="62" t="s">
        <v>163</v>
      </c>
      <c r="C22" s="63">
        <f>G22*1.1</f>
        <v>352.78100000000001</v>
      </c>
      <c r="D22" s="63">
        <v>49.5</v>
      </c>
      <c r="E22" s="63"/>
      <c r="F22" s="63">
        <f t="shared" si="2"/>
        <v>402.28100000000001</v>
      </c>
      <c r="G22" s="64">
        <v>320.70999999999998</v>
      </c>
      <c r="H22" s="65">
        <v>41.25</v>
      </c>
    </row>
    <row r="23" spans="1:26" ht="14.25" customHeight="1" x14ac:dyDescent="0.3">
      <c r="A23" s="57">
        <v>20</v>
      </c>
      <c r="B23" s="62" t="s">
        <v>164</v>
      </c>
      <c r="C23" s="63">
        <v>650.53</v>
      </c>
      <c r="D23" s="63">
        <v>132</v>
      </c>
      <c r="E23" s="63">
        <f>8.71*2</f>
        <v>17.420000000000002</v>
      </c>
      <c r="F23" s="63">
        <f t="shared" si="2"/>
        <v>799.94999999999993</v>
      </c>
      <c r="G23" s="64">
        <v>544.66</v>
      </c>
      <c r="H23" s="65">
        <v>74.25</v>
      </c>
      <c r="I23" s="72">
        <v>14.85</v>
      </c>
    </row>
    <row r="24" spans="1:26" ht="14.25" customHeight="1" x14ac:dyDescent="0.3">
      <c r="A24" s="57">
        <v>21</v>
      </c>
      <c r="B24" s="62" t="s">
        <v>165</v>
      </c>
      <c r="C24" s="63">
        <v>70</v>
      </c>
      <c r="D24" s="63">
        <v>66</v>
      </c>
      <c r="E24" s="63"/>
      <c r="F24" s="63">
        <f t="shared" si="2"/>
        <v>136</v>
      </c>
      <c r="G24" s="68"/>
      <c r="H24" s="73"/>
      <c r="I24" s="74"/>
    </row>
    <row r="25" spans="1:26" ht="14.25" customHeight="1" x14ac:dyDescent="0.3">
      <c r="A25" s="57">
        <v>22</v>
      </c>
      <c r="B25" s="62" t="s">
        <v>166</v>
      </c>
      <c r="C25" s="63">
        <v>70</v>
      </c>
      <c r="D25" s="63">
        <v>66</v>
      </c>
      <c r="E25" s="63"/>
      <c r="F25" s="63">
        <f t="shared" si="2"/>
        <v>136</v>
      </c>
      <c r="G25" s="68"/>
      <c r="H25" s="73"/>
      <c r="I25" s="74"/>
    </row>
    <row r="26" spans="1:26" ht="14.25" customHeight="1" x14ac:dyDescent="0.3">
      <c r="A26" s="57">
        <v>23</v>
      </c>
      <c r="B26" s="62" t="s">
        <v>167</v>
      </c>
      <c r="C26" s="63">
        <v>190.41</v>
      </c>
      <c r="D26" s="63">
        <v>66</v>
      </c>
      <c r="E26" s="63"/>
      <c r="F26" s="63">
        <f t="shared" si="2"/>
        <v>256.40999999999997</v>
      </c>
      <c r="G26" s="49"/>
    </row>
    <row r="27" spans="1:26" ht="14.25" customHeight="1" x14ac:dyDescent="0.3">
      <c r="A27" s="57">
        <v>24</v>
      </c>
      <c r="B27" s="62" t="s">
        <v>168</v>
      </c>
      <c r="C27" s="63">
        <v>394.61</v>
      </c>
      <c r="D27" s="63">
        <v>66</v>
      </c>
      <c r="E27" s="63"/>
      <c r="F27" s="63">
        <f t="shared" si="2"/>
        <v>460.61</v>
      </c>
      <c r="G27" s="49"/>
    </row>
    <row r="28" spans="1:26" ht="14.25" customHeight="1" x14ac:dyDescent="0.3">
      <c r="A28" s="57">
        <v>25</v>
      </c>
      <c r="B28" s="70" t="s">
        <v>169</v>
      </c>
      <c r="C28" s="71">
        <v>488</v>
      </c>
      <c r="D28" s="71">
        <v>99</v>
      </c>
      <c r="E28" s="71"/>
      <c r="F28" s="71">
        <f t="shared" si="2"/>
        <v>587</v>
      </c>
      <c r="G28" s="75">
        <v>413.24</v>
      </c>
      <c r="H28" s="76">
        <v>49.5</v>
      </c>
      <c r="I28" s="3"/>
      <c r="J28" s="3"/>
      <c r="K28" s="3"/>
      <c r="L28" s="3"/>
      <c r="M28" s="3"/>
      <c r="N28" s="3"/>
      <c r="O28" s="3"/>
    </row>
    <row r="29" spans="1:26" ht="14.25" customHeight="1" x14ac:dyDescent="0.3">
      <c r="A29" s="57">
        <v>26</v>
      </c>
      <c r="B29" s="70" t="s">
        <v>170</v>
      </c>
      <c r="C29" s="71">
        <f>G29*1.1</f>
        <v>37.686</v>
      </c>
      <c r="D29" s="71">
        <v>16.5</v>
      </c>
      <c r="E29" s="71"/>
      <c r="F29" s="71">
        <f t="shared" si="2"/>
        <v>54.186</v>
      </c>
      <c r="G29" s="75">
        <v>34.26</v>
      </c>
      <c r="H29" s="76">
        <v>14.85</v>
      </c>
      <c r="I29" s="3"/>
      <c r="J29" s="3"/>
      <c r="K29" s="3"/>
      <c r="L29" s="3"/>
      <c r="M29" s="3"/>
      <c r="N29" s="3"/>
      <c r="O29" s="3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4.25" customHeight="1" x14ac:dyDescent="0.3">
      <c r="A30" s="57">
        <v>27</v>
      </c>
      <c r="B30" s="70" t="s">
        <v>171</v>
      </c>
      <c r="C30" s="71">
        <v>62</v>
      </c>
      <c r="D30" s="71">
        <v>33</v>
      </c>
      <c r="E30" s="71"/>
      <c r="F30" s="71">
        <f t="shared" si="2"/>
        <v>95</v>
      </c>
      <c r="G30" s="75">
        <v>52.84</v>
      </c>
      <c r="H30" s="76">
        <v>26.4</v>
      </c>
      <c r="I30" s="3"/>
      <c r="J30" s="3"/>
      <c r="K30" s="3"/>
      <c r="L30" s="3"/>
      <c r="M30" s="3"/>
      <c r="N30" s="3"/>
      <c r="O30" s="3"/>
    </row>
    <row r="31" spans="1:26" ht="14.25" customHeight="1" x14ac:dyDescent="0.3">
      <c r="A31" s="57">
        <v>28</v>
      </c>
      <c r="B31" s="70" t="s">
        <v>172</v>
      </c>
      <c r="C31" s="100">
        <v>81.99</v>
      </c>
      <c r="D31" s="100">
        <v>8.5</v>
      </c>
      <c r="E31" s="100"/>
      <c r="F31" s="101">
        <f>+C31+D31+E31</f>
        <v>90.49</v>
      </c>
      <c r="G31" s="3"/>
      <c r="H31" s="3"/>
      <c r="I31" s="3"/>
      <c r="J31" s="3"/>
      <c r="K31" s="3"/>
      <c r="L31" s="3"/>
      <c r="M31" s="3"/>
      <c r="N31" s="3"/>
      <c r="O31" s="3"/>
    </row>
    <row r="32" spans="1:26" ht="14.25" customHeight="1" x14ac:dyDescent="0.3">
      <c r="A32" s="57">
        <v>29</v>
      </c>
      <c r="B32" s="70" t="s">
        <v>173</v>
      </c>
      <c r="C32" s="94"/>
      <c r="D32" s="94"/>
      <c r="E32" s="94"/>
      <c r="F32" s="94"/>
      <c r="G32" s="3"/>
      <c r="H32" s="3"/>
      <c r="I32" s="3"/>
      <c r="J32" s="3"/>
      <c r="K32" s="3"/>
      <c r="L32" s="3"/>
      <c r="M32" s="3"/>
      <c r="N32" s="3"/>
      <c r="O32" s="3"/>
    </row>
    <row r="33" spans="1:15" ht="14.25" customHeight="1" x14ac:dyDescent="0.3">
      <c r="A33" s="57">
        <v>30</v>
      </c>
      <c r="B33" s="70" t="s">
        <v>45</v>
      </c>
      <c r="C33" s="78">
        <v>76.09</v>
      </c>
      <c r="D33" s="79">
        <v>42.5</v>
      </c>
      <c r="E33" s="79"/>
      <c r="F33" s="71">
        <f t="shared" ref="F33:F52" si="3">SUM(C33:E33)</f>
        <v>118.59</v>
      </c>
      <c r="G33" s="3"/>
      <c r="H33" s="3"/>
      <c r="I33" s="3"/>
      <c r="J33" s="3"/>
      <c r="K33" s="3"/>
      <c r="L33" s="3"/>
      <c r="M33" s="3"/>
      <c r="N33" s="3"/>
      <c r="O33" s="3"/>
    </row>
    <row r="34" spans="1:15" ht="14.25" customHeight="1" x14ac:dyDescent="0.3">
      <c r="A34" s="57">
        <v>31</v>
      </c>
      <c r="B34" s="62" t="s">
        <v>46</v>
      </c>
      <c r="C34" s="80">
        <v>55.85</v>
      </c>
      <c r="D34" s="81">
        <v>42.5</v>
      </c>
      <c r="E34" s="81"/>
      <c r="F34" s="63">
        <f t="shared" si="3"/>
        <v>98.35</v>
      </c>
      <c r="G34" s="49"/>
    </row>
    <row r="35" spans="1:15" ht="14.25" customHeight="1" x14ac:dyDescent="0.3">
      <c r="A35" s="57">
        <v>32</v>
      </c>
      <c r="B35" s="62" t="s">
        <v>174</v>
      </c>
      <c r="C35" s="63">
        <v>1.25</v>
      </c>
      <c r="D35" s="63">
        <v>6.6</v>
      </c>
      <c r="E35" s="63"/>
      <c r="F35" s="63">
        <f t="shared" si="3"/>
        <v>7.85</v>
      </c>
      <c r="G35" s="64">
        <v>12</v>
      </c>
      <c r="H35" s="65">
        <v>6.6</v>
      </c>
    </row>
    <row r="36" spans="1:15" ht="14.25" customHeight="1" x14ac:dyDescent="0.3">
      <c r="A36" s="57">
        <v>33</v>
      </c>
      <c r="B36" s="62" t="s">
        <v>175</v>
      </c>
      <c r="C36" s="63">
        <v>1.3</v>
      </c>
      <c r="D36" s="63">
        <v>6.6</v>
      </c>
      <c r="E36" s="63"/>
      <c r="F36" s="63">
        <f t="shared" si="3"/>
        <v>7.8999999999999995</v>
      </c>
      <c r="G36" s="68"/>
      <c r="H36" s="73"/>
    </row>
    <row r="37" spans="1:15" ht="14.25" customHeight="1" x14ac:dyDescent="0.3">
      <c r="A37" s="57">
        <v>34</v>
      </c>
      <c r="B37" s="62" t="s">
        <v>176</v>
      </c>
      <c r="C37" s="63">
        <v>12</v>
      </c>
      <c r="D37" s="63">
        <v>6.6</v>
      </c>
      <c r="E37" s="63"/>
      <c r="F37" s="63">
        <f t="shared" si="3"/>
        <v>18.600000000000001</v>
      </c>
      <c r="G37" s="68"/>
      <c r="H37" s="73"/>
    </row>
    <row r="38" spans="1:15" ht="14.25" customHeight="1" x14ac:dyDescent="0.3">
      <c r="A38" s="57">
        <v>35</v>
      </c>
      <c r="B38" s="62" t="s">
        <v>177</v>
      </c>
      <c r="C38" s="63">
        <v>180</v>
      </c>
      <c r="D38" s="63">
        <v>10</v>
      </c>
      <c r="E38" s="63"/>
      <c r="F38" s="63">
        <f t="shared" si="3"/>
        <v>190</v>
      </c>
      <c r="G38" s="68"/>
      <c r="H38" s="73"/>
    </row>
    <row r="39" spans="1:15" ht="14.25" customHeight="1" x14ac:dyDescent="0.3">
      <c r="A39" s="57">
        <v>36</v>
      </c>
      <c r="B39" s="62" t="s">
        <v>178</v>
      </c>
      <c r="C39" s="63">
        <v>0</v>
      </c>
      <c r="D39" s="63">
        <v>6.5</v>
      </c>
      <c r="E39" s="63"/>
      <c r="F39" s="63">
        <f t="shared" si="3"/>
        <v>6.5</v>
      </c>
      <c r="G39" s="68"/>
      <c r="H39" s="73"/>
    </row>
    <row r="40" spans="1:15" ht="14.25" customHeight="1" x14ac:dyDescent="0.3">
      <c r="A40" s="57">
        <v>37</v>
      </c>
      <c r="B40" s="62" t="s">
        <v>179</v>
      </c>
      <c r="C40" s="63">
        <v>0</v>
      </c>
      <c r="D40" s="63">
        <v>15</v>
      </c>
      <c r="E40" s="63"/>
      <c r="F40" s="63">
        <f t="shared" si="3"/>
        <v>15</v>
      </c>
      <c r="G40" s="68"/>
      <c r="H40" s="73"/>
    </row>
    <row r="41" spans="1:15" ht="14.25" customHeight="1" x14ac:dyDescent="0.3">
      <c r="A41" s="57">
        <v>38</v>
      </c>
      <c r="B41" s="62" t="s">
        <v>180</v>
      </c>
      <c r="C41" s="63">
        <v>620</v>
      </c>
      <c r="D41" s="63">
        <v>34</v>
      </c>
      <c r="E41" s="63"/>
      <c r="F41" s="63">
        <f t="shared" si="3"/>
        <v>654</v>
      </c>
      <c r="G41" s="49"/>
    </row>
    <row r="42" spans="1:15" ht="14.25" customHeight="1" x14ac:dyDescent="0.3">
      <c r="A42" s="57">
        <v>39</v>
      </c>
      <c r="B42" s="67" t="s">
        <v>181</v>
      </c>
      <c r="C42" s="63">
        <v>0</v>
      </c>
      <c r="D42" s="63">
        <v>26</v>
      </c>
      <c r="E42" s="63"/>
      <c r="F42" s="63">
        <f t="shared" si="3"/>
        <v>26</v>
      </c>
      <c r="G42" s="49"/>
    </row>
    <row r="43" spans="1:15" ht="14.25" customHeight="1" x14ac:dyDescent="0.3">
      <c r="A43" s="57">
        <v>40</v>
      </c>
      <c r="B43" s="67" t="s">
        <v>182</v>
      </c>
      <c r="C43" s="63">
        <v>0</v>
      </c>
      <c r="D43" s="63">
        <v>26</v>
      </c>
      <c r="E43" s="63"/>
      <c r="F43" s="63">
        <f t="shared" si="3"/>
        <v>26</v>
      </c>
      <c r="G43" s="49"/>
    </row>
    <row r="44" spans="1:15" ht="14.25" customHeight="1" x14ac:dyDescent="0.3">
      <c r="A44" s="57">
        <v>41</v>
      </c>
      <c r="B44" s="62" t="s">
        <v>183</v>
      </c>
      <c r="C44" s="80">
        <v>90</v>
      </c>
      <c r="D44" s="63">
        <v>0</v>
      </c>
      <c r="E44" s="80">
        <v>0</v>
      </c>
      <c r="F44" s="63">
        <f t="shared" si="3"/>
        <v>90</v>
      </c>
      <c r="G44" s="49"/>
    </row>
    <row r="45" spans="1:15" ht="14.25" customHeight="1" x14ac:dyDescent="0.3">
      <c r="A45" s="57">
        <v>42</v>
      </c>
      <c r="B45" s="82" t="s">
        <v>184</v>
      </c>
      <c r="C45" s="83">
        <v>0</v>
      </c>
      <c r="D45" s="84">
        <v>17.16</v>
      </c>
      <c r="E45" s="83"/>
      <c r="F45" s="63">
        <f t="shared" si="3"/>
        <v>17.16</v>
      </c>
      <c r="G45" s="49"/>
    </row>
    <row r="46" spans="1:15" ht="14.25" customHeight="1" x14ac:dyDescent="0.3">
      <c r="A46" s="57">
        <v>43</v>
      </c>
      <c r="B46" s="82" t="s">
        <v>107</v>
      </c>
      <c r="C46" s="83">
        <v>0</v>
      </c>
      <c r="D46" s="84">
        <v>15.84</v>
      </c>
      <c r="E46" s="83"/>
      <c r="F46" s="63">
        <f t="shared" si="3"/>
        <v>15.84</v>
      </c>
      <c r="G46" s="49"/>
    </row>
    <row r="47" spans="1:15" ht="14.25" customHeight="1" x14ac:dyDescent="0.3">
      <c r="A47" s="57">
        <v>44</v>
      </c>
      <c r="B47" s="62" t="s">
        <v>185</v>
      </c>
      <c r="C47" s="80">
        <v>230</v>
      </c>
      <c r="D47" s="80">
        <v>68</v>
      </c>
      <c r="E47" s="80"/>
      <c r="F47" s="63">
        <f t="shared" si="3"/>
        <v>298</v>
      </c>
      <c r="G47" s="49"/>
    </row>
    <row r="48" spans="1:15" ht="14.25" customHeight="1" x14ac:dyDescent="0.3">
      <c r="A48" s="57">
        <v>45</v>
      </c>
      <c r="B48" s="67" t="s">
        <v>186</v>
      </c>
      <c r="C48" s="80">
        <v>270</v>
      </c>
      <c r="D48" s="80">
        <v>68</v>
      </c>
      <c r="E48" s="80">
        <v>35.44</v>
      </c>
      <c r="F48" s="63">
        <f t="shared" si="3"/>
        <v>373.44</v>
      </c>
      <c r="G48" s="49"/>
    </row>
    <row r="49" spans="1:7" ht="14.25" customHeight="1" x14ac:dyDescent="0.3">
      <c r="A49" s="57">
        <v>46</v>
      </c>
      <c r="B49" s="62" t="s">
        <v>187</v>
      </c>
      <c r="C49" s="80"/>
      <c r="D49" s="80">
        <v>98</v>
      </c>
      <c r="E49" s="80"/>
      <c r="F49" s="63">
        <f t="shared" si="3"/>
        <v>98</v>
      </c>
      <c r="G49" s="49"/>
    </row>
    <row r="50" spans="1:7" ht="14.25" customHeight="1" x14ac:dyDescent="0.3">
      <c r="A50" s="57">
        <v>47</v>
      </c>
      <c r="B50" s="62" t="s">
        <v>188</v>
      </c>
      <c r="C50" s="80"/>
      <c r="D50" s="80">
        <v>297</v>
      </c>
      <c r="E50" s="80"/>
      <c r="F50" s="63">
        <f t="shared" si="3"/>
        <v>297</v>
      </c>
      <c r="G50" s="49"/>
    </row>
    <row r="51" spans="1:7" ht="14.25" customHeight="1" x14ac:dyDescent="0.3">
      <c r="A51" s="57">
        <v>48</v>
      </c>
      <c r="B51" s="62" t="s">
        <v>189</v>
      </c>
      <c r="C51" s="63">
        <v>15</v>
      </c>
      <c r="D51" s="63">
        <v>3.2</v>
      </c>
      <c r="E51" s="63"/>
      <c r="F51" s="63">
        <f t="shared" si="3"/>
        <v>18.2</v>
      </c>
      <c r="G51" s="49"/>
    </row>
    <row r="52" spans="1:7" ht="14.25" customHeight="1" x14ac:dyDescent="0.3">
      <c r="A52" s="57">
        <v>49</v>
      </c>
      <c r="B52" s="62" t="s">
        <v>190</v>
      </c>
      <c r="C52" s="63">
        <v>1.25</v>
      </c>
      <c r="D52" s="63">
        <v>3.2</v>
      </c>
      <c r="E52" s="63"/>
      <c r="F52" s="63">
        <f t="shared" si="3"/>
        <v>4.45</v>
      </c>
      <c r="G52" s="49"/>
    </row>
    <row r="53" spans="1:7" ht="14.25" customHeight="1" x14ac:dyDescent="0.3">
      <c r="A53" s="102">
        <v>50</v>
      </c>
      <c r="B53" s="62" t="s">
        <v>191</v>
      </c>
      <c r="C53" s="80">
        <v>200</v>
      </c>
      <c r="D53" s="103">
        <v>1060</v>
      </c>
      <c r="E53" s="103">
        <v>100</v>
      </c>
      <c r="F53" s="103">
        <f>SUM(C53:E60)</f>
        <v>3194.15</v>
      </c>
      <c r="G53" s="49"/>
    </row>
    <row r="54" spans="1:7" ht="14.25" customHeight="1" x14ac:dyDescent="0.3">
      <c r="A54" s="93"/>
      <c r="B54" s="62" t="s">
        <v>192</v>
      </c>
      <c r="C54" s="80">
        <v>420</v>
      </c>
      <c r="D54" s="93"/>
      <c r="E54" s="93"/>
      <c r="F54" s="93"/>
      <c r="G54" s="49"/>
    </row>
    <row r="55" spans="1:7" ht="14.25" customHeight="1" x14ac:dyDescent="0.3">
      <c r="A55" s="93"/>
      <c r="B55" s="62" t="s">
        <v>193</v>
      </c>
      <c r="C55" s="80">
        <v>520</v>
      </c>
      <c r="D55" s="93"/>
      <c r="E55" s="93"/>
      <c r="F55" s="93"/>
      <c r="G55" s="49"/>
    </row>
    <row r="56" spans="1:7" ht="14.25" customHeight="1" x14ac:dyDescent="0.3">
      <c r="A56" s="93"/>
      <c r="B56" s="62" t="s">
        <v>194</v>
      </c>
      <c r="C56" s="80">
        <v>250</v>
      </c>
      <c r="D56" s="93"/>
      <c r="E56" s="93"/>
      <c r="F56" s="93"/>
      <c r="G56" s="49"/>
    </row>
    <row r="57" spans="1:7" ht="14.25" customHeight="1" x14ac:dyDescent="0.3">
      <c r="A57" s="93"/>
      <c r="B57" s="62" t="s">
        <v>195</v>
      </c>
      <c r="C57" s="80">
        <v>120</v>
      </c>
      <c r="D57" s="93"/>
      <c r="E57" s="93"/>
      <c r="F57" s="93"/>
      <c r="G57" s="49"/>
    </row>
    <row r="58" spans="1:7" ht="14.25" customHeight="1" x14ac:dyDescent="0.3">
      <c r="A58" s="93"/>
      <c r="B58" s="62" t="s">
        <v>196</v>
      </c>
      <c r="C58" s="80">
        <v>180</v>
      </c>
      <c r="D58" s="93"/>
      <c r="E58" s="93"/>
      <c r="F58" s="93"/>
      <c r="G58" s="49"/>
    </row>
    <row r="59" spans="1:7" ht="14.25" customHeight="1" x14ac:dyDescent="0.3">
      <c r="A59" s="93"/>
      <c r="B59" s="62" t="s">
        <v>197</v>
      </c>
      <c r="C59" s="80">
        <v>20</v>
      </c>
      <c r="D59" s="93"/>
      <c r="E59" s="93"/>
      <c r="F59" s="93"/>
      <c r="G59" s="49"/>
    </row>
    <row r="60" spans="1:7" ht="14.25" customHeight="1" x14ac:dyDescent="0.3">
      <c r="A60" s="94"/>
      <c r="B60" s="62" t="s">
        <v>198</v>
      </c>
      <c r="C60" s="80">
        <v>324.14999999999998</v>
      </c>
      <c r="D60" s="94"/>
      <c r="E60" s="94"/>
      <c r="F60" s="94"/>
      <c r="G60" s="49"/>
    </row>
    <row r="61" spans="1:7" ht="14.25" customHeight="1" x14ac:dyDescent="0.3">
      <c r="A61" s="57">
        <v>51</v>
      </c>
      <c r="B61" s="67" t="s">
        <v>199</v>
      </c>
      <c r="C61" s="80">
        <v>950</v>
      </c>
      <c r="D61" s="80">
        <f>34*3</f>
        <v>102</v>
      </c>
      <c r="E61" s="80">
        <v>26.61</v>
      </c>
      <c r="F61" s="80">
        <f t="shared" ref="F61:F71" si="4">+C61+D61+E61</f>
        <v>1078.6099999999999</v>
      </c>
      <c r="G61" s="49"/>
    </row>
    <row r="62" spans="1:7" ht="14.25" customHeight="1" x14ac:dyDescent="0.3">
      <c r="A62" s="57">
        <v>52</v>
      </c>
      <c r="B62" s="62" t="s">
        <v>200</v>
      </c>
      <c r="C62" s="80">
        <v>196</v>
      </c>
      <c r="D62" s="80">
        <v>51</v>
      </c>
      <c r="E62" s="80">
        <v>15</v>
      </c>
      <c r="F62" s="80">
        <f t="shared" si="4"/>
        <v>262</v>
      </c>
      <c r="G62" s="49"/>
    </row>
    <row r="63" spans="1:7" ht="14.25" customHeight="1" x14ac:dyDescent="0.3">
      <c r="A63" s="57">
        <v>53</v>
      </c>
      <c r="B63" s="62" t="s">
        <v>201</v>
      </c>
      <c r="C63" s="80">
        <v>196</v>
      </c>
      <c r="D63" s="80">
        <v>51</v>
      </c>
      <c r="E63" s="80">
        <v>15</v>
      </c>
      <c r="F63" s="80">
        <f t="shared" si="4"/>
        <v>262</v>
      </c>
      <c r="G63" s="49"/>
    </row>
    <row r="64" spans="1:7" ht="14.25" customHeight="1" x14ac:dyDescent="0.3">
      <c r="A64" s="57">
        <v>54</v>
      </c>
      <c r="B64" s="62" t="s">
        <v>202</v>
      </c>
      <c r="C64" s="80">
        <v>300</v>
      </c>
      <c r="D64" s="80">
        <v>51</v>
      </c>
      <c r="E64" s="80">
        <v>15</v>
      </c>
      <c r="F64" s="80">
        <f t="shared" si="4"/>
        <v>366</v>
      </c>
      <c r="G64" s="49"/>
    </row>
    <row r="65" spans="1:7" ht="14.25" customHeight="1" x14ac:dyDescent="0.3">
      <c r="A65" s="57">
        <v>55</v>
      </c>
      <c r="B65" s="62" t="s">
        <v>203</v>
      </c>
      <c r="C65" s="80">
        <v>300</v>
      </c>
      <c r="D65" s="80">
        <v>51</v>
      </c>
      <c r="E65" s="80">
        <v>15</v>
      </c>
      <c r="F65" s="80">
        <f t="shared" si="4"/>
        <v>366</v>
      </c>
      <c r="G65" s="49"/>
    </row>
    <row r="66" spans="1:7" ht="14.25" customHeight="1" x14ac:dyDescent="0.3">
      <c r="A66" s="57">
        <v>56</v>
      </c>
      <c r="B66" s="62" t="s">
        <v>204</v>
      </c>
      <c r="C66" s="80">
        <v>60</v>
      </c>
      <c r="D66" s="80">
        <v>20</v>
      </c>
      <c r="E66" s="80"/>
      <c r="F66" s="80">
        <f t="shared" si="4"/>
        <v>80</v>
      </c>
      <c r="G66" s="49"/>
    </row>
    <row r="67" spans="1:7" ht="14.25" customHeight="1" x14ac:dyDescent="0.3">
      <c r="A67" s="57">
        <v>57</v>
      </c>
      <c r="B67" s="67" t="s">
        <v>205</v>
      </c>
      <c r="C67" s="80">
        <v>35</v>
      </c>
      <c r="D67" s="80">
        <v>34</v>
      </c>
      <c r="E67" s="80"/>
      <c r="F67" s="80">
        <f t="shared" si="4"/>
        <v>69</v>
      </c>
      <c r="G67" s="49"/>
    </row>
    <row r="68" spans="1:7" ht="14.25" customHeight="1" x14ac:dyDescent="0.3">
      <c r="A68" s="57">
        <v>58</v>
      </c>
      <c r="B68" s="67" t="s">
        <v>206</v>
      </c>
      <c r="C68" s="80">
        <v>35</v>
      </c>
      <c r="D68" s="80">
        <v>34</v>
      </c>
      <c r="E68" s="80"/>
      <c r="F68" s="80">
        <f t="shared" si="4"/>
        <v>69</v>
      </c>
      <c r="G68" s="49"/>
    </row>
    <row r="69" spans="1:7" ht="14.25" customHeight="1" x14ac:dyDescent="0.3">
      <c r="A69" s="57">
        <v>59</v>
      </c>
      <c r="B69" s="67" t="s">
        <v>207</v>
      </c>
      <c r="C69" s="80">
        <v>6</v>
      </c>
      <c r="D69" s="80">
        <v>34</v>
      </c>
      <c r="E69" s="80"/>
      <c r="F69" s="80">
        <f t="shared" si="4"/>
        <v>40</v>
      </c>
      <c r="G69" s="49"/>
    </row>
    <row r="70" spans="1:7" ht="14.25" customHeight="1" x14ac:dyDescent="0.3">
      <c r="A70" s="57">
        <v>60</v>
      </c>
      <c r="B70" s="67" t="s">
        <v>208</v>
      </c>
      <c r="C70" s="80">
        <v>5</v>
      </c>
      <c r="D70" s="80">
        <v>68</v>
      </c>
      <c r="E70" s="80"/>
      <c r="F70" s="80">
        <f t="shared" si="4"/>
        <v>73</v>
      </c>
      <c r="G70" s="49"/>
    </row>
    <row r="71" spans="1:7" ht="14.25" customHeight="1" x14ac:dyDescent="0.3">
      <c r="A71" s="57">
        <v>61</v>
      </c>
      <c r="B71" s="67" t="s">
        <v>209</v>
      </c>
      <c r="C71" s="80">
        <v>350</v>
      </c>
      <c r="D71" s="80">
        <v>102</v>
      </c>
      <c r="E71" s="80"/>
      <c r="F71" s="80">
        <f t="shared" si="4"/>
        <v>452</v>
      </c>
      <c r="G71" s="49"/>
    </row>
    <row r="72" spans="1:7" ht="14.25" customHeight="1" x14ac:dyDescent="0.3">
      <c r="C72" s="66"/>
      <c r="D72" s="66"/>
      <c r="E72" s="66"/>
      <c r="F72" s="66"/>
    </row>
    <row r="73" spans="1:7" ht="14.25" customHeight="1" x14ac:dyDescent="0.3">
      <c r="C73" s="66"/>
      <c r="D73" s="66"/>
      <c r="E73" s="66"/>
      <c r="F73" s="66"/>
    </row>
    <row r="74" spans="1:7" ht="14.25" customHeight="1" x14ac:dyDescent="0.3">
      <c r="C74" s="66"/>
      <c r="D74" s="66"/>
      <c r="E74" s="66"/>
      <c r="F74" s="66"/>
    </row>
    <row r="75" spans="1:7" ht="14.25" customHeight="1" x14ac:dyDescent="0.3">
      <c r="C75" s="66"/>
      <c r="D75" s="66"/>
      <c r="E75" s="66"/>
      <c r="F75" s="66"/>
    </row>
    <row r="76" spans="1:7" ht="14.25" customHeight="1" x14ac:dyDescent="0.3">
      <c r="C76" s="66"/>
      <c r="D76" s="66"/>
      <c r="E76" s="66"/>
      <c r="F76" s="66"/>
    </row>
    <row r="77" spans="1:7" ht="14.25" customHeight="1" x14ac:dyDescent="0.3">
      <c r="C77" s="66"/>
      <c r="D77" s="66"/>
      <c r="E77" s="66"/>
      <c r="F77" s="66"/>
    </row>
    <row r="78" spans="1:7" ht="14.25" customHeight="1" x14ac:dyDescent="0.3">
      <c r="C78" s="66"/>
      <c r="D78" s="66"/>
      <c r="E78" s="66"/>
      <c r="F78" s="66"/>
    </row>
    <row r="79" spans="1:7" ht="14.25" customHeight="1" x14ac:dyDescent="0.3">
      <c r="C79" s="66"/>
      <c r="D79" s="66"/>
      <c r="E79" s="66"/>
      <c r="F79" s="66"/>
    </row>
    <row r="80" spans="1:7" ht="14.25" customHeight="1" x14ac:dyDescent="0.3">
      <c r="C80" s="66"/>
      <c r="D80" s="66"/>
      <c r="E80" s="66"/>
      <c r="F80" s="66"/>
    </row>
    <row r="81" spans="3:6" ht="14.25" customHeight="1" x14ac:dyDescent="0.3">
      <c r="C81" s="66"/>
      <c r="D81" s="66"/>
      <c r="E81" s="66"/>
      <c r="F81" s="66"/>
    </row>
    <row r="82" spans="3:6" ht="14.25" customHeight="1" x14ac:dyDescent="0.3">
      <c r="C82" s="66"/>
      <c r="D82" s="66"/>
      <c r="E82" s="66"/>
      <c r="F82" s="66"/>
    </row>
    <row r="83" spans="3:6" ht="14.25" customHeight="1" x14ac:dyDescent="0.3">
      <c r="C83" s="66"/>
      <c r="D83" s="66"/>
      <c r="E83" s="66"/>
      <c r="F83" s="66"/>
    </row>
    <row r="84" spans="3:6" ht="14.25" customHeight="1" x14ac:dyDescent="0.3">
      <c r="C84" s="66"/>
      <c r="D84" s="66"/>
      <c r="E84" s="66"/>
      <c r="F84" s="66"/>
    </row>
    <row r="85" spans="3:6" ht="14.25" customHeight="1" x14ac:dyDescent="0.3">
      <c r="C85" s="66"/>
      <c r="D85" s="66"/>
      <c r="E85" s="66"/>
      <c r="F85" s="66"/>
    </row>
    <row r="86" spans="3:6" ht="14.25" customHeight="1" x14ac:dyDescent="0.3">
      <c r="C86" s="66"/>
      <c r="D86" s="66"/>
      <c r="E86" s="66"/>
      <c r="F86" s="66"/>
    </row>
    <row r="87" spans="3:6" ht="14.25" customHeight="1" x14ac:dyDescent="0.3">
      <c r="C87" s="66"/>
      <c r="D87" s="66"/>
      <c r="E87" s="66"/>
      <c r="F87" s="66"/>
    </row>
    <row r="88" spans="3:6" ht="14.25" customHeight="1" x14ac:dyDescent="0.3">
      <c r="C88" s="66"/>
      <c r="D88" s="66"/>
      <c r="E88" s="66"/>
      <c r="F88" s="66"/>
    </row>
    <row r="89" spans="3:6" ht="14.25" customHeight="1" x14ac:dyDescent="0.3">
      <c r="C89" s="66"/>
      <c r="D89" s="66"/>
      <c r="E89" s="66"/>
      <c r="F89" s="66"/>
    </row>
    <row r="90" spans="3:6" ht="14.25" customHeight="1" x14ac:dyDescent="0.3">
      <c r="C90" s="66"/>
      <c r="D90" s="66"/>
      <c r="E90" s="66"/>
      <c r="F90" s="66"/>
    </row>
    <row r="91" spans="3:6" ht="14.25" customHeight="1" x14ac:dyDescent="0.3">
      <c r="C91" s="66"/>
      <c r="D91" s="66"/>
      <c r="E91" s="66"/>
      <c r="F91" s="66"/>
    </row>
    <row r="92" spans="3:6" ht="14.25" customHeight="1" x14ac:dyDescent="0.3">
      <c r="C92" s="66"/>
      <c r="D92" s="66"/>
      <c r="E92" s="66"/>
      <c r="F92" s="66"/>
    </row>
    <row r="93" spans="3:6" ht="14.25" customHeight="1" x14ac:dyDescent="0.3">
      <c r="C93" s="66"/>
      <c r="D93" s="66"/>
      <c r="E93" s="66"/>
      <c r="F93" s="66"/>
    </row>
    <row r="94" spans="3:6" ht="14.25" customHeight="1" x14ac:dyDescent="0.3">
      <c r="C94" s="66"/>
      <c r="D94" s="66"/>
      <c r="E94" s="66"/>
      <c r="F94" s="66"/>
    </row>
    <row r="95" spans="3:6" ht="14.25" customHeight="1" x14ac:dyDescent="0.3">
      <c r="C95" s="66"/>
      <c r="D95" s="66"/>
      <c r="E95" s="66"/>
      <c r="F95" s="66"/>
    </row>
    <row r="96" spans="3:6" ht="14.25" customHeight="1" x14ac:dyDescent="0.3">
      <c r="C96" s="66"/>
      <c r="D96" s="66"/>
      <c r="E96" s="66"/>
      <c r="F96" s="66"/>
    </row>
    <row r="97" spans="3:6" ht="14.25" customHeight="1" x14ac:dyDescent="0.3">
      <c r="C97" s="66"/>
      <c r="D97" s="66"/>
      <c r="E97" s="66"/>
      <c r="F97" s="66"/>
    </row>
    <row r="98" spans="3:6" ht="14.25" customHeight="1" x14ac:dyDescent="0.3">
      <c r="C98" s="66"/>
      <c r="D98" s="66"/>
      <c r="E98" s="66"/>
      <c r="F98" s="66"/>
    </row>
    <row r="99" spans="3:6" ht="14.25" customHeight="1" x14ac:dyDescent="0.3">
      <c r="C99" s="66"/>
      <c r="D99" s="66"/>
      <c r="E99" s="66"/>
      <c r="F99" s="66"/>
    </row>
    <row r="100" spans="3:6" ht="14.25" customHeight="1" x14ac:dyDescent="0.3">
      <c r="C100" s="66"/>
      <c r="D100" s="66"/>
      <c r="E100" s="66"/>
      <c r="F100" s="66"/>
    </row>
    <row r="101" spans="3:6" ht="14.25" customHeight="1" x14ac:dyDescent="0.3">
      <c r="C101" s="66"/>
      <c r="D101" s="66"/>
      <c r="E101" s="66"/>
      <c r="F101" s="66"/>
    </row>
    <row r="102" spans="3:6" ht="14.25" customHeight="1" x14ac:dyDescent="0.3">
      <c r="C102" s="66"/>
      <c r="D102" s="66"/>
      <c r="E102" s="66"/>
      <c r="F102" s="66"/>
    </row>
    <row r="103" spans="3:6" ht="14.25" customHeight="1" x14ac:dyDescent="0.3">
      <c r="C103" s="66"/>
      <c r="D103" s="66"/>
      <c r="E103" s="66"/>
      <c r="F103" s="66"/>
    </row>
    <row r="104" spans="3:6" ht="14.25" customHeight="1" x14ac:dyDescent="0.3">
      <c r="C104" s="66"/>
      <c r="D104" s="66"/>
      <c r="E104" s="66"/>
      <c r="F104" s="66"/>
    </row>
    <row r="105" spans="3:6" ht="14.25" customHeight="1" x14ac:dyDescent="0.3">
      <c r="C105" s="66"/>
      <c r="D105" s="66"/>
      <c r="E105" s="66"/>
      <c r="F105" s="66"/>
    </row>
    <row r="106" spans="3:6" ht="14.25" customHeight="1" x14ac:dyDescent="0.3">
      <c r="C106" s="66"/>
      <c r="D106" s="66"/>
      <c r="E106" s="66"/>
      <c r="F106" s="66"/>
    </row>
    <row r="107" spans="3:6" ht="14.25" customHeight="1" x14ac:dyDescent="0.3">
      <c r="C107" s="66"/>
      <c r="D107" s="66"/>
      <c r="E107" s="66"/>
      <c r="F107" s="66"/>
    </row>
    <row r="108" spans="3:6" ht="14.25" customHeight="1" x14ac:dyDescent="0.3">
      <c r="C108" s="66"/>
      <c r="D108" s="66"/>
      <c r="E108" s="66"/>
      <c r="F108" s="66"/>
    </row>
    <row r="109" spans="3:6" ht="14.25" customHeight="1" x14ac:dyDescent="0.3">
      <c r="C109" s="66"/>
      <c r="D109" s="66"/>
      <c r="E109" s="66"/>
      <c r="F109" s="66"/>
    </row>
    <row r="110" spans="3:6" ht="14.25" customHeight="1" x14ac:dyDescent="0.3">
      <c r="C110" s="66"/>
      <c r="D110" s="66"/>
      <c r="E110" s="66"/>
      <c r="F110" s="66"/>
    </row>
    <row r="111" spans="3:6" ht="14.25" customHeight="1" x14ac:dyDescent="0.3">
      <c r="C111" s="66"/>
      <c r="D111" s="66"/>
      <c r="E111" s="66"/>
      <c r="F111" s="66"/>
    </row>
    <row r="112" spans="3:6" ht="14.25" customHeight="1" x14ac:dyDescent="0.3">
      <c r="C112" s="66"/>
      <c r="D112" s="66"/>
      <c r="E112" s="66"/>
      <c r="F112" s="66"/>
    </row>
    <row r="113" spans="3:6" ht="14.25" customHeight="1" x14ac:dyDescent="0.3">
      <c r="C113" s="66"/>
      <c r="D113" s="66"/>
      <c r="E113" s="66"/>
      <c r="F113" s="66"/>
    </row>
    <row r="114" spans="3:6" ht="14.25" customHeight="1" x14ac:dyDescent="0.3">
      <c r="C114" s="66"/>
      <c r="D114" s="66"/>
      <c r="E114" s="66"/>
      <c r="F114" s="66"/>
    </row>
    <row r="115" spans="3:6" ht="14.25" customHeight="1" x14ac:dyDescent="0.3">
      <c r="C115" s="66"/>
      <c r="D115" s="66"/>
      <c r="E115" s="66"/>
      <c r="F115" s="66"/>
    </row>
    <row r="116" spans="3:6" ht="14.25" customHeight="1" x14ac:dyDescent="0.3">
      <c r="C116" s="66"/>
      <c r="D116" s="66"/>
      <c r="E116" s="66"/>
      <c r="F116" s="66"/>
    </row>
    <row r="117" spans="3:6" ht="14.25" customHeight="1" x14ac:dyDescent="0.3">
      <c r="C117" s="66"/>
      <c r="D117" s="66"/>
      <c r="E117" s="66"/>
      <c r="F117" s="66"/>
    </row>
    <row r="118" spans="3:6" ht="14.25" customHeight="1" x14ac:dyDescent="0.3">
      <c r="C118" s="66"/>
      <c r="D118" s="66"/>
      <c r="E118" s="66"/>
      <c r="F118" s="66"/>
    </row>
    <row r="119" spans="3:6" ht="14.25" customHeight="1" x14ac:dyDescent="0.3">
      <c r="C119" s="66"/>
      <c r="D119" s="66"/>
      <c r="E119" s="66"/>
      <c r="F119" s="66"/>
    </row>
    <row r="120" spans="3:6" ht="14.25" customHeight="1" x14ac:dyDescent="0.3">
      <c r="C120" s="66"/>
      <c r="D120" s="66"/>
      <c r="E120" s="66"/>
      <c r="F120" s="66"/>
    </row>
    <row r="121" spans="3:6" ht="14.25" customHeight="1" x14ac:dyDescent="0.3">
      <c r="C121" s="66"/>
      <c r="D121" s="66"/>
      <c r="E121" s="66"/>
      <c r="F121" s="66"/>
    </row>
    <row r="122" spans="3:6" ht="14.25" customHeight="1" x14ac:dyDescent="0.3">
      <c r="C122" s="66"/>
      <c r="D122" s="66"/>
      <c r="E122" s="66"/>
      <c r="F122" s="66"/>
    </row>
    <row r="123" spans="3:6" ht="14.25" customHeight="1" x14ac:dyDescent="0.3">
      <c r="C123" s="66"/>
      <c r="D123" s="66"/>
      <c r="E123" s="66"/>
      <c r="F123" s="66"/>
    </row>
    <row r="124" spans="3:6" ht="14.25" customHeight="1" x14ac:dyDescent="0.3">
      <c r="C124" s="66"/>
      <c r="D124" s="66"/>
      <c r="E124" s="66"/>
      <c r="F124" s="66"/>
    </row>
    <row r="125" spans="3:6" ht="14.25" customHeight="1" x14ac:dyDescent="0.3">
      <c r="C125" s="66"/>
      <c r="D125" s="66"/>
      <c r="E125" s="66"/>
      <c r="F125" s="66"/>
    </row>
    <row r="126" spans="3:6" ht="14.25" customHeight="1" x14ac:dyDescent="0.3">
      <c r="C126" s="66"/>
      <c r="D126" s="66"/>
      <c r="E126" s="66"/>
      <c r="F126" s="66"/>
    </row>
    <row r="127" spans="3:6" ht="14.25" customHeight="1" x14ac:dyDescent="0.3">
      <c r="C127" s="66"/>
      <c r="D127" s="66"/>
      <c r="E127" s="66"/>
      <c r="F127" s="66"/>
    </row>
    <row r="128" spans="3:6" ht="14.25" customHeight="1" x14ac:dyDescent="0.3">
      <c r="C128" s="66"/>
      <c r="D128" s="66"/>
      <c r="E128" s="66"/>
      <c r="F128" s="66"/>
    </row>
    <row r="129" spans="3:6" ht="14.25" customHeight="1" x14ac:dyDescent="0.3">
      <c r="C129" s="66"/>
      <c r="D129" s="66"/>
      <c r="E129" s="66"/>
      <c r="F129" s="66"/>
    </row>
    <row r="130" spans="3:6" ht="14.25" customHeight="1" x14ac:dyDescent="0.3">
      <c r="C130" s="66"/>
      <c r="D130" s="66"/>
      <c r="E130" s="66"/>
      <c r="F130" s="66"/>
    </row>
    <row r="131" spans="3:6" ht="14.25" customHeight="1" x14ac:dyDescent="0.3">
      <c r="C131" s="66"/>
      <c r="D131" s="66"/>
      <c r="E131" s="66"/>
      <c r="F131" s="66"/>
    </row>
    <row r="132" spans="3:6" ht="14.25" customHeight="1" x14ac:dyDescent="0.3">
      <c r="C132" s="66"/>
      <c r="D132" s="66"/>
      <c r="E132" s="66"/>
      <c r="F132" s="66"/>
    </row>
    <row r="133" spans="3:6" ht="14.25" customHeight="1" x14ac:dyDescent="0.3">
      <c r="C133" s="66"/>
      <c r="D133" s="66"/>
      <c r="E133" s="66"/>
      <c r="F133" s="66"/>
    </row>
    <row r="134" spans="3:6" ht="14.25" customHeight="1" x14ac:dyDescent="0.3">
      <c r="C134" s="66"/>
      <c r="D134" s="66"/>
      <c r="E134" s="66"/>
      <c r="F134" s="66"/>
    </row>
    <row r="135" spans="3:6" ht="14.25" customHeight="1" x14ac:dyDescent="0.3">
      <c r="C135" s="66"/>
      <c r="D135" s="66"/>
      <c r="E135" s="66"/>
      <c r="F135" s="66"/>
    </row>
    <row r="136" spans="3:6" ht="14.25" customHeight="1" x14ac:dyDescent="0.3">
      <c r="C136" s="66"/>
      <c r="D136" s="66"/>
      <c r="E136" s="66"/>
      <c r="F136" s="66"/>
    </row>
    <row r="137" spans="3:6" ht="14.25" customHeight="1" x14ac:dyDescent="0.3">
      <c r="C137" s="66"/>
      <c r="D137" s="66"/>
      <c r="E137" s="66"/>
      <c r="F137" s="66"/>
    </row>
    <row r="138" spans="3:6" ht="14.25" customHeight="1" x14ac:dyDescent="0.3">
      <c r="C138" s="66"/>
      <c r="D138" s="66"/>
      <c r="E138" s="66"/>
      <c r="F138" s="66"/>
    </row>
    <row r="139" spans="3:6" ht="14.25" customHeight="1" x14ac:dyDescent="0.3">
      <c r="C139" s="66"/>
      <c r="D139" s="66"/>
      <c r="E139" s="66"/>
      <c r="F139" s="66"/>
    </row>
    <row r="140" spans="3:6" ht="14.25" customHeight="1" x14ac:dyDescent="0.3">
      <c r="C140" s="66"/>
      <c r="D140" s="66"/>
      <c r="E140" s="66"/>
      <c r="F140" s="66"/>
    </row>
    <row r="141" spans="3:6" ht="14.25" customHeight="1" x14ac:dyDescent="0.3">
      <c r="C141" s="66"/>
      <c r="D141" s="66"/>
      <c r="E141" s="66"/>
      <c r="F141" s="66"/>
    </row>
    <row r="142" spans="3:6" ht="14.25" customHeight="1" x14ac:dyDescent="0.3">
      <c r="C142" s="66"/>
      <c r="D142" s="66"/>
      <c r="E142" s="66"/>
      <c r="F142" s="66"/>
    </row>
    <row r="143" spans="3:6" ht="14.25" customHeight="1" x14ac:dyDescent="0.3">
      <c r="C143" s="66"/>
      <c r="D143" s="66"/>
      <c r="E143" s="66"/>
      <c r="F143" s="66"/>
    </row>
    <row r="144" spans="3:6" ht="14.25" customHeight="1" x14ac:dyDescent="0.3">
      <c r="C144" s="66"/>
      <c r="D144" s="66"/>
      <c r="E144" s="66"/>
      <c r="F144" s="66"/>
    </row>
    <row r="145" spans="3:6" ht="14.25" customHeight="1" x14ac:dyDescent="0.3">
      <c r="C145" s="66"/>
      <c r="D145" s="66"/>
      <c r="E145" s="66"/>
      <c r="F145" s="66"/>
    </row>
    <row r="146" spans="3:6" ht="14.25" customHeight="1" x14ac:dyDescent="0.3">
      <c r="C146" s="66"/>
      <c r="D146" s="66"/>
      <c r="E146" s="66"/>
      <c r="F146" s="66"/>
    </row>
    <row r="147" spans="3:6" ht="14.25" customHeight="1" x14ac:dyDescent="0.3">
      <c r="C147" s="66"/>
      <c r="D147" s="66"/>
      <c r="E147" s="66"/>
      <c r="F147" s="66"/>
    </row>
    <row r="148" spans="3:6" ht="14.25" customHeight="1" x14ac:dyDescent="0.3">
      <c r="C148" s="66"/>
      <c r="D148" s="66"/>
      <c r="E148" s="66"/>
      <c r="F148" s="66"/>
    </row>
    <row r="149" spans="3:6" ht="14.25" customHeight="1" x14ac:dyDescent="0.3">
      <c r="C149" s="66"/>
      <c r="D149" s="66"/>
      <c r="E149" s="66"/>
      <c r="F149" s="66"/>
    </row>
    <row r="150" spans="3:6" ht="14.25" customHeight="1" x14ac:dyDescent="0.3">
      <c r="C150" s="66"/>
      <c r="D150" s="66"/>
      <c r="E150" s="66"/>
      <c r="F150" s="66"/>
    </row>
    <row r="151" spans="3:6" ht="14.25" customHeight="1" x14ac:dyDescent="0.3">
      <c r="C151" s="66"/>
      <c r="D151" s="66"/>
      <c r="E151" s="66"/>
      <c r="F151" s="66"/>
    </row>
    <row r="152" spans="3:6" ht="14.25" customHeight="1" x14ac:dyDescent="0.3">
      <c r="C152" s="66"/>
      <c r="D152" s="66"/>
      <c r="E152" s="66"/>
      <c r="F152" s="66"/>
    </row>
    <row r="153" spans="3:6" ht="14.25" customHeight="1" x14ac:dyDescent="0.3">
      <c r="C153" s="66"/>
      <c r="D153" s="66"/>
      <c r="E153" s="66"/>
      <c r="F153" s="66"/>
    </row>
    <row r="154" spans="3:6" ht="14.25" customHeight="1" x14ac:dyDescent="0.3">
      <c r="C154" s="66"/>
      <c r="D154" s="66"/>
      <c r="E154" s="66"/>
      <c r="F154" s="66"/>
    </row>
    <row r="155" spans="3:6" ht="14.25" customHeight="1" x14ac:dyDescent="0.3">
      <c r="C155" s="66"/>
      <c r="D155" s="66"/>
      <c r="E155" s="66"/>
      <c r="F155" s="66"/>
    </row>
    <row r="156" spans="3:6" ht="14.25" customHeight="1" x14ac:dyDescent="0.3">
      <c r="C156" s="66"/>
      <c r="D156" s="66"/>
      <c r="E156" s="66"/>
      <c r="F156" s="66"/>
    </row>
    <row r="157" spans="3:6" ht="14.25" customHeight="1" x14ac:dyDescent="0.3">
      <c r="C157" s="66"/>
      <c r="D157" s="66"/>
      <c r="E157" s="66"/>
      <c r="F157" s="66"/>
    </row>
    <row r="158" spans="3:6" ht="14.25" customHeight="1" x14ac:dyDescent="0.3">
      <c r="C158" s="66"/>
      <c r="D158" s="66"/>
      <c r="E158" s="66"/>
      <c r="F158" s="66"/>
    </row>
    <row r="159" spans="3:6" ht="14.25" customHeight="1" x14ac:dyDescent="0.3">
      <c r="C159" s="66"/>
      <c r="D159" s="66"/>
      <c r="E159" s="66"/>
      <c r="F159" s="66"/>
    </row>
    <row r="160" spans="3:6" ht="14.25" customHeight="1" x14ac:dyDescent="0.3">
      <c r="C160" s="66"/>
      <c r="D160" s="66"/>
      <c r="E160" s="66"/>
      <c r="F160" s="66"/>
    </row>
    <row r="161" spans="3:6" ht="14.25" customHeight="1" x14ac:dyDescent="0.3">
      <c r="C161" s="66"/>
      <c r="D161" s="66"/>
      <c r="E161" s="66"/>
      <c r="F161" s="66"/>
    </row>
    <row r="162" spans="3:6" ht="14.25" customHeight="1" x14ac:dyDescent="0.3">
      <c r="C162" s="66"/>
      <c r="D162" s="66"/>
      <c r="E162" s="66"/>
      <c r="F162" s="66"/>
    </row>
    <row r="163" spans="3:6" ht="14.25" customHeight="1" x14ac:dyDescent="0.3">
      <c r="C163" s="66"/>
      <c r="D163" s="66"/>
      <c r="E163" s="66"/>
      <c r="F163" s="66"/>
    </row>
    <row r="164" spans="3:6" ht="14.25" customHeight="1" x14ac:dyDescent="0.3">
      <c r="C164" s="66"/>
      <c r="D164" s="66"/>
      <c r="E164" s="66"/>
      <c r="F164" s="66"/>
    </row>
    <row r="165" spans="3:6" ht="14.25" customHeight="1" x14ac:dyDescent="0.3">
      <c r="C165" s="66"/>
      <c r="D165" s="66"/>
      <c r="E165" s="66"/>
      <c r="F165" s="66"/>
    </row>
    <row r="166" spans="3:6" ht="14.25" customHeight="1" x14ac:dyDescent="0.3">
      <c r="C166" s="66"/>
      <c r="D166" s="66"/>
      <c r="E166" s="66"/>
      <c r="F166" s="66"/>
    </row>
    <row r="167" spans="3:6" ht="14.25" customHeight="1" x14ac:dyDescent="0.3">
      <c r="C167" s="66"/>
      <c r="D167" s="66"/>
      <c r="E167" s="66"/>
      <c r="F167" s="66"/>
    </row>
    <row r="168" spans="3:6" ht="14.25" customHeight="1" x14ac:dyDescent="0.3">
      <c r="C168" s="66"/>
      <c r="D168" s="66"/>
      <c r="E168" s="66"/>
      <c r="F168" s="66"/>
    </row>
    <row r="169" spans="3:6" ht="14.25" customHeight="1" x14ac:dyDescent="0.3">
      <c r="C169" s="66"/>
      <c r="D169" s="66"/>
      <c r="E169" s="66"/>
      <c r="F169" s="66"/>
    </row>
    <row r="170" spans="3:6" ht="14.25" customHeight="1" x14ac:dyDescent="0.3">
      <c r="C170" s="66"/>
      <c r="D170" s="66"/>
      <c r="E170" s="66"/>
      <c r="F170" s="66"/>
    </row>
    <row r="171" spans="3:6" ht="14.25" customHeight="1" x14ac:dyDescent="0.3">
      <c r="C171" s="66"/>
      <c r="D171" s="66"/>
      <c r="E171" s="66"/>
      <c r="F171" s="66"/>
    </row>
    <row r="172" spans="3:6" ht="14.25" customHeight="1" x14ac:dyDescent="0.3">
      <c r="C172" s="66"/>
      <c r="D172" s="66"/>
      <c r="E172" s="66"/>
      <c r="F172" s="66"/>
    </row>
    <row r="173" spans="3:6" ht="14.25" customHeight="1" x14ac:dyDescent="0.3">
      <c r="C173" s="66"/>
      <c r="D173" s="66"/>
      <c r="E173" s="66"/>
      <c r="F173" s="66"/>
    </row>
    <row r="174" spans="3:6" ht="14.25" customHeight="1" x14ac:dyDescent="0.3">
      <c r="C174" s="66"/>
      <c r="D174" s="66"/>
      <c r="E174" s="66"/>
      <c r="F174" s="66"/>
    </row>
    <row r="175" spans="3:6" ht="14.25" customHeight="1" x14ac:dyDescent="0.3">
      <c r="C175" s="66"/>
      <c r="D175" s="66"/>
      <c r="E175" s="66"/>
      <c r="F175" s="66"/>
    </row>
    <row r="176" spans="3:6" ht="14.25" customHeight="1" x14ac:dyDescent="0.3">
      <c r="C176" s="66"/>
      <c r="D176" s="66"/>
      <c r="E176" s="66"/>
      <c r="F176" s="66"/>
    </row>
    <row r="177" spans="3:6" ht="14.25" customHeight="1" x14ac:dyDescent="0.3">
      <c r="C177" s="66"/>
      <c r="D177" s="66"/>
      <c r="E177" s="66"/>
      <c r="F177" s="66"/>
    </row>
    <row r="178" spans="3:6" ht="14.25" customHeight="1" x14ac:dyDescent="0.3">
      <c r="C178" s="66"/>
      <c r="D178" s="66"/>
      <c r="E178" s="66"/>
      <c r="F178" s="66"/>
    </row>
    <row r="179" spans="3:6" ht="14.25" customHeight="1" x14ac:dyDescent="0.3">
      <c r="C179" s="66"/>
      <c r="D179" s="66"/>
      <c r="E179" s="66"/>
      <c r="F179" s="66"/>
    </row>
    <row r="180" spans="3:6" ht="14.25" customHeight="1" x14ac:dyDescent="0.3">
      <c r="C180" s="66"/>
      <c r="D180" s="66"/>
      <c r="E180" s="66"/>
      <c r="F180" s="66"/>
    </row>
    <row r="181" spans="3:6" ht="14.25" customHeight="1" x14ac:dyDescent="0.3">
      <c r="C181" s="66"/>
      <c r="D181" s="66"/>
      <c r="E181" s="66"/>
      <c r="F181" s="66"/>
    </row>
    <row r="182" spans="3:6" ht="14.25" customHeight="1" x14ac:dyDescent="0.3">
      <c r="C182" s="66"/>
      <c r="D182" s="66"/>
      <c r="E182" s="66"/>
      <c r="F182" s="66"/>
    </row>
    <row r="183" spans="3:6" ht="14.25" customHeight="1" x14ac:dyDescent="0.3">
      <c r="C183" s="66"/>
      <c r="D183" s="66"/>
      <c r="E183" s="66"/>
      <c r="F183" s="66"/>
    </row>
    <row r="184" spans="3:6" ht="14.25" customHeight="1" x14ac:dyDescent="0.3">
      <c r="C184" s="66"/>
      <c r="D184" s="66"/>
      <c r="E184" s="66"/>
      <c r="F184" s="66"/>
    </row>
    <row r="185" spans="3:6" ht="14.25" customHeight="1" x14ac:dyDescent="0.3">
      <c r="C185" s="66"/>
      <c r="D185" s="66"/>
      <c r="E185" s="66"/>
      <c r="F185" s="66"/>
    </row>
    <row r="186" spans="3:6" ht="14.25" customHeight="1" x14ac:dyDescent="0.3">
      <c r="C186" s="66"/>
      <c r="D186" s="66"/>
      <c r="E186" s="66"/>
      <c r="F186" s="66"/>
    </row>
    <row r="187" spans="3:6" ht="14.25" customHeight="1" x14ac:dyDescent="0.3">
      <c r="C187" s="66"/>
      <c r="D187" s="66"/>
      <c r="E187" s="66"/>
      <c r="F187" s="66"/>
    </row>
    <row r="188" spans="3:6" ht="14.25" customHeight="1" x14ac:dyDescent="0.3">
      <c r="C188" s="66"/>
      <c r="D188" s="66"/>
      <c r="E188" s="66"/>
      <c r="F188" s="66"/>
    </row>
    <row r="189" spans="3:6" ht="14.25" customHeight="1" x14ac:dyDescent="0.3">
      <c r="C189" s="66"/>
      <c r="D189" s="66"/>
      <c r="E189" s="66"/>
      <c r="F189" s="66"/>
    </row>
    <row r="190" spans="3:6" ht="14.25" customHeight="1" x14ac:dyDescent="0.3">
      <c r="C190" s="66"/>
      <c r="D190" s="66"/>
      <c r="E190" s="66"/>
      <c r="F190" s="66"/>
    </row>
    <row r="191" spans="3:6" ht="14.25" customHeight="1" x14ac:dyDescent="0.3">
      <c r="C191" s="66"/>
      <c r="D191" s="66"/>
      <c r="E191" s="66"/>
      <c r="F191" s="66"/>
    </row>
    <row r="192" spans="3:6" ht="14.25" customHeight="1" x14ac:dyDescent="0.3">
      <c r="C192" s="66"/>
      <c r="D192" s="66"/>
      <c r="E192" s="66"/>
      <c r="F192" s="66"/>
    </row>
    <row r="193" spans="3:6" ht="14.25" customHeight="1" x14ac:dyDescent="0.3">
      <c r="C193" s="66"/>
      <c r="D193" s="66"/>
      <c r="E193" s="66"/>
      <c r="F193" s="66"/>
    </row>
    <row r="194" spans="3:6" ht="14.25" customHeight="1" x14ac:dyDescent="0.3">
      <c r="C194" s="66"/>
      <c r="D194" s="66"/>
      <c r="E194" s="66"/>
      <c r="F194" s="66"/>
    </row>
    <row r="195" spans="3:6" ht="14.25" customHeight="1" x14ac:dyDescent="0.3">
      <c r="C195" s="66"/>
      <c r="D195" s="66"/>
      <c r="E195" s="66"/>
      <c r="F195" s="66"/>
    </row>
    <row r="196" spans="3:6" ht="14.25" customHeight="1" x14ac:dyDescent="0.3">
      <c r="C196" s="66"/>
      <c r="D196" s="66"/>
      <c r="E196" s="66"/>
      <c r="F196" s="66"/>
    </row>
    <row r="197" spans="3:6" ht="14.25" customHeight="1" x14ac:dyDescent="0.3">
      <c r="C197" s="66"/>
      <c r="D197" s="66"/>
      <c r="E197" s="66"/>
      <c r="F197" s="66"/>
    </row>
    <row r="198" spans="3:6" ht="14.25" customHeight="1" x14ac:dyDescent="0.3">
      <c r="C198" s="66"/>
      <c r="D198" s="66"/>
      <c r="E198" s="66"/>
      <c r="F198" s="66"/>
    </row>
    <row r="199" spans="3:6" ht="14.25" customHeight="1" x14ac:dyDescent="0.3">
      <c r="C199" s="66"/>
      <c r="D199" s="66"/>
      <c r="E199" s="66"/>
      <c r="F199" s="66"/>
    </row>
    <row r="200" spans="3:6" ht="14.25" customHeight="1" x14ac:dyDescent="0.3">
      <c r="C200" s="66"/>
      <c r="D200" s="66"/>
      <c r="E200" s="66"/>
      <c r="F200" s="66"/>
    </row>
    <row r="201" spans="3:6" ht="14.25" customHeight="1" x14ac:dyDescent="0.3">
      <c r="C201" s="66"/>
      <c r="D201" s="66"/>
      <c r="E201" s="66"/>
      <c r="F201" s="66"/>
    </row>
    <row r="202" spans="3:6" ht="14.25" customHeight="1" x14ac:dyDescent="0.3">
      <c r="C202" s="66"/>
      <c r="D202" s="66"/>
      <c r="E202" s="66"/>
      <c r="F202" s="66"/>
    </row>
    <row r="203" spans="3:6" ht="14.25" customHeight="1" x14ac:dyDescent="0.3">
      <c r="C203" s="66"/>
      <c r="D203" s="66"/>
      <c r="E203" s="66"/>
      <c r="F203" s="66"/>
    </row>
    <row r="204" spans="3:6" ht="14.25" customHeight="1" x14ac:dyDescent="0.3">
      <c r="C204" s="66"/>
      <c r="D204" s="66"/>
      <c r="E204" s="66"/>
      <c r="F204" s="66"/>
    </row>
    <row r="205" spans="3:6" ht="14.25" customHeight="1" x14ac:dyDescent="0.3">
      <c r="C205" s="66"/>
      <c r="D205" s="66"/>
      <c r="E205" s="66"/>
      <c r="F205" s="66"/>
    </row>
    <row r="206" spans="3:6" ht="14.25" customHeight="1" x14ac:dyDescent="0.3">
      <c r="C206" s="66"/>
      <c r="D206" s="66"/>
      <c r="E206" s="66"/>
      <c r="F206" s="66"/>
    </row>
    <row r="207" spans="3:6" ht="14.25" customHeight="1" x14ac:dyDescent="0.3">
      <c r="C207" s="66"/>
      <c r="D207" s="66"/>
      <c r="E207" s="66"/>
      <c r="F207" s="66"/>
    </row>
    <row r="208" spans="3:6" ht="14.25" customHeight="1" x14ac:dyDescent="0.3">
      <c r="C208" s="66"/>
      <c r="D208" s="66"/>
      <c r="E208" s="66"/>
      <c r="F208" s="66"/>
    </row>
    <row r="209" spans="3:6" ht="14.25" customHeight="1" x14ac:dyDescent="0.3">
      <c r="C209" s="66"/>
      <c r="D209" s="66"/>
      <c r="E209" s="66"/>
      <c r="F209" s="66"/>
    </row>
    <row r="210" spans="3:6" ht="14.25" customHeight="1" x14ac:dyDescent="0.3">
      <c r="C210" s="66"/>
      <c r="D210" s="66"/>
      <c r="E210" s="66"/>
      <c r="F210" s="66"/>
    </row>
    <row r="211" spans="3:6" ht="14.25" customHeight="1" x14ac:dyDescent="0.3">
      <c r="C211" s="66"/>
      <c r="D211" s="66"/>
      <c r="E211" s="66"/>
      <c r="F211" s="66"/>
    </row>
    <row r="212" spans="3:6" ht="14.25" customHeight="1" x14ac:dyDescent="0.3">
      <c r="C212" s="66"/>
      <c r="D212" s="66"/>
      <c r="E212" s="66"/>
      <c r="F212" s="66"/>
    </row>
    <row r="213" spans="3:6" ht="14.25" customHeight="1" x14ac:dyDescent="0.3">
      <c r="C213" s="66"/>
      <c r="D213" s="66"/>
      <c r="E213" s="66"/>
      <c r="F213" s="66"/>
    </row>
    <row r="214" spans="3:6" ht="14.25" customHeight="1" x14ac:dyDescent="0.3">
      <c r="C214" s="66"/>
      <c r="D214" s="66"/>
      <c r="E214" s="66"/>
      <c r="F214" s="66"/>
    </row>
    <row r="215" spans="3:6" ht="14.25" customHeight="1" x14ac:dyDescent="0.3">
      <c r="C215" s="66"/>
      <c r="D215" s="66"/>
      <c r="E215" s="66"/>
      <c r="F215" s="66"/>
    </row>
    <row r="216" spans="3:6" ht="14.25" customHeight="1" x14ac:dyDescent="0.3">
      <c r="C216" s="66"/>
      <c r="D216" s="66"/>
      <c r="E216" s="66"/>
      <c r="F216" s="66"/>
    </row>
    <row r="217" spans="3:6" ht="14.25" customHeight="1" x14ac:dyDescent="0.3">
      <c r="C217" s="66"/>
      <c r="D217" s="66"/>
      <c r="E217" s="66"/>
      <c r="F217" s="66"/>
    </row>
    <row r="218" spans="3:6" ht="14.25" customHeight="1" x14ac:dyDescent="0.3">
      <c r="C218" s="66"/>
      <c r="D218" s="66"/>
      <c r="E218" s="66"/>
      <c r="F218" s="66"/>
    </row>
    <row r="219" spans="3:6" ht="14.25" customHeight="1" x14ac:dyDescent="0.3">
      <c r="C219" s="66"/>
      <c r="D219" s="66"/>
      <c r="E219" s="66"/>
      <c r="F219" s="66"/>
    </row>
    <row r="220" spans="3:6" ht="14.25" customHeight="1" x14ac:dyDescent="0.3">
      <c r="C220" s="66"/>
      <c r="D220" s="66"/>
      <c r="E220" s="66"/>
      <c r="F220" s="66"/>
    </row>
    <row r="221" spans="3:6" ht="14.25" customHeight="1" x14ac:dyDescent="0.3">
      <c r="C221" s="66"/>
      <c r="D221" s="66"/>
      <c r="E221" s="66"/>
      <c r="F221" s="66"/>
    </row>
    <row r="222" spans="3:6" ht="14.25" customHeight="1" x14ac:dyDescent="0.3">
      <c r="C222" s="66"/>
      <c r="D222" s="66"/>
      <c r="E222" s="66"/>
      <c r="F222" s="66"/>
    </row>
    <row r="223" spans="3:6" ht="14.25" customHeight="1" x14ac:dyDescent="0.3">
      <c r="C223" s="66"/>
      <c r="D223" s="66"/>
      <c r="E223" s="66"/>
      <c r="F223" s="66"/>
    </row>
    <row r="224" spans="3:6" ht="14.25" customHeight="1" x14ac:dyDescent="0.3">
      <c r="C224" s="66"/>
      <c r="D224" s="66"/>
      <c r="E224" s="66"/>
      <c r="F224" s="66"/>
    </row>
    <row r="225" spans="3:6" ht="14.25" customHeight="1" x14ac:dyDescent="0.3">
      <c r="C225" s="66"/>
      <c r="D225" s="66"/>
      <c r="E225" s="66"/>
      <c r="F225" s="66"/>
    </row>
    <row r="226" spans="3:6" ht="14.25" customHeight="1" x14ac:dyDescent="0.3">
      <c r="C226" s="66"/>
      <c r="D226" s="66"/>
      <c r="E226" s="66"/>
      <c r="F226" s="66"/>
    </row>
    <row r="227" spans="3:6" ht="14.25" customHeight="1" x14ac:dyDescent="0.3">
      <c r="C227" s="66"/>
      <c r="D227" s="66"/>
      <c r="E227" s="66"/>
      <c r="F227" s="66"/>
    </row>
    <row r="228" spans="3:6" ht="14.25" customHeight="1" x14ac:dyDescent="0.3">
      <c r="C228" s="66"/>
      <c r="D228" s="66"/>
      <c r="E228" s="66"/>
      <c r="F228" s="66"/>
    </row>
    <row r="229" spans="3:6" ht="14.25" customHeight="1" x14ac:dyDescent="0.3">
      <c r="C229" s="66"/>
      <c r="D229" s="66"/>
      <c r="E229" s="66"/>
      <c r="F229" s="66"/>
    </row>
    <row r="230" spans="3:6" ht="14.25" customHeight="1" x14ac:dyDescent="0.3">
      <c r="C230" s="66"/>
      <c r="D230" s="66"/>
      <c r="E230" s="66"/>
      <c r="F230" s="66"/>
    </row>
    <row r="231" spans="3:6" ht="14.25" customHeight="1" x14ac:dyDescent="0.3">
      <c r="C231" s="66"/>
      <c r="D231" s="66"/>
      <c r="E231" s="66"/>
      <c r="F231" s="66"/>
    </row>
    <row r="232" spans="3:6" ht="14.25" customHeight="1" x14ac:dyDescent="0.3">
      <c r="C232" s="66"/>
      <c r="D232" s="66"/>
      <c r="E232" s="66"/>
      <c r="F232" s="66"/>
    </row>
    <row r="233" spans="3:6" ht="14.25" customHeight="1" x14ac:dyDescent="0.3">
      <c r="C233" s="66"/>
      <c r="D233" s="66"/>
      <c r="E233" s="66"/>
      <c r="F233" s="66"/>
    </row>
    <row r="234" spans="3:6" ht="14.25" customHeight="1" x14ac:dyDescent="0.3">
      <c r="C234" s="66"/>
      <c r="D234" s="66"/>
      <c r="E234" s="66"/>
      <c r="F234" s="66"/>
    </row>
    <row r="235" spans="3:6" ht="14.25" customHeight="1" x14ac:dyDescent="0.3">
      <c r="C235" s="66"/>
      <c r="D235" s="66"/>
      <c r="E235" s="66"/>
      <c r="F235" s="66"/>
    </row>
    <row r="236" spans="3:6" ht="14.25" customHeight="1" x14ac:dyDescent="0.3">
      <c r="C236" s="66"/>
      <c r="D236" s="66"/>
      <c r="E236" s="66"/>
      <c r="F236" s="66"/>
    </row>
    <row r="237" spans="3:6" ht="14.25" customHeight="1" x14ac:dyDescent="0.3">
      <c r="C237" s="66"/>
      <c r="D237" s="66"/>
      <c r="E237" s="66"/>
      <c r="F237" s="66"/>
    </row>
    <row r="238" spans="3:6" ht="14.25" customHeight="1" x14ac:dyDescent="0.3">
      <c r="C238" s="66"/>
      <c r="D238" s="66"/>
      <c r="E238" s="66"/>
      <c r="F238" s="66"/>
    </row>
    <row r="239" spans="3:6" ht="14.25" customHeight="1" x14ac:dyDescent="0.3">
      <c r="C239" s="66"/>
      <c r="D239" s="66"/>
      <c r="E239" s="66"/>
      <c r="F239" s="66"/>
    </row>
    <row r="240" spans="3:6" ht="14.25" customHeight="1" x14ac:dyDescent="0.3">
      <c r="C240" s="66"/>
      <c r="D240" s="66"/>
      <c r="E240" s="66"/>
      <c r="F240" s="66"/>
    </row>
    <row r="241" spans="3:6" ht="14.25" customHeight="1" x14ac:dyDescent="0.3">
      <c r="C241" s="66"/>
      <c r="D241" s="66"/>
      <c r="E241" s="66"/>
      <c r="F241" s="66"/>
    </row>
    <row r="242" spans="3:6" ht="14.25" customHeight="1" x14ac:dyDescent="0.3">
      <c r="C242" s="66"/>
      <c r="D242" s="66"/>
      <c r="E242" s="66"/>
      <c r="F242" s="66"/>
    </row>
    <row r="243" spans="3:6" ht="14.25" customHeight="1" x14ac:dyDescent="0.3">
      <c r="C243" s="66"/>
      <c r="D243" s="66"/>
      <c r="E243" s="66"/>
      <c r="F243" s="66"/>
    </row>
    <row r="244" spans="3:6" ht="14.25" customHeight="1" x14ac:dyDescent="0.3">
      <c r="C244" s="66"/>
      <c r="D244" s="66"/>
      <c r="E244" s="66"/>
      <c r="F244" s="66"/>
    </row>
    <row r="245" spans="3:6" ht="14.25" customHeight="1" x14ac:dyDescent="0.3">
      <c r="C245" s="66"/>
      <c r="D245" s="66"/>
      <c r="E245" s="66"/>
      <c r="F245" s="66"/>
    </row>
    <row r="246" spans="3:6" ht="14.25" customHeight="1" x14ac:dyDescent="0.3">
      <c r="C246" s="66"/>
      <c r="D246" s="66"/>
      <c r="E246" s="66"/>
      <c r="F246" s="66"/>
    </row>
    <row r="247" spans="3:6" ht="14.25" customHeight="1" x14ac:dyDescent="0.3">
      <c r="C247" s="66"/>
      <c r="D247" s="66"/>
      <c r="E247" s="66"/>
      <c r="F247" s="66"/>
    </row>
    <row r="248" spans="3:6" ht="14.25" customHeight="1" x14ac:dyDescent="0.3">
      <c r="C248" s="66"/>
      <c r="D248" s="66"/>
      <c r="E248" s="66"/>
      <c r="F248" s="66"/>
    </row>
    <row r="249" spans="3:6" ht="14.25" customHeight="1" x14ac:dyDescent="0.3">
      <c r="C249" s="66"/>
      <c r="D249" s="66"/>
      <c r="E249" s="66"/>
      <c r="F249" s="66"/>
    </row>
    <row r="250" spans="3:6" ht="14.25" customHeight="1" x14ac:dyDescent="0.3">
      <c r="C250" s="66"/>
      <c r="D250" s="66"/>
      <c r="E250" s="66"/>
      <c r="F250" s="66"/>
    </row>
    <row r="251" spans="3:6" ht="14.25" customHeight="1" x14ac:dyDescent="0.3">
      <c r="C251" s="66"/>
      <c r="D251" s="66"/>
      <c r="E251" s="66"/>
      <c r="F251" s="66"/>
    </row>
    <row r="252" spans="3:6" ht="14.25" customHeight="1" x14ac:dyDescent="0.3">
      <c r="C252" s="66"/>
      <c r="D252" s="66"/>
      <c r="E252" s="66"/>
      <c r="F252" s="66"/>
    </row>
    <row r="253" spans="3:6" ht="14.25" customHeight="1" x14ac:dyDescent="0.3">
      <c r="C253" s="66"/>
      <c r="D253" s="66"/>
      <c r="E253" s="66"/>
      <c r="F253" s="66"/>
    </row>
    <row r="254" spans="3:6" ht="14.25" customHeight="1" x14ac:dyDescent="0.3">
      <c r="C254" s="66"/>
      <c r="D254" s="66"/>
      <c r="E254" s="66"/>
      <c r="F254" s="66"/>
    </row>
    <row r="255" spans="3:6" ht="14.25" customHeight="1" x14ac:dyDescent="0.3">
      <c r="C255" s="66"/>
      <c r="D255" s="66"/>
      <c r="E255" s="66"/>
      <c r="F255" s="66"/>
    </row>
    <row r="256" spans="3:6" ht="14.25" customHeight="1" x14ac:dyDescent="0.3">
      <c r="C256" s="66"/>
      <c r="D256" s="66"/>
      <c r="E256" s="66"/>
      <c r="F256" s="66"/>
    </row>
    <row r="257" spans="3:6" ht="14.25" customHeight="1" x14ac:dyDescent="0.3">
      <c r="C257" s="66"/>
      <c r="D257" s="66"/>
      <c r="E257" s="66"/>
      <c r="F257" s="66"/>
    </row>
    <row r="258" spans="3:6" ht="14.25" customHeight="1" x14ac:dyDescent="0.3">
      <c r="C258" s="66"/>
      <c r="D258" s="66"/>
      <c r="E258" s="66"/>
      <c r="F258" s="66"/>
    </row>
    <row r="259" spans="3:6" ht="14.25" customHeight="1" x14ac:dyDescent="0.3">
      <c r="C259" s="66"/>
      <c r="D259" s="66"/>
      <c r="E259" s="66"/>
      <c r="F259" s="66"/>
    </row>
    <row r="260" spans="3:6" ht="14.25" customHeight="1" x14ac:dyDescent="0.3">
      <c r="C260" s="66"/>
      <c r="D260" s="66"/>
      <c r="E260" s="66"/>
      <c r="F260" s="66"/>
    </row>
    <row r="261" spans="3:6" ht="14.25" customHeight="1" x14ac:dyDescent="0.3">
      <c r="C261" s="66"/>
      <c r="D261" s="66"/>
      <c r="E261" s="66"/>
      <c r="F261" s="66"/>
    </row>
    <row r="262" spans="3:6" ht="14.25" customHeight="1" x14ac:dyDescent="0.3">
      <c r="C262" s="66"/>
      <c r="D262" s="66"/>
      <c r="E262" s="66"/>
      <c r="F262" s="66"/>
    </row>
    <row r="263" spans="3:6" ht="14.25" customHeight="1" x14ac:dyDescent="0.3">
      <c r="C263" s="66"/>
      <c r="D263" s="66"/>
      <c r="E263" s="66"/>
      <c r="F263" s="66"/>
    </row>
    <row r="264" spans="3:6" ht="14.25" customHeight="1" x14ac:dyDescent="0.3">
      <c r="C264" s="66"/>
      <c r="D264" s="66"/>
      <c r="E264" s="66"/>
      <c r="F264" s="66"/>
    </row>
    <row r="265" spans="3:6" ht="14.25" customHeight="1" x14ac:dyDescent="0.3">
      <c r="C265" s="66"/>
      <c r="D265" s="66"/>
      <c r="E265" s="66"/>
      <c r="F265" s="66"/>
    </row>
    <row r="266" spans="3:6" ht="14.25" customHeight="1" x14ac:dyDescent="0.3">
      <c r="C266" s="66"/>
      <c r="D266" s="66"/>
      <c r="E266" s="66"/>
      <c r="F266" s="66"/>
    </row>
    <row r="267" spans="3:6" ht="14.25" customHeight="1" x14ac:dyDescent="0.3">
      <c r="C267" s="66"/>
      <c r="D267" s="66"/>
      <c r="E267" s="66"/>
      <c r="F267" s="66"/>
    </row>
    <row r="268" spans="3:6" ht="14.25" customHeight="1" x14ac:dyDescent="0.3">
      <c r="C268" s="66"/>
      <c r="D268" s="66"/>
      <c r="E268" s="66"/>
      <c r="F268" s="66"/>
    </row>
    <row r="269" spans="3:6" ht="14.25" customHeight="1" x14ac:dyDescent="0.3">
      <c r="C269" s="66"/>
      <c r="D269" s="66"/>
      <c r="E269" s="66"/>
      <c r="F269" s="66"/>
    </row>
    <row r="270" spans="3:6" ht="14.25" customHeight="1" x14ac:dyDescent="0.3">
      <c r="C270" s="66"/>
      <c r="D270" s="66"/>
      <c r="E270" s="66"/>
      <c r="F270" s="66"/>
    </row>
    <row r="271" spans="3:6" ht="14.25" customHeight="1" x14ac:dyDescent="0.3">
      <c r="C271" s="66"/>
      <c r="D271" s="66"/>
      <c r="E271" s="66"/>
      <c r="F271" s="66"/>
    </row>
    <row r="272" spans="3:6" ht="14.25" customHeight="1" x14ac:dyDescent="0.3">
      <c r="C272" s="66"/>
      <c r="D272" s="66"/>
      <c r="E272" s="66"/>
      <c r="F272" s="66"/>
    </row>
    <row r="273" spans="3:6" ht="14.25" customHeight="1" x14ac:dyDescent="0.3">
      <c r="C273" s="66"/>
      <c r="D273" s="66"/>
      <c r="E273" s="66"/>
      <c r="F273" s="66"/>
    </row>
    <row r="274" spans="3:6" ht="14.25" customHeight="1" x14ac:dyDescent="0.3">
      <c r="C274" s="66"/>
      <c r="D274" s="66"/>
      <c r="E274" s="66"/>
      <c r="F274" s="66"/>
    </row>
    <row r="275" spans="3:6" ht="14.25" customHeight="1" x14ac:dyDescent="0.3">
      <c r="C275" s="66"/>
      <c r="D275" s="66"/>
      <c r="E275" s="66"/>
      <c r="F275" s="66"/>
    </row>
    <row r="276" spans="3:6" ht="14.25" customHeight="1" x14ac:dyDescent="0.3">
      <c r="C276" s="66"/>
      <c r="D276" s="66"/>
      <c r="E276" s="66"/>
      <c r="F276" s="66"/>
    </row>
    <row r="277" spans="3:6" ht="14.25" customHeight="1" x14ac:dyDescent="0.3">
      <c r="C277" s="66"/>
      <c r="D277" s="66"/>
      <c r="E277" s="66"/>
      <c r="F277" s="66"/>
    </row>
    <row r="278" spans="3:6" ht="14.25" customHeight="1" x14ac:dyDescent="0.3">
      <c r="C278" s="66"/>
      <c r="D278" s="66"/>
      <c r="E278" s="66"/>
      <c r="F278" s="66"/>
    </row>
    <row r="279" spans="3:6" ht="14.25" customHeight="1" x14ac:dyDescent="0.3">
      <c r="C279" s="66"/>
      <c r="D279" s="66"/>
      <c r="E279" s="66"/>
      <c r="F279" s="66"/>
    </row>
    <row r="280" spans="3:6" ht="14.25" customHeight="1" x14ac:dyDescent="0.3">
      <c r="C280" s="66"/>
      <c r="D280" s="66"/>
      <c r="E280" s="66"/>
      <c r="F280" s="66"/>
    </row>
    <row r="281" spans="3:6" ht="14.25" customHeight="1" x14ac:dyDescent="0.3">
      <c r="C281" s="66"/>
      <c r="D281" s="66"/>
      <c r="E281" s="66"/>
      <c r="F281" s="66"/>
    </row>
    <row r="282" spans="3:6" ht="14.25" customHeight="1" x14ac:dyDescent="0.3">
      <c r="C282" s="66"/>
      <c r="D282" s="66"/>
      <c r="E282" s="66"/>
      <c r="F282" s="66"/>
    </row>
    <row r="283" spans="3:6" ht="14.25" customHeight="1" x14ac:dyDescent="0.3">
      <c r="C283" s="66"/>
      <c r="D283" s="66"/>
      <c r="E283" s="66"/>
      <c r="F283" s="66"/>
    </row>
    <row r="284" spans="3:6" ht="14.25" customHeight="1" x14ac:dyDescent="0.3">
      <c r="C284" s="66"/>
      <c r="D284" s="66"/>
      <c r="E284" s="66"/>
      <c r="F284" s="66"/>
    </row>
    <row r="285" spans="3:6" ht="14.25" customHeight="1" x14ac:dyDescent="0.3">
      <c r="C285" s="66"/>
      <c r="D285" s="66"/>
      <c r="E285" s="66"/>
      <c r="F285" s="66"/>
    </row>
    <row r="286" spans="3:6" ht="14.25" customHeight="1" x14ac:dyDescent="0.3">
      <c r="C286" s="66"/>
      <c r="D286" s="66"/>
      <c r="E286" s="66"/>
      <c r="F286" s="66"/>
    </row>
    <row r="287" spans="3:6" ht="14.25" customHeight="1" x14ac:dyDescent="0.3">
      <c r="C287" s="66"/>
      <c r="D287" s="66"/>
      <c r="E287" s="66"/>
      <c r="F287" s="66"/>
    </row>
    <row r="288" spans="3:6" ht="14.25" customHeight="1" x14ac:dyDescent="0.3">
      <c r="C288" s="66"/>
      <c r="D288" s="66"/>
      <c r="E288" s="66"/>
      <c r="F288" s="66"/>
    </row>
    <row r="289" spans="3:6" ht="14.25" customHeight="1" x14ac:dyDescent="0.3">
      <c r="C289" s="66"/>
      <c r="D289" s="66"/>
      <c r="E289" s="66"/>
      <c r="F289" s="66"/>
    </row>
    <row r="290" spans="3:6" ht="14.25" customHeight="1" x14ac:dyDescent="0.3">
      <c r="C290" s="66"/>
      <c r="D290" s="66"/>
      <c r="E290" s="66"/>
      <c r="F290" s="66"/>
    </row>
    <row r="291" spans="3:6" ht="14.25" customHeight="1" x14ac:dyDescent="0.3">
      <c r="C291" s="66"/>
      <c r="D291" s="66"/>
      <c r="E291" s="66"/>
      <c r="F291" s="66"/>
    </row>
    <row r="292" spans="3:6" ht="14.25" customHeight="1" x14ac:dyDescent="0.3">
      <c r="C292" s="66"/>
      <c r="D292" s="66"/>
      <c r="E292" s="66"/>
      <c r="F292" s="66"/>
    </row>
    <row r="293" spans="3:6" ht="14.25" customHeight="1" x14ac:dyDescent="0.3">
      <c r="C293" s="66"/>
      <c r="D293" s="66"/>
      <c r="E293" s="66"/>
      <c r="F293" s="66"/>
    </row>
    <row r="294" spans="3:6" ht="14.25" customHeight="1" x14ac:dyDescent="0.3">
      <c r="C294" s="66"/>
      <c r="D294" s="66"/>
      <c r="E294" s="66"/>
      <c r="F294" s="66"/>
    </row>
    <row r="295" spans="3:6" ht="14.25" customHeight="1" x14ac:dyDescent="0.3">
      <c r="C295" s="66"/>
      <c r="D295" s="66"/>
      <c r="E295" s="66"/>
      <c r="F295" s="66"/>
    </row>
    <row r="296" spans="3:6" ht="14.25" customHeight="1" x14ac:dyDescent="0.3">
      <c r="C296" s="66"/>
      <c r="D296" s="66"/>
      <c r="E296" s="66"/>
      <c r="F296" s="66"/>
    </row>
    <row r="297" spans="3:6" ht="14.25" customHeight="1" x14ac:dyDescent="0.3">
      <c r="C297" s="66"/>
      <c r="D297" s="66"/>
      <c r="E297" s="66"/>
      <c r="F297" s="66"/>
    </row>
    <row r="298" spans="3:6" ht="14.25" customHeight="1" x14ac:dyDescent="0.3">
      <c r="C298" s="66"/>
      <c r="D298" s="66"/>
      <c r="E298" s="66"/>
      <c r="F298" s="66"/>
    </row>
    <row r="299" spans="3:6" ht="14.25" customHeight="1" x14ac:dyDescent="0.3">
      <c r="C299" s="66"/>
      <c r="D299" s="66"/>
      <c r="E299" s="66"/>
      <c r="F299" s="66"/>
    </row>
    <row r="300" spans="3:6" ht="14.25" customHeight="1" x14ac:dyDescent="0.3">
      <c r="C300" s="66"/>
      <c r="D300" s="66"/>
      <c r="E300" s="66"/>
      <c r="F300" s="66"/>
    </row>
    <row r="301" spans="3:6" ht="14.25" customHeight="1" x14ac:dyDescent="0.3">
      <c r="C301" s="66"/>
      <c r="D301" s="66"/>
      <c r="E301" s="66"/>
      <c r="F301" s="66"/>
    </row>
    <row r="302" spans="3:6" ht="14.25" customHeight="1" x14ac:dyDescent="0.3">
      <c r="C302" s="66"/>
      <c r="D302" s="66"/>
      <c r="E302" s="66"/>
      <c r="F302" s="66"/>
    </row>
    <row r="303" spans="3:6" ht="14.25" customHeight="1" x14ac:dyDescent="0.3">
      <c r="C303" s="66"/>
      <c r="D303" s="66"/>
      <c r="E303" s="66"/>
      <c r="F303" s="66"/>
    </row>
    <row r="304" spans="3:6" ht="14.25" customHeight="1" x14ac:dyDescent="0.3">
      <c r="C304" s="66"/>
      <c r="D304" s="66"/>
      <c r="E304" s="66"/>
      <c r="F304" s="66"/>
    </row>
    <row r="305" spans="3:6" ht="14.25" customHeight="1" x14ac:dyDescent="0.3">
      <c r="C305" s="66"/>
      <c r="D305" s="66"/>
      <c r="E305" s="66"/>
      <c r="F305" s="66"/>
    </row>
    <row r="306" spans="3:6" ht="14.25" customHeight="1" x14ac:dyDescent="0.3">
      <c r="C306" s="66"/>
      <c r="D306" s="66"/>
      <c r="E306" s="66"/>
      <c r="F306" s="66"/>
    </row>
    <row r="307" spans="3:6" ht="14.25" customHeight="1" x14ac:dyDescent="0.3">
      <c r="C307" s="66"/>
      <c r="D307" s="66"/>
      <c r="E307" s="66"/>
      <c r="F307" s="66"/>
    </row>
    <row r="308" spans="3:6" ht="14.25" customHeight="1" x14ac:dyDescent="0.3">
      <c r="C308" s="66"/>
      <c r="D308" s="66"/>
      <c r="E308" s="66"/>
      <c r="F308" s="66"/>
    </row>
    <row r="309" spans="3:6" ht="14.25" customHeight="1" x14ac:dyDescent="0.3">
      <c r="C309" s="66"/>
      <c r="D309" s="66"/>
      <c r="E309" s="66"/>
      <c r="F309" s="66"/>
    </row>
    <row r="310" spans="3:6" ht="14.25" customHeight="1" x14ac:dyDescent="0.3">
      <c r="C310" s="66"/>
      <c r="D310" s="66"/>
      <c r="E310" s="66"/>
      <c r="F310" s="66"/>
    </row>
    <row r="311" spans="3:6" ht="14.25" customHeight="1" x14ac:dyDescent="0.3">
      <c r="C311" s="66"/>
      <c r="D311" s="66"/>
      <c r="E311" s="66"/>
      <c r="F311" s="66"/>
    </row>
    <row r="312" spans="3:6" ht="14.25" customHeight="1" x14ac:dyDescent="0.3">
      <c r="C312" s="66"/>
      <c r="D312" s="66"/>
      <c r="E312" s="66"/>
      <c r="F312" s="66"/>
    </row>
    <row r="313" spans="3:6" ht="14.25" customHeight="1" x14ac:dyDescent="0.3">
      <c r="C313" s="66"/>
      <c r="D313" s="66"/>
      <c r="E313" s="66"/>
      <c r="F313" s="66"/>
    </row>
    <row r="314" spans="3:6" ht="14.25" customHeight="1" x14ac:dyDescent="0.3">
      <c r="C314" s="66"/>
      <c r="D314" s="66"/>
      <c r="E314" s="66"/>
      <c r="F314" s="66"/>
    </row>
    <row r="315" spans="3:6" ht="14.25" customHeight="1" x14ac:dyDescent="0.3">
      <c r="C315" s="66"/>
      <c r="D315" s="66"/>
      <c r="E315" s="66"/>
      <c r="F315" s="66"/>
    </row>
    <row r="316" spans="3:6" ht="14.25" customHeight="1" x14ac:dyDescent="0.3">
      <c r="C316" s="66"/>
      <c r="D316" s="66"/>
      <c r="E316" s="66"/>
      <c r="F316" s="66"/>
    </row>
    <row r="317" spans="3:6" ht="14.25" customHeight="1" x14ac:dyDescent="0.3">
      <c r="C317" s="66"/>
      <c r="D317" s="66"/>
      <c r="E317" s="66"/>
      <c r="F317" s="66"/>
    </row>
    <row r="318" spans="3:6" ht="14.25" customHeight="1" x14ac:dyDescent="0.3">
      <c r="C318" s="66"/>
      <c r="D318" s="66"/>
      <c r="E318" s="66"/>
      <c r="F318" s="66"/>
    </row>
    <row r="319" spans="3:6" ht="14.25" customHeight="1" x14ac:dyDescent="0.3">
      <c r="C319" s="66"/>
      <c r="D319" s="66"/>
      <c r="E319" s="66"/>
      <c r="F319" s="66"/>
    </row>
    <row r="320" spans="3:6" ht="14.25" customHeight="1" x14ac:dyDescent="0.3">
      <c r="C320" s="66"/>
      <c r="D320" s="66"/>
      <c r="E320" s="66"/>
      <c r="F320" s="66"/>
    </row>
    <row r="321" spans="3:6" ht="14.25" customHeight="1" x14ac:dyDescent="0.3">
      <c r="C321" s="66"/>
      <c r="D321" s="66"/>
      <c r="E321" s="66"/>
      <c r="F321" s="66"/>
    </row>
    <row r="322" spans="3:6" ht="14.25" customHeight="1" x14ac:dyDescent="0.3">
      <c r="C322" s="66"/>
      <c r="D322" s="66"/>
      <c r="E322" s="66"/>
      <c r="F322" s="66"/>
    </row>
    <row r="323" spans="3:6" ht="14.25" customHeight="1" x14ac:dyDescent="0.3">
      <c r="C323" s="66"/>
      <c r="D323" s="66"/>
      <c r="E323" s="66"/>
      <c r="F323" s="66"/>
    </row>
    <row r="324" spans="3:6" ht="14.25" customHeight="1" x14ac:dyDescent="0.3">
      <c r="C324" s="66"/>
      <c r="D324" s="66"/>
      <c r="E324" s="66"/>
      <c r="F324" s="66"/>
    </row>
    <row r="325" spans="3:6" ht="14.25" customHeight="1" x14ac:dyDescent="0.3">
      <c r="C325" s="66"/>
      <c r="D325" s="66"/>
      <c r="E325" s="66"/>
      <c r="F325" s="66"/>
    </row>
    <row r="326" spans="3:6" ht="14.25" customHeight="1" x14ac:dyDescent="0.3">
      <c r="C326" s="66"/>
      <c r="D326" s="66"/>
      <c r="E326" s="66"/>
      <c r="F326" s="66"/>
    </row>
    <row r="327" spans="3:6" ht="14.25" customHeight="1" x14ac:dyDescent="0.3">
      <c r="C327" s="66"/>
      <c r="D327" s="66"/>
      <c r="E327" s="66"/>
      <c r="F327" s="66"/>
    </row>
    <row r="328" spans="3:6" ht="14.25" customHeight="1" x14ac:dyDescent="0.3">
      <c r="C328" s="66"/>
      <c r="D328" s="66"/>
      <c r="E328" s="66"/>
      <c r="F328" s="66"/>
    </row>
    <row r="329" spans="3:6" ht="14.25" customHeight="1" x14ac:dyDescent="0.3">
      <c r="C329" s="66"/>
      <c r="D329" s="66"/>
      <c r="E329" s="66"/>
      <c r="F329" s="66"/>
    </row>
    <row r="330" spans="3:6" ht="14.25" customHeight="1" x14ac:dyDescent="0.3">
      <c r="C330" s="66"/>
      <c r="D330" s="66"/>
      <c r="E330" s="66"/>
      <c r="F330" s="66"/>
    </row>
    <row r="331" spans="3:6" ht="14.25" customHeight="1" x14ac:dyDescent="0.3">
      <c r="C331" s="66"/>
      <c r="D331" s="66"/>
      <c r="E331" s="66"/>
      <c r="F331" s="66"/>
    </row>
    <row r="332" spans="3:6" ht="14.25" customHeight="1" x14ac:dyDescent="0.3">
      <c r="C332" s="66"/>
      <c r="D332" s="66"/>
      <c r="E332" s="66"/>
      <c r="F332" s="66"/>
    </row>
    <row r="333" spans="3:6" ht="14.25" customHeight="1" x14ac:dyDescent="0.3">
      <c r="C333" s="66"/>
      <c r="D333" s="66"/>
      <c r="E333" s="66"/>
      <c r="F333" s="66"/>
    </row>
    <row r="334" spans="3:6" ht="14.25" customHeight="1" x14ac:dyDescent="0.3">
      <c r="C334" s="66"/>
      <c r="D334" s="66"/>
      <c r="E334" s="66"/>
      <c r="F334" s="66"/>
    </row>
    <row r="335" spans="3:6" ht="14.25" customHeight="1" x14ac:dyDescent="0.3">
      <c r="C335" s="66"/>
      <c r="D335" s="66"/>
      <c r="E335" s="66"/>
      <c r="F335" s="66"/>
    </row>
    <row r="336" spans="3:6" ht="14.25" customHeight="1" x14ac:dyDescent="0.3">
      <c r="C336" s="66"/>
      <c r="D336" s="66"/>
      <c r="E336" s="66"/>
      <c r="F336" s="66"/>
    </row>
    <row r="337" spans="3:6" ht="14.25" customHeight="1" x14ac:dyDescent="0.3">
      <c r="C337" s="66"/>
      <c r="D337" s="66"/>
      <c r="E337" s="66"/>
      <c r="F337" s="66"/>
    </row>
    <row r="338" spans="3:6" ht="14.25" customHeight="1" x14ac:dyDescent="0.3">
      <c r="C338" s="66"/>
      <c r="D338" s="66"/>
      <c r="E338" s="66"/>
      <c r="F338" s="66"/>
    </row>
    <row r="339" spans="3:6" ht="14.25" customHeight="1" x14ac:dyDescent="0.3">
      <c r="C339" s="66"/>
      <c r="D339" s="66"/>
      <c r="E339" s="66"/>
      <c r="F339" s="66"/>
    </row>
    <row r="340" spans="3:6" ht="14.25" customHeight="1" x14ac:dyDescent="0.3">
      <c r="C340" s="66"/>
      <c r="D340" s="66"/>
      <c r="E340" s="66"/>
      <c r="F340" s="66"/>
    </row>
    <row r="341" spans="3:6" ht="14.25" customHeight="1" x14ac:dyDescent="0.3">
      <c r="C341" s="66"/>
      <c r="D341" s="66"/>
      <c r="E341" s="66"/>
      <c r="F341" s="66"/>
    </row>
    <row r="342" spans="3:6" ht="14.25" customHeight="1" x14ac:dyDescent="0.3">
      <c r="C342" s="66"/>
      <c r="D342" s="66"/>
      <c r="E342" s="66"/>
      <c r="F342" s="66"/>
    </row>
    <row r="343" spans="3:6" ht="14.25" customHeight="1" x14ac:dyDescent="0.3">
      <c r="C343" s="66"/>
      <c r="D343" s="66"/>
      <c r="E343" s="66"/>
      <c r="F343" s="66"/>
    </row>
    <row r="344" spans="3:6" ht="14.25" customHeight="1" x14ac:dyDescent="0.3">
      <c r="C344" s="66"/>
      <c r="D344" s="66"/>
      <c r="E344" s="66"/>
      <c r="F344" s="66"/>
    </row>
    <row r="345" spans="3:6" ht="14.25" customHeight="1" x14ac:dyDescent="0.3">
      <c r="C345" s="66"/>
      <c r="D345" s="66"/>
      <c r="E345" s="66"/>
      <c r="F345" s="66"/>
    </row>
    <row r="346" spans="3:6" ht="14.25" customHeight="1" x14ac:dyDescent="0.3">
      <c r="C346" s="66"/>
      <c r="D346" s="66"/>
      <c r="E346" s="66"/>
      <c r="F346" s="66"/>
    </row>
    <row r="347" spans="3:6" ht="14.25" customHeight="1" x14ac:dyDescent="0.3">
      <c r="C347" s="66"/>
      <c r="D347" s="66"/>
      <c r="E347" s="66"/>
      <c r="F347" s="66"/>
    </row>
    <row r="348" spans="3:6" ht="14.25" customHeight="1" x14ac:dyDescent="0.3">
      <c r="C348" s="66"/>
      <c r="D348" s="66"/>
      <c r="E348" s="66"/>
      <c r="F348" s="66"/>
    </row>
    <row r="349" spans="3:6" ht="14.25" customHeight="1" x14ac:dyDescent="0.3">
      <c r="C349" s="66"/>
      <c r="D349" s="66"/>
      <c r="E349" s="66"/>
      <c r="F349" s="66"/>
    </row>
    <row r="350" spans="3:6" ht="14.25" customHeight="1" x14ac:dyDescent="0.3">
      <c r="C350" s="66"/>
      <c r="D350" s="66"/>
      <c r="E350" s="66"/>
      <c r="F350" s="66"/>
    </row>
    <row r="351" spans="3:6" ht="14.25" customHeight="1" x14ac:dyDescent="0.3">
      <c r="C351" s="66"/>
      <c r="D351" s="66"/>
      <c r="E351" s="66"/>
      <c r="F351" s="66"/>
    </row>
    <row r="352" spans="3:6" ht="14.25" customHeight="1" x14ac:dyDescent="0.3">
      <c r="C352" s="66"/>
      <c r="D352" s="66"/>
      <c r="E352" s="66"/>
      <c r="F352" s="66"/>
    </row>
    <row r="353" spans="3:6" ht="14.25" customHeight="1" x14ac:dyDescent="0.3">
      <c r="C353" s="66"/>
      <c r="D353" s="66"/>
      <c r="E353" s="66"/>
      <c r="F353" s="66"/>
    </row>
    <row r="354" spans="3:6" ht="14.25" customHeight="1" x14ac:dyDescent="0.3">
      <c r="C354" s="66"/>
      <c r="D354" s="66"/>
      <c r="E354" s="66"/>
      <c r="F354" s="66"/>
    </row>
    <row r="355" spans="3:6" ht="14.25" customHeight="1" x14ac:dyDescent="0.3">
      <c r="C355" s="66"/>
      <c r="D355" s="66"/>
      <c r="E355" s="66"/>
      <c r="F355" s="66"/>
    </row>
    <row r="356" spans="3:6" ht="14.25" customHeight="1" x14ac:dyDescent="0.3">
      <c r="C356" s="66"/>
      <c r="D356" s="66"/>
      <c r="E356" s="66"/>
      <c r="F356" s="66"/>
    </row>
    <row r="357" spans="3:6" ht="14.25" customHeight="1" x14ac:dyDescent="0.3">
      <c r="C357" s="66"/>
      <c r="D357" s="66"/>
      <c r="E357" s="66"/>
      <c r="F357" s="66"/>
    </row>
    <row r="358" spans="3:6" ht="14.25" customHeight="1" x14ac:dyDescent="0.3">
      <c r="C358" s="66"/>
      <c r="D358" s="66"/>
      <c r="E358" s="66"/>
      <c r="F358" s="66"/>
    </row>
    <row r="359" spans="3:6" ht="14.25" customHeight="1" x14ac:dyDescent="0.3">
      <c r="C359" s="66"/>
      <c r="D359" s="66"/>
      <c r="E359" s="66"/>
      <c r="F359" s="66"/>
    </row>
    <row r="360" spans="3:6" ht="14.25" customHeight="1" x14ac:dyDescent="0.3">
      <c r="C360" s="66"/>
      <c r="D360" s="66"/>
      <c r="E360" s="66"/>
      <c r="F360" s="66"/>
    </row>
    <row r="361" spans="3:6" ht="14.25" customHeight="1" x14ac:dyDescent="0.3">
      <c r="C361" s="66"/>
      <c r="D361" s="66"/>
      <c r="E361" s="66"/>
      <c r="F361" s="66"/>
    </row>
    <row r="362" spans="3:6" ht="14.25" customHeight="1" x14ac:dyDescent="0.3">
      <c r="C362" s="66"/>
      <c r="D362" s="66"/>
      <c r="E362" s="66"/>
      <c r="F362" s="66"/>
    </row>
    <row r="363" spans="3:6" ht="14.25" customHeight="1" x14ac:dyDescent="0.3">
      <c r="C363" s="66"/>
      <c r="D363" s="66"/>
      <c r="E363" s="66"/>
      <c r="F363" s="66"/>
    </row>
    <row r="364" spans="3:6" ht="14.25" customHeight="1" x14ac:dyDescent="0.3">
      <c r="C364" s="66"/>
      <c r="D364" s="66"/>
      <c r="E364" s="66"/>
      <c r="F364" s="66"/>
    </row>
    <row r="365" spans="3:6" ht="14.25" customHeight="1" x14ac:dyDescent="0.3">
      <c r="C365" s="66"/>
      <c r="D365" s="66"/>
      <c r="E365" s="66"/>
      <c r="F365" s="66"/>
    </row>
    <row r="366" spans="3:6" ht="14.25" customHeight="1" x14ac:dyDescent="0.3">
      <c r="C366" s="66"/>
      <c r="D366" s="66"/>
      <c r="E366" s="66"/>
      <c r="F366" s="66"/>
    </row>
    <row r="367" spans="3:6" ht="14.25" customHeight="1" x14ac:dyDescent="0.3">
      <c r="C367" s="66"/>
      <c r="D367" s="66"/>
      <c r="E367" s="66"/>
      <c r="F367" s="66"/>
    </row>
    <row r="368" spans="3:6" ht="14.25" customHeight="1" x14ac:dyDescent="0.3">
      <c r="C368" s="66"/>
      <c r="D368" s="66"/>
      <c r="E368" s="66"/>
      <c r="F368" s="66"/>
    </row>
    <row r="369" spans="3:6" ht="14.25" customHeight="1" x14ac:dyDescent="0.3">
      <c r="C369" s="66"/>
      <c r="D369" s="66"/>
      <c r="E369" s="66"/>
      <c r="F369" s="66"/>
    </row>
    <row r="370" spans="3:6" ht="14.25" customHeight="1" x14ac:dyDescent="0.3">
      <c r="C370" s="66"/>
      <c r="D370" s="66"/>
      <c r="E370" s="66"/>
      <c r="F370" s="66"/>
    </row>
    <row r="371" spans="3:6" ht="14.25" customHeight="1" x14ac:dyDescent="0.3">
      <c r="C371" s="66"/>
      <c r="D371" s="66"/>
      <c r="E371" s="66"/>
      <c r="F371" s="66"/>
    </row>
    <row r="372" spans="3:6" ht="14.25" customHeight="1" x14ac:dyDescent="0.3">
      <c r="C372" s="66"/>
      <c r="D372" s="66"/>
      <c r="E372" s="66"/>
      <c r="F372" s="66"/>
    </row>
    <row r="373" spans="3:6" ht="14.25" customHeight="1" x14ac:dyDescent="0.3">
      <c r="C373" s="66"/>
      <c r="D373" s="66"/>
      <c r="E373" s="66"/>
      <c r="F373" s="66"/>
    </row>
    <row r="374" spans="3:6" ht="14.25" customHeight="1" x14ac:dyDescent="0.3">
      <c r="C374" s="66"/>
      <c r="D374" s="66"/>
      <c r="E374" s="66"/>
      <c r="F374" s="66"/>
    </row>
    <row r="375" spans="3:6" ht="14.25" customHeight="1" x14ac:dyDescent="0.3">
      <c r="C375" s="66"/>
      <c r="D375" s="66"/>
      <c r="E375" s="66"/>
      <c r="F375" s="66"/>
    </row>
    <row r="376" spans="3:6" ht="14.25" customHeight="1" x14ac:dyDescent="0.3">
      <c r="C376" s="66"/>
      <c r="D376" s="66"/>
      <c r="E376" s="66"/>
      <c r="F376" s="66"/>
    </row>
    <row r="377" spans="3:6" ht="14.25" customHeight="1" x14ac:dyDescent="0.3">
      <c r="C377" s="66"/>
      <c r="D377" s="66"/>
      <c r="E377" s="66"/>
      <c r="F377" s="66"/>
    </row>
    <row r="378" spans="3:6" ht="14.25" customHeight="1" x14ac:dyDescent="0.3">
      <c r="C378" s="66"/>
      <c r="D378" s="66"/>
      <c r="E378" s="66"/>
      <c r="F378" s="66"/>
    </row>
    <row r="379" spans="3:6" ht="14.25" customHeight="1" x14ac:dyDescent="0.3">
      <c r="C379" s="66"/>
      <c r="D379" s="66"/>
      <c r="E379" s="66"/>
      <c r="F379" s="66"/>
    </row>
    <row r="380" spans="3:6" ht="14.25" customHeight="1" x14ac:dyDescent="0.3">
      <c r="C380" s="66"/>
      <c r="D380" s="66"/>
      <c r="E380" s="66"/>
      <c r="F380" s="66"/>
    </row>
    <row r="381" spans="3:6" ht="14.25" customHeight="1" x14ac:dyDescent="0.3">
      <c r="C381" s="66"/>
      <c r="D381" s="66"/>
      <c r="E381" s="66"/>
      <c r="F381" s="66"/>
    </row>
    <row r="382" spans="3:6" ht="14.25" customHeight="1" x14ac:dyDescent="0.3">
      <c r="C382" s="66"/>
      <c r="D382" s="66"/>
      <c r="E382" s="66"/>
      <c r="F382" s="66"/>
    </row>
    <row r="383" spans="3:6" ht="14.25" customHeight="1" x14ac:dyDescent="0.3">
      <c r="C383" s="66"/>
      <c r="D383" s="66"/>
      <c r="E383" s="66"/>
      <c r="F383" s="66"/>
    </row>
    <row r="384" spans="3:6" ht="14.25" customHeight="1" x14ac:dyDescent="0.3">
      <c r="C384" s="66"/>
      <c r="D384" s="66"/>
      <c r="E384" s="66"/>
      <c r="F384" s="66"/>
    </row>
    <row r="385" spans="3:6" ht="14.25" customHeight="1" x14ac:dyDescent="0.3">
      <c r="C385" s="66"/>
      <c r="D385" s="66"/>
      <c r="E385" s="66"/>
      <c r="F385" s="66"/>
    </row>
    <row r="386" spans="3:6" ht="14.25" customHeight="1" x14ac:dyDescent="0.3">
      <c r="C386" s="66"/>
      <c r="D386" s="66"/>
      <c r="E386" s="66"/>
      <c r="F386" s="66"/>
    </row>
    <row r="387" spans="3:6" ht="14.25" customHeight="1" x14ac:dyDescent="0.3">
      <c r="C387" s="66"/>
      <c r="D387" s="66"/>
      <c r="E387" s="66"/>
      <c r="F387" s="66"/>
    </row>
    <row r="388" spans="3:6" ht="14.25" customHeight="1" x14ac:dyDescent="0.3">
      <c r="C388" s="66"/>
      <c r="D388" s="66"/>
      <c r="E388" s="66"/>
      <c r="F388" s="66"/>
    </row>
    <row r="389" spans="3:6" ht="14.25" customHeight="1" x14ac:dyDescent="0.3">
      <c r="C389" s="66"/>
      <c r="D389" s="66"/>
      <c r="E389" s="66"/>
      <c r="F389" s="66"/>
    </row>
    <row r="390" spans="3:6" ht="14.25" customHeight="1" x14ac:dyDescent="0.3">
      <c r="C390" s="66"/>
      <c r="D390" s="66"/>
      <c r="E390" s="66"/>
      <c r="F390" s="66"/>
    </row>
    <row r="391" spans="3:6" ht="14.25" customHeight="1" x14ac:dyDescent="0.3">
      <c r="C391" s="66"/>
      <c r="D391" s="66"/>
      <c r="E391" s="66"/>
      <c r="F391" s="66"/>
    </row>
    <row r="392" spans="3:6" ht="14.25" customHeight="1" x14ac:dyDescent="0.3">
      <c r="C392" s="66"/>
      <c r="D392" s="66"/>
      <c r="E392" s="66"/>
      <c r="F392" s="66"/>
    </row>
    <row r="393" spans="3:6" ht="14.25" customHeight="1" x14ac:dyDescent="0.3">
      <c r="C393" s="66"/>
      <c r="D393" s="66"/>
      <c r="E393" s="66"/>
      <c r="F393" s="66"/>
    </row>
    <row r="394" spans="3:6" ht="14.25" customHeight="1" x14ac:dyDescent="0.3">
      <c r="C394" s="66"/>
      <c r="D394" s="66"/>
      <c r="E394" s="66"/>
      <c r="F394" s="66"/>
    </row>
    <row r="395" spans="3:6" ht="14.25" customHeight="1" x14ac:dyDescent="0.3">
      <c r="C395" s="66"/>
      <c r="D395" s="66"/>
      <c r="E395" s="66"/>
      <c r="F395" s="66"/>
    </row>
    <row r="396" spans="3:6" ht="14.25" customHeight="1" x14ac:dyDescent="0.3">
      <c r="C396" s="66"/>
      <c r="D396" s="66"/>
      <c r="E396" s="66"/>
      <c r="F396" s="66"/>
    </row>
    <row r="397" spans="3:6" ht="14.25" customHeight="1" x14ac:dyDescent="0.3">
      <c r="C397" s="66"/>
      <c r="D397" s="66"/>
      <c r="E397" s="66"/>
      <c r="F397" s="66"/>
    </row>
    <row r="398" spans="3:6" ht="14.25" customHeight="1" x14ac:dyDescent="0.3">
      <c r="C398" s="66"/>
      <c r="D398" s="66"/>
      <c r="E398" s="66"/>
      <c r="F398" s="66"/>
    </row>
    <row r="399" spans="3:6" ht="14.25" customHeight="1" x14ac:dyDescent="0.3">
      <c r="C399" s="66"/>
      <c r="D399" s="66"/>
      <c r="E399" s="66"/>
      <c r="F399" s="66"/>
    </row>
    <row r="400" spans="3:6" ht="14.25" customHeight="1" x14ac:dyDescent="0.3">
      <c r="C400" s="66"/>
      <c r="D400" s="66"/>
      <c r="E400" s="66"/>
      <c r="F400" s="66"/>
    </row>
    <row r="401" spans="3:6" ht="14.25" customHeight="1" x14ac:dyDescent="0.3">
      <c r="C401" s="66"/>
      <c r="D401" s="66"/>
      <c r="E401" s="66"/>
      <c r="F401" s="66"/>
    </row>
    <row r="402" spans="3:6" ht="14.25" customHeight="1" x14ac:dyDescent="0.3">
      <c r="C402" s="66"/>
      <c r="D402" s="66"/>
      <c r="E402" s="66"/>
      <c r="F402" s="66"/>
    </row>
    <row r="403" spans="3:6" ht="14.25" customHeight="1" x14ac:dyDescent="0.3">
      <c r="C403" s="66"/>
      <c r="D403" s="66"/>
      <c r="E403" s="66"/>
      <c r="F403" s="66"/>
    </row>
    <row r="404" spans="3:6" ht="14.25" customHeight="1" x14ac:dyDescent="0.3">
      <c r="C404" s="66"/>
      <c r="D404" s="66"/>
      <c r="E404" s="66"/>
      <c r="F404" s="66"/>
    </row>
    <row r="405" spans="3:6" ht="14.25" customHeight="1" x14ac:dyDescent="0.3">
      <c r="C405" s="66"/>
      <c r="D405" s="66"/>
      <c r="E405" s="66"/>
      <c r="F405" s="66"/>
    </row>
    <row r="406" spans="3:6" ht="14.25" customHeight="1" x14ac:dyDescent="0.3">
      <c r="C406" s="66"/>
      <c r="D406" s="66"/>
      <c r="E406" s="66"/>
      <c r="F406" s="66"/>
    </row>
    <row r="407" spans="3:6" ht="14.25" customHeight="1" x14ac:dyDescent="0.3">
      <c r="C407" s="66"/>
      <c r="D407" s="66"/>
      <c r="E407" s="66"/>
      <c r="F407" s="66"/>
    </row>
    <row r="408" spans="3:6" ht="14.25" customHeight="1" x14ac:dyDescent="0.3">
      <c r="C408" s="66"/>
      <c r="D408" s="66"/>
      <c r="E408" s="66"/>
      <c r="F408" s="66"/>
    </row>
    <row r="409" spans="3:6" ht="14.25" customHeight="1" x14ac:dyDescent="0.3">
      <c r="C409" s="66"/>
      <c r="D409" s="66"/>
      <c r="E409" s="66"/>
      <c r="F409" s="66"/>
    </row>
    <row r="410" spans="3:6" ht="14.25" customHeight="1" x14ac:dyDescent="0.3">
      <c r="C410" s="66"/>
      <c r="D410" s="66"/>
      <c r="E410" s="66"/>
      <c r="F410" s="66"/>
    </row>
    <row r="411" spans="3:6" ht="14.25" customHeight="1" x14ac:dyDescent="0.3">
      <c r="C411" s="66"/>
      <c r="D411" s="66"/>
      <c r="E411" s="66"/>
      <c r="F411" s="66"/>
    </row>
    <row r="412" spans="3:6" ht="14.25" customHeight="1" x14ac:dyDescent="0.3">
      <c r="C412" s="66"/>
      <c r="D412" s="66"/>
      <c r="E412" s="66"/>
      <c r="F412" s="66"/>
    </row>
    <row r="413" spans="3:6" ht="14.25" customHeight="1" x14ac:dyDescent="0.3">
      <c r="C413" s="66"/>
      <c r="D413" s="66"/>
      <c r="E413" s="66"/>
      <c r="F413" s="66"/>
    </row>
    <row r="414" spans="3:6" ht="14.25" customHeight="1" x14ac:dyDescent="0.3">
      <c r="C414" s="66"/>
      <c r="D414" s="66"/>
      <c r="E414" s="66"/>
      <c r="F414" s="66"/>
    </row>
    <row r="415" spans="3:6" ht="14.25" customHeight="1" x14ac:dyDescent="0.3">
      <c r="C415" s="66"/>
      <c r="D415" s="66"/>
      <c r="E415" s="66"/>
      <c r="F415" s="66"/>
    </row>
    <row r="416" spans="3:6" ht="14.25" customHeight="1" x14ac:dyDescent="0.3">
      <c r="C416" s="66"/>
      <c r="D416" s="66"/>
      <c r="E416" s="66"/>
      <c r="F416" s="66"/>
    </row>
    <row r="417" spans="3:6" ht="14.25" customHeight="1" x14ac:dyDescent="0.3">
      <c r="C417" s="66"/>
      <c r="D417" s="66"/>
      <c r="E417" s="66"/>
      <c r="F417" s="66"/>
    </row>
    <row r="418" spans="3:6" ht="14.25" customHeight="1" x14ac:dyDescent="0.3">
      <c r="C418" s="66"/>
      <c r="D418" s="66"/>
      <c r="E418" s="66"/>
      <c r="F418" s="66"/>
    </row>
    <row r="419" spans="3:6" ht="14.25" customHeight="1" x14ac:dyDescent="0.3">
      <c r="C419" s="66"/>
      <c r="D419" s="66"/>
      <c r="E419" s="66"/>
      <c r="F419" s="66"/>
    </row>
    <row r="420" spans="3:6" ht="14.25" customHeight="1" x14ac:dyDescent="0.3">
      <c r="C420" s="66"/>
      <c r="D420" s="66"/>
      <c r="E420" s="66"/>
      <c r="F420" s="66"/>
    </row>
    <row r="421" spans="3:6" ht="14.25" customHeight="1" x14ac:dyDescent="0.3">
      <c r="C421" s="66"/>
      <c r="D421" s="66"/>
      <c r="E421" s="66"/>
      <c r="F421" s="66"/>
    </row>
    <row r="422" spans="3:6" ht="14.25" customHeight="1" x14ac:dyDescent="0.3">
      <c r="C422" s="66"/>
      <c r="D422" s="66"/>
      <c r="E422" s="66"/>
      <c r="F422" s="66"/>
    </row>
    <row r="423" spans="3:6" ht="14.25" customHeight="1" x14ac:dyDescent="0.3">
      <c r="C423" s="66"/>
      <c r="D423" s="66"/>
      <c r="E423" s="66"/>
      <c r="F423" s="66"/>
    </row>
    <row r="424" spans="3:6" ht="14.25" customHeight="1" x14ac:dyDescent="0.3">
      <c r="C424" s="66"/>
      <c r="D424" s="66"/>
      <c r="E424" s="66"/>
      <c r="F424" s="66"/>
    </row>
    <row r="425" spans="3:6" ht="14.25" customHeight="1" x14ac:dyDescent="0.3">
      <c r="C425" s="66"/>
      <c r="D425" s="66"/>
      <c r="E425" s="66"/>
      <c r="F425" s="66"/>
    </row>
    <row r="426" spans="3:6" ht="14.25" customHeight="1" x14ac:dyDescent="0.3">
      <c r="C426" s="66"/>
      <c r="D426" s="66"/>
      <c r="E426" s="66"/>
      <c r="F426" s="66"/>
    </row>
    <row r="427" spans="3:6" ht="14.25" customHeight="1" x14ac:dyDescent="0.3">
      <c r="C427" s="66"/>
      <c r="D427" s="66"/>
      <c r="E427" s="66"/>
      <c r="F427" s="66"/>
    </row>
    <row r="428" spans="3:6" ht="14.25" customHeight="1" x14ac:dyDescent="0.3">
      <c r="C428" s="66"/>
      <c r="D428" s="66"/>
      <c r="E428" s="66"/>
      <c r="F428" s="66"/>
    </row>
    <row r="429" spans="3:6" ht="14.25" customHeight="1" x14ac:dyDescent="0.3">
      <c r="C429" s="66"/>
      <c r="D429" s="66"/>
      <c r="E429" s="66"/>
      <c r="F429" s="66"/>
    </row>
    <row r="430" spans="3:6" ht="14.25" customHeight="1" x14ac:dyDescent="0.3">
      <c r="C430" s="66"/>
      <c r="D430" s="66"/>
      <c r="E430" s="66"/>
      <c r="F430" s="66"/>
    </row>
    <row r="431" spans="3:6" ht="14.25" customHeight="1" x14ac:dyDescent="0.3">
      <c r="C431" s="66"/>
      <c r="D431" s="66"/>
      <c r="E431" s="66"/>
      <c r="F431" s="66"/>
    </row>
    <row r="432" spans="3:6" ht="14.25" customHeight="1" x14ac:dyDescent="0.3">
      <c r="C432" s="66"/>
      <c r="D432" s="66"/>
      <c r="E432" s="66"/>
      <c r="F432" s="66"/>
    </row>
    <row r="433" spans="3:6" ht="14.25" customHeight="1" x14ac:dyDescent="0.3">
      <c r="C433" s="66"/>
      <c r="D433" s="66"/>
      <c r="E433" s="66"/>
      <c r="F433" s="66"/>
    </row>
    <row r="434" spans="3:6" ht="14.25" customHeight="1" x14ac:dyDescent="0.3">
      <c r="C434" s="66"/>
      <c r="D434" s="66"/>
      <c r="E434" s="66"/>
      <c r="F434" s="66"/>
    </row>
    <row r="435" spans="3:6" ht="14.25" customHeight="1" x14ac:dyDescent="0.3">
      <c r="C435" s="66"/>
      <c r="D435" s="66"/>
      <c r="E435" s="66"/>
      <c r="F435" s="66"/>
    </row>
    <row r="436" spans="3:6" ht="14.25" customHeight="1" x14ac:dyDescent="0.3">
      <c r="C436" s="66"/>
      <c r="D436" s="66"/>
      <c r="E436" s="66"/>
      <c r="F436" s="66"/>
    </row>
    <row r="437" spans="3:6" ht="14.25" customHeight="1" x14ac:dyDescent="0.3">
      <c r="C437" s="66"/>
      <c r="D437" s="66"/>
      <c r="E437" s="66"/>
      <c r="F437" s="66"/>
    </row>
    <row r="438" spans="3:6" ht="14.25" customHeight="1" x14ac:dyDescent="0.3">
      <c r="C438" s="66"/>
      <c r="D438" s="66"/>
      <c r="E438" s="66"/>
      <c r="F438" s="66"/>
    </row>
    <row r="439" spans="3:6" ht="14.25" customHeight="1" x14ac:dyDescent="0.3">
      <c r="C439" s="66"/>
      <c r="D439" s="66"/>
      <c r="E439" s="66"/>
      <c r="F439" s="66"/>
    </row>
    <row r="440" spans="3:6" ht="14.25" customHeight="1" x14ac:dyDescent="0.3">
      <c r="C440" s="66"/>
      <c r="D440" s="66"/>
      <c r="E440" s="66"/>
      <c r="F440" s="66"/>
    </row>
    <row r="441" spans="3:6" ht="14.25" customHeight="1" x14ac:dyDescent="0.3">
      <c r="C441" s="66"/>
      <c r="D441" s="66"/>
      <c r="E441" s="66"/>
      <c r="F441" s="66"/>
    </row>
    <row r="442" spans="3:6" ht="14.25" customHeight="1" x14ac:dyDescent="0.3">
      <c r="C442" s="66"/>
      <c r="D442" s="66"/>
      <c r="E442" s="66"/>
      <c r="F442" s="66"/>
    </row>
    <row r="443" spans="3:6" ht="14.25" customHeight="1" x14ac:dyDescent="0.3">
      <c r="C443" s="66"/>
      <c r="D443" s="66"/>
      <c r="E443" s="66"/>
      <c r="F443" s="66"/>
    </row>
    <row r="444" spans="3:6" ht="14.25" customHeight="1" x14ac:dyDescent="0.3">
      <c r="C444" s="66"/>
      <c r="D444" s="66"/>
      <c r="E444" s="66"/>
      <c r="F444" s="66"/>
    </row>
    <row r="445" spans="3:6" ht="14.25" customHeight="1" x14ac:dyDescent="0.3">
      <c r="C445" s="66"/>
      <c r="D445" s="66"/>
      <c r="E445" s="66"/>
      <c r="F445" s="66"/>
    </row>
    <row r="446" spans="3:6" ht="14.25" customHeight="1" x14ac:dyDescent="0.3">
      <c r="C446" s="66"/>
      <c r="D446" s="66"/>
      <c r="E446" s="66"/>
      <c r="F446" s="66"/>
    </row>
    <row r="447" spans="3:6" ht="14.25" customHeight="1" x14ac:dyDescent="0.3">
      <c r="C447" s="66"/>
      <c r="D447" s="66"/>
      <c r="E447" s="66"/>
      <c r="F447" s="66"/>
    </row>
    <row r="448" spans="3:6" ht="14.25" customHeight="1" x14ac:dyDescent="0.3">
      <c r="C448" s="66"/>
      <c r="D448" s="66"/>
      <c r="E448" s="66"/>
      <c r="F448" s="66"/>
    </row>
    <row r="449" spans="3:6" ht="14.25" customHeight="1" x14ac:dyDescent="0.3">
      <c r="C449" s="66"/>
      <c r="D449" s="66"/>
      <c r="E449" s="66"/>
      <c r="F449" s="66"/>
    </row>
    <row r="450" spans="3:6" ht="14.25" customHeight="1" x14ac:dyDescent="0.3">
      <c r="C450" s="66"/>
      <c r="D450" s="66"/>
      <c r="E450" s="66"/>
      <c r="F450" s="66"/>
    </row>
    <row r="451" spans="3:6" ht="14.25" customHeight="1" x14ac:dyDescent="0.3">
      <c r="C451" s="66"/>
      <c r="D451" s="66"/>
      <c r="E451" s="66"/>
      <c r="F451" s="66"/>
    </row>
    <row r="452" spans="3:6" ht="14.25" customHeight="1" x14ac:dyDescent="0.3">
      <c r="C452" s="66"/>
      <c r="D452" s="66"/>
      <c r="E452" s="66"/>
      <c r="F452" s="66"/>
    </row>
    <row r="453" spans="3:6" ht="14.25" customHeight="1" x14ac:dyDescent="0.3">
      <c r="C453" s="66"/>
      <c r="D453" s="66"/>
      <c r="E453" s="66"/>
      <c r="F453" s="66"/>
    </row>
    <row r="454" spans="3:6" ht="14.25" customHeight="1" x14ac:dyDescent="0.3">
      <c r="C454" s="66"/>
      <c r="D454" s="66"/>
      <c r="E454" s="66"/>
      <c r="F454" s="66"/>
    </row>
    <row r="455" spans="3:6" ht="14.25" customHeight="1" x14ac:dyDescent="0.3">
      <c r="C455" s="66"/>
      <c r="D455" s="66"/>
      <c r="E455" s="66"/>
      <c r="F455" s="66"/>
    </row>
    <row r="456" spans="3:6" ht="14.25" customHeight="1" x14ac:dyDescent="0.3">
      <c r="C456" s="66"/>
      <c r="D456" s="66"/>
      <c r="E456" s="66"/>
      <c r="F456" s="66"/>
    </row>
    <row r="457" spans="3:6" ht="14.25" customHeight="1" x14ac:dyDescent="0.3">
      <c r="C457" s="66"/>
      <c r="D457" s="66"/>
      <c r="E457" s="66"/>
      <c r="F457" s="66"/>
    </row>
    <row r="458" spans="3:6" ht="14.25" customHeight="1" x14ac:dyDescent="0.3">
      <c r="C458" s="66"/>
      <c r="D458" s="66"/>
      <c r="E458" s="66"/>
      <c r="F458" s="66"/>
    </row>
    <row r="459" spans="3:6" ht="14.25" customHeight="1" x14ac:dyDescent="0.3">
      <c r="C459" s="66"/>
      <c r="D459" s="66"/>
      <c r="E459" s="66"/>
      <c r="F459" s="66"/>
    </row>
    <row r="460" spans="3:6" ht="14.25" customHeight="1" x14ac:dyDescent="0.3">
      <c r="C460" s="66"/>
      <c r="D460" s="66"/>
      <c r="E460" s="66"/>
      <c r="F460" s="66"/>
    </row>
    <row r="461" spans="3:6" ht="14.25" customHeight="1" x14ac:dyDescent="0.3">
      <c r="C461" s="66"/>
      <c r="D461" s="66"/>
      <c r="E461" s="66"/>
      <c r="F461" s="66"/>
    </row>
    <row r="462" spans="3:6" ht="14.25" customHeight="1" x14ac:dyDescent="0.3">
      <c r="C462" s="66"/>
      <c r="D462" s="66"/>
      <c r="E462" s="66"/>
      <c r="F462" s="66"/>
    </row>
    <row r="463" spans="3:6" ht="14.25" customHeight="1" x14ac:dyDescent="0.3">
      <c r="C463" s="66"/>
      <c r="D463" s="66"/>
      <c r="E463" s="66"/>
      <c r="F463" s="66"/>
    </row>
    <row r="464" spans="3:6" ht="14.25" customHeight="1" x14ac:dyDescent="0.3">
      <c r="C464" s="66"/>
      <c r="D464" s="66"/>
      <c r="E464" s="66"/>
      <c r="F464" s="66"/>
    </row>
    <row r="465" spans="3:6" ht="14.25" customHeight="1" x14ac:dyDescent="0.3">
      <c r="C465" s="66"/>
      <c r="D465" s="66"/>
      <c r="E465" s="66"/>
      <c r="F465" s="66"/>
    </row>
    <row r="466" spans="3:6" ht="14.25" customHeight="1" x14ac:dyDescent="0.3">
      <c r="C466" s="66"/>
      <c r="D466" s="66"/>
      <c r="E466" s="66"/>
      <c r="F466" s="66"/>
    </row>
    <row r="467" spans="3:6" ht="14.25" customHeight="1" x14ac:dyDescent="0.3">
      <c r="C467" s="66"/>
      <c r="D467" s="66"/>
      <c r="E467" s="66"/>
      <c r="F467" s="66"/>
    </row>
    <row r="468" spans="3:6" ht="14.25" customHeight="1" x14ac:dyDescent="0.3">
      <c r="C468" s="66"/>
      <c r="D468" s="66"/>
      <c r="E468" s="66"/>
      <c r="F468" s="66"/>
    </row>
    <row r="469" spans="3:6" ht="14.25" customHeight="1" x14ac:dyDescent="0.3">
      <c r="C469" s="66"/>
      <c r="D469" s="66"/>
      <c r="E469" s="66"/>
      <c r="F469" s="66"/>
    </row>
    <row r="470" spans="3:6" ht="14.25" customHeight="1" x14ac:dyDescent="0.3">
      <c r="C470" s="66"/>
      <c r="D470" s="66"/>
      <c r="E470" s="66"/>
      <c r="F470" s="66"/>
    </row>
    <row r="471" spans="3:6" ht="14.25" customHeight="1" x14ac:dyDescent="0.3">
      <c r="C471" s="66"/>
      <c r="D471" s="66"/>
      <c r="E471" s="66"/>
      <c r="F471" s="66"/>
    </row>
    <row r="472" spans="3:6" ht="14.25" customHeight="1" x14ac:dyDescent="0.3">
      <c r="C472" s="66"/>
      <c r="D472" s="66"/>
      <c r="E472" s="66"/>
      <c r="F472" s="66"/>
    </row>
    <row r="473" spans="3:6" ht="14.25" customHeight="1" x14ac:dyDescent="0.3">
      <c r="C473" s="66"/>
      <c r="D473" s="66"/>
      <c r="E473" s="66"/>
      <c r="F473" s="66"/>
    </row>
    <row r="474" spans="3:6" ht="14.25" customHeight="1" x14ac:dyDescent="0.3">
      <c r="C474" s="66"/>
      <c r="D474" s="66"/>
      <c r="E474" s="66"/>
      <c r="F474" s="66"/>
    </row>
    <row r="475" spans="3:6" ht="14.25" customHeight="1" x14ac:dyDescent="0.3">
      <c r="C475" s="66"/>
      <c r="D475" s="66"/>
      <c r="E475" s="66"/>
      <c r="F475" s="66"/>
    </row>
    <row r="476" spans="3:6" ht="14.25" customHeight="1" x14ac:dyDescent="0.3">
      <c r="C476" s="66"/>
      <c r="D476" s="66"/>
      <c r="E476" s="66"/>
      <c r="F476" s="66"/>
    </row>
    <row r="477" spans="3:6" ht="14.25" customHeight="1" x14ac:dyDescent="0.3">
      <c r="C477" s="66"/>
      <c r="D477" s="66"/>
      <c r="E477" s="66"/>
      <c r="F477" s="66"/>
    </row>
    <row r="478" spans="3:6" ht="14.25" customHeight="1" x14ac:dyDescent="0.3">
      <c r="C478" s="66"/>
      <c r="D478" s="66"/>
      <c r="E478" s="66"/>
      <c r="F478" s="66"/>
    </row>
    <row r="479" spans="3:6" ht="14.25" customHeight="1" x14ac:dyDescent="0.3">
      <c r="C479" s="66"/>
      <c r="D479" s="66"/>
      <c r="E479" s="66"/>
      <c r="F479" s="66"/>
    </row>
    <row r="480" spans="3:6" ht="14.25" customHeight="1" x14ac:dyDescent="0.3">
      <c r="C480" s="66"/>
      <c r="D480" s="66"/>
      <c r="E480" s="66"/>
      <c r="F480" s="66"/>
    </row>
    <row r="481" spans="3:6" ht="14.25" customHeight="1" x14ac:dyDescent="0.3">
      <c r="C481" s="66"/>
      <c r="D481" s="66"/>
      <c r="E481" s="66"/>
      <c r="F481" s="66"/>
    </row>
    <row r="482" spans="3:6" ht="14.25" customHeight="1" x14ac:dyDescent="0.3">
      <c r="C482" s="66"/>
      <c r="D482" s="66"/>
      <c r="E482" s="66"/>
      <c r="F482" s="66"/>
    </row>
    <row r="483" spans="3:6" ht="14.25" customHeight="1" x14ac:dyDescent="0.3">
      <c r="C483" s="66"/>
      <c r="D483" s="66"/>
      <c r="E483" s="66"/>
      <c r="F483" s="66"/>
    </row>
    <row r="484" spans="3:6" ht="14.25" customHeight="1" x14ac:dyDescent="0.3">
      <c r="C484" s="66"/>
      <c r="D484" s="66"/>
      <c r="E484" s="66"/>
      <c r="F484" s="66"/>
    </row>
    <row r="485" spans="3:6" ht="14.25" customHeight="1" x14ac:dyDescent="0.3">
      <c r="C485" s="66"/>
      <c r="D485" s="66"/>
      <c r="E485" s="66"/>
      <c r="F485" s="66"/>
    </row>
    <row r="486" spans="3:6" ht="14.25" customHeight="1" x14ac:dyDescent="0.3">
      <c r="C486" s="66"/>
      <c r="D486" s="66"/>
      <c r="E486" s="66"/>
      <c r="F486" s="66"/>
    </row>
    <row r="487" spans="3:6" ht="14.25" customHeight="1" x14ac:dyDescent="0.3">
      <c r="C487" s="66"/>
      <c r="D487" s="66"/>
      <c r="E487" s="66"/>
      <c r="F487" s="66"/>
    </row>
    <row r="488" spans="3:6" ht="14.25" customHeight="1" x14ac:dyDescent="0.3">
      <c r="C488" s="66"/>
      <c r="D488" s="66"/>
      <c r="E488" s="66"/>
      <c r="F488" s="66"/>
    </row>
    <row r="489" spans="3:6" ht="14.25" customHeight="1" x14ac:dyDescent="0.3">
      <c r="C489" s="66"/>
      <c r="D489" s="66"/>
      <c r="E489" s="66"/>
      <c r="F489" s="66"/>
    </row>
    <row r="490" spans="3:6" ht="14.25" customHeight="1" x14ac:dyDescent="0.3">
      <c r="C490" s="66"/>
      <c r="D490" s="66"/>
      <c r="E490" s="66"/>
      <c r="F490" s="66"/>
    </row>
    <row r="491" spans="3:6" ht="14.25" customHeight="1" x14ac:dyDescent="0.3">
      <c r="C491" s="66"/>
      <c r="D491" s="66"/>
      <c r="E491" s="66"/>
      <c r="F491" s="66"/>
    </row>
    <row r="492" spans="3:6" ht="14.25" customHeight="1" x14ac:dyDescent="0.3">
      <c r="C492" s="66"/>
      <c r="D492" s="66"/>
      <c r="E492" s="66"/>
      <c r="F492" s="66"/>
    </row>
    <row r="493" spans="3:6" ht="14.25" customHeight="1" x14ac:dyDescent="0.3">
      <c r="C493" s="66"/>
      <c r="D493" s="66"/>
      <c r="E493" s="66"/>
      <c r="F493" s="66"/>
    </row>
    <row r="494" spans="3:6" ht="14.25" customHeight="1" x14ac:dyDescent="0.3">
      <c r="C494" s="66"/>
      <c r="D494" s="66"/>
      <c r="E494" s="66"/>
      <c r="F494" s="66"/>
    </row>
    <row r="495" spans="3:6" ht="14.25" customHeight="1" x14ac:dyDescent="0.3">
      <c r="C495" s="66"/>
      <c r="D495" s="66"/>
      <c r="E495" s="66"/>
      <c r="F495" s="66"/>
    </row>
    <row r="496" spans="3:6" ht="14.25" customHeight="1" x14ac:dyDescent="0.3">
      <c r="C496" s="66"/>
      <c r="D496" s="66"/>
      <c r="E496" s="66"/>
      <c r="F496" s="66"/>
    </row>
    <row r="497" spans="3:6" ht="14.25" customHeight="1" x14ac:dyDescent="0.3">
      <c r="C497" s="66"/>
      <c r="D497" s="66"/>
      <c r="E497" s="66"/>
      <c r="F497" s="66"/>
    </row>
    <row r="498" spans="3:6" ht="14.25" customHeight="1" x14ac:dyDescent="0.3">
      <c r="C498" s="66"/>
      <c r="D498" s="66"/>
      <c r="E498" s="66"/>
      <c r="F498" s="66"/>
    </row>
    <row r="499" spans="3:6" ht="14.25" customHeight="1" x14ac:dyDescent="0.3">
      <c r="C499" s="66"/>
      <c r="D499" s="66"/>
      <c r="E499" s="66"/>
      <c r="F499" s="66"/>
    </row>
    <row r="500" spans="3:6" ht="14.25" customHeight="1" x14ac:dyDescent="0.3">
      <c r="C500" s="66"/>
      <c r="D500" s="66"/>
      <c r="E500" s="66"/>
      <c r="F500" s="66"/>
    </row>
    <row r="501" spans="3:6" ht="14.25" customHeight="1" x14ac:dyDescent="0.3">
      <c r="C501" s="66"/>
      <c r="D501" s="66"/>
      <c r="E501" s="66"/>
      <c r="F501" s="66"/>
    </row>
    <row r="502" spans="3:6" ht="14.25" customHeight="1" x14ac:dyDescent="0.3">
      <c r="C502" s="66"/>
      <c r="D502" s="66"/>
      <c r="E502" s="66"/>
      <c r="F502" s="66"/>
    </row>
    <row r="503" spans="3:6" ht="14.25" customHeight="1" x14ac:dyDescent="0.3">
      <c r="C503" s="66"/>
      <c r="D503" s="66"/>
      <c r="E503" s="66"/>
      <c r="F503" s="66"/>
    </row>
    <row r="504" spans="3:6" ht="14.25" customHeight="1" x14ac:dyDescent="0.3">
      <c r="C504" s="66"/>
      <c r="D504" s="66"/>
      <c r="E504" s="66"/>
      <c r="F504" s="66"/>
    </row>
    <row r="505" spans="3:6" ht="14.25" customHeight="1" x14ac:dyDescent="0.3">
      <c r="C505" s="66"/>
      <c r="D505" s="66"/>
      <c r="E505" s="66"/>
      <c r="F505" s="66"/>
    </row>
    <row r="506" spans="3:6" ht="14.25" customHeight="1" x14ac:dyDescent="0.3">
      <c r="C506" s="66"/>
      <c r="D506" s="66"/>
      <c r="E506" s="66"/>
      <c r="F506" s="66"/>
    </row>
    <row r="507" spans="3:6" ht="14.25" customHeight="1" x14ac:dyDescent="0.3">
      <c r="C507" s="66"/>
      <c r="D507" s="66"/>
      <c r="E507" s="66"/>
      <c r="F507" s="66"/>
    </row>
    <row r="508" spans="3:6" ht="14.25" customHeight="1" x14ac:dyDescent="0.3">
      <c r="C508" s="66"/>
      <c r="D508" s="66"/>
      <c r="E508" s="66"/>
      <c r="F508" s="66"/>
    </row>
    <row r="509" spans="3:6" ht="14.25" customHeight="1" x14ac:dyDescent="0.3">
      <c r="C509" s="66"/>
      <c r="D509" s="66"/>
      <c r="E509" s="66"/>
      <c r="F509" s="66"/>
    </row>
    <row r="510" spans="3:6" ht="14.25" customHeight="1" x14ac:dyDescent="0.3">
      <c r="C510" s="66"/>
      <c r="D510" s="66"/>
      <c r="E510" s="66"/>
      <c r="F510" s="66"/>
    </row>
    <row r="511" spans="3:6" ht="14.25" customHeight="1" x14ac:dyDescent="0.3">
      <c r="C511" s="66"/>
      <c r="D511" s="66"/>
      <c r="E511" s="66"/>
      <c r="F511" s="66"/>
    </row>
    <row r="512" spans="3:6" ht="14.25" customHeight="1" x14ac:dyDescent="0.3">
      <c r="C512" s="66"/>
      <c r="D512" s="66"/>
      <c r="E512" s="66"/>
      <c r="F512" s="66"/>
    </row>
    <row r="513" spans="3:6" ht="14.25" customHeight="1" x14ac:dyDescent="0.3">
      <c r="C513" s="66"/>
      <c r="D513" s="66"/>
      <c r="E513" s="66"/>
      <c r="F513" s="66"/>
    </row>
    <row r="514" spans="3:6" ht="14.25" customHeight="1" x14ac:dyDescent="0.3">
      <c r="C514" s="66"/>
      <c r="D514" s="66"/>
      <c r="E514" s="66"/>
      <c r="F514" s="66"/>
    </row>
    <row r="515" spans="3:6" ht="14.25" customHeight="1" x14ac:dyDescent="0.3">
      <c r="C515" s="66"/>
      <c r="D515" s="66"/>
      <c r="E515" s="66"/>
      <c r="F515" s="66"/>
    </row>
    <row r="516" spans="3:6" ht="14.25" customHeight="1" x14ac:dyDescent="0.3">
      <c r="C516" s="66"/>
      <c r="D516" s="66"/>
      <c r="E516" s="66"/>
      <c r="F516" s="66"/>
    </row>
    <row r="517" spans="3:6" ht="14.25" customHeight="1" x14ac:dyDescent="0.3">
      <c r="C517" s="66"/>
      <c r="D517" s="66"/>
      <c r="E517" s="66"/>
      <c r="F517" s="66"/>
    </row>
    <row r="518" spans="3:6" ht="14.25" customHeight="1" x14ac:dyDescent="0.3">
      <c r="C518" s="66"/>
      <c r="D518" s="66"/>
      <c r="E518" s="66"/>
      <c r="F518" s="66"/>
    </row>
    <row r="519" spans="3:6" ht="14.25" customHeight="1" x14ac:dyDescent="0.3">
      <c r="C519" s="66"/>
      <c r="D519" s="66"/>
      <c r="E519" s="66"/>
      <c r="F519" s="66"/>
    </row>
    <row r="520" spans="3:6" ht="14.25" customHeight="1" x14ac:dyDescent="0.3">
      <c r="C520" s="66"/>
      <c r="D520" s="66"/>
      <c r="E520" s="66"/>
      <c r="F520" s="66"/>
    </row>
    <row r="521" spans="3:6" ht="14.25" customHeight="1" x14ac:dyDescent="0.3">
      <c r="C521" s="66"/>
      <c r="D521" s="66"/>
      <c r="E521" s="66"/>
      <c r="F521" s="66"/>
    </row>
    <row r="522" spans="3:6" ht="14.25" customHeight="1" x14ac:dyDescent="0.3">
      <c r="C522" s="66"/>
      <c r="D522" s="66"/>
      <c r="E522" s="66"/>
      <c r="F522" s="66"/>
    </row>
    <row r="523" spans="3:6" ht="14.25" customHeight="1" x14ac:dyDescent="0.3">
      <c r="C523" s="66"/>
      <c r="D523" s="66"/>
      <c r="E523" s="66"/>
      <c r="F523" s="66"/>
    </row>
    <row r="524" spans="3:6" ht="14.25" customHeight="1" x14ac:dyDescent="0.3">
      <c r="C524" s="66"/>
      <c r="D524" s="66"/>
      <c r="E524" s="66"/>
      <c r="F524" s="66"/>
    </row>
    <row r="525" spans="3:6" ht="14.25" customHeight="1" x14ac:dyDescent="0.3">
      <c r="C525" s="66"/>
      <c r="D525" s="66"/>
      <c r="E525" s="66"/>
      <c r="F525" s="66"/>
    </row>
    <row r="526" spans="3:6" ht="14.25" customHeight="1" x14ac:dyDescent="0.3">
      <c r="C526" s="66"/>
      <c r="D526" s="66"/>
      <c r="E526" s="66"/>
      <c r="F526" s="66"/>
    </row>
    <row r="527" spans="3:6" ht="14.25" customHeight="1" x14ac:dyDescent="0.3">
      <c r="C527" s="66"/>
      <c r="D527" s="66"/>
      <c r="E527" s="66"/>
      <c r="F527" s="66"/>
    </row>
    <row r="528" spans="3:6" ht="14.25" customHeight="1" x14ac:dyDescent="0.3">
      <c r="C528" s="66"/>
      <c r="D528" s="66"/>
      <c r="E528" s="66"/>
      <c r="F528" s="66"/>
    </row>
    <row r="529" spans="3:6" ht="14.25" customHeight="1" x14ac:dyDescent="0.3">
      <c r="C529" s="66"/>
      <c r="D529" s="66"/>
      <c r="E529" s="66"/>
      <c r="F529" s="66"/>
    </row>
    <row r="530" spans="3:6" ht="14.25" customHeight="1" x14ac:dyDescent="0.3">
      <c r="C530" s="66"/>
      <c r="D530" s="66"/>
      <c r="E530" s="66"/>
      <c r="F530" s="66"/>
    </row>
    <row r="531" spans="3:6" ht="14.25" customHeight="1" x14ac:dyDescent="0.3">
      <c r="C531" s="66"/>
      <c r="D531" s="66"/>
      <c r="E531" s="66"/>
      <c r="F531" s="66"/>
    </row>
    <row r="532" spans="3:6" ht="14.25" customHeight="1" x14ac:dyDescent="0.3">
      <c r="C532" s="66"/>
      <c r="D532" s="66"/>
      <c r="E532" s="66"/>
      <c r="F532" s="66"/>
    </row>
    <row r="533" spans="3:6" ht="14.25" customHeight="1" x14ac:dyDescent="0.3">
      <c r="C533" s="66"/>
      <c r="D533" s="66"/>
      <c r="E533" s="66"/>
      <c r="F533" s="66"/>
    </row>
    <row r="534" spans="3:6" ht="14.25" customHeight="1" x14ac:dyDescent="0.3">
      <c r="C534" s="66"/>
      <c r="D534" s="66"/>
      <c r="E534" s="66"/>
      <c r="F534" s="66"/>
    </row>
    <row r="535" spans="3:6" ht="14.25" customHeight="1" x14ac:dyDescent="0.3">
      <c r="C535" s="66"/>
      <c r="D535" s="66"/>
      <c r="E535" s="66"/>
      <c r="F535" s="66"/>
    </row>
    <row r="536" spans="3:6" ht="14.25" customHeight="1" x14ac:dyDescent="0.3">
      <c r="C536" s="66"/>
      <c r="D536" s="66"/>
      <c r="E536" s="66"/>
      <c r="F536" s="66"/>
    </row>
    <row r="537" spans="3:6" ht="14.25" customHeight="1" x14ac:dyDescent="0.3">
      <c r="C537" s="66"/>
      <c r="D537" s="66"/>
      <c r="E537" s="66"/>
      <c r="F537" s="66"/>
    </row>
    <row r="538" spans="3:6" ht="14.25" customHeight="1" x14ac:dyDescent="0.3">
      <c r="C538" s="66"/>
      <c r="D538" s="66"/>
      <c r="E538" s="66"/>
      <c r="F538" s="66"/>
    </row>
    <row r="539" spans="3:6" ht="14.25" customHeight="1" x14ac:dyDescent="0.3">
      <c r="C539" s="66"/>
      <c r="D539" s="66"/>
      <c r="E539" s="66"/>
      <c r="F539" s="66"/>
    </row>
    <row r="540" spans="3:6" ht="14.25" customHeight="1" x14ac:dyDescent="0.3">
      <c r="C540" s="66"/>
      <c r="D540" s="66"/>
      <c r="E540" s="66"/>
      <c r="F540" s="66"/>
    </row>
    <row r="541" spans="3:6" ht="14.25" customHeight="1" x14ac:dyDescent="0.3">
      <c r="C541" s="66"/>
      <c r="D541" s="66"/>
      <c r="E541" s="66"/>
      <c r="F541" s="66"/>
    </row>
    <row r="542" spans="3:6" ht="14.25" customHeight="1" x14ac:dyDescent="0.3">
      <c r="C542" s="66"/>
      <c r="D542" s="66"/>
      <c r="E542" s="66"/>
      <c r="F542" s="66"/>
    </row>
    <row r="543" spans="3:6" ht="14.25" customHeight="1" x14ac:dyDescent="0.3">
      <c r="C543" s="66"/>
      <c r="D543" s="66"/>
      <c r="E543" s="66"/>
      <c r="F543" s="66"/>
    </row>
    <row r="544" spans="3:6" ht="14.25" customHeight="1" x14ac:dyDescent="0.3">
      <c r="C544" s="66"/>
      <c r="D544" s="66"/>
      <c r="E544" s="66"/>
      <c r="F544" s="66"/>
    </row>
    <row r="545" spans="3:6" ht="14.25" customHeight="1" x14ac:dyDescent="0.3">
      <c r="C545" s="66"/>
      <c r="D545" s="66"/>
      <c r="E545" s="66"/>
      <c r="F545" s="66"/>
    </row>
    <row r="546" spans="3:6" ht="14.25" customHeight="1" x14ac:dyDescent="0.3">
      <c r="C546" s="66"/>
      <c r="D546" s="66"/>
      <c r="E546" s="66"/>
      <c r="F546" s="66"/>
    </row>
    <row r="547" spans="3:6" ht="14.25" customHeight="1" x14ac:dyDescent="0.3">
      <c r="C547" s="66"/>
      <c r="D547" s="66"/>
      <c r="E547" s="66"/>
      <c r="F547" s="66"/>
    </row>
    <row r="548" spans="3:6" ht="14.25" customHeight="1" x14ac:dyDescent="0.3">
      <c r="C548" s="66"/>
      <c r="D548" s="66"/>
      <c r="E548" s="66"/>
      <c r="F548" s="66"/>
    </row>
    <row r="549" spans="3:6" ht="14.25" customHeight="1" x14ac:dyDescent="0.3">
      <c r="C549" s="66"/>
      <c r="D549" s="66"/>
      <c r="E549" s="66"/>
      <c r="F549" s="66"/>
    </row>
    <row r="550" spans="3:6" ht="14.25" customHeight="1" x14ac:dyDescent="0.3">
      <c r="C550" s="66"/>
      <c r="D550" s="66"/>
      <c r="E550" s="66"/>
      <c r="F550" s="66"/>
    </row>
    <row r="551" spans="3:6" ht="14.25" customHeight="1" x14ac:dyDescent="0.3">
      <c r="C551" s="66"/>
      <c r="D551" s="66"/>
      <c r="E551" s="66"/>
      <c r="F551" s="66"/>
    </row>
    <row r="552" spans="3:6" ht="14.25" customHeight="1" x14ac:dyDescent="0.3">
      <c r="C552" s="66"/>
      <c r="D552" s="66"/>
      <c r="E552" s="66"/>
      <c r="F552" s="66"/>
    </row>
    <row r="553" spans="3:6" ht="14.25" customHeight="1" x14ac:dyDescent="0.3">
      <c r="C553" s="66"/>
      <c r="D553" s="66"/>
      <c r="E553" s="66"/>
      <c r="F553" s="66"/>
    </row>
    <row r="554" spans="3:6" ht="14.25" customHeight="1" x14ac:dyDescent="0.3">
      <c r="C554" s="66"/>
      <c r="D554" s="66"/>
      <c r="E554" s="66"/>
      <c r="F554" s="66"/>
    </row>
    <row r="555" spans="3:6" ht="14.25" customHeight="1" x14ac:dyDescent="0.3">
      <c r="C555" s="66"/>
      <c r="D555" s="66"/>
      <c r="E555" s="66"/>
      <c r="F555" s="66"/>
    </row>
    <row r="556" spans="3:6" ht="14.25" customHeight="1" x14ac:dyDescent="0.3">
      <c r="C556" s="66"/>
      <c r="D556" s="66"/>
      <c r="E556" s="66"/>
      <c r="F556" s="66"/>
    </row>
    <row r="557" spans="3:6" ht="14.25" customHeight="1" x14ac:dyDescent="0.3">
      <c r="C557" s="66"/>
      <c r="D557" s="66"/>
      <c r="E557" s="66"/>
      <c r="F557" s="66"/>
    </row>
    <row r="558" spans="3:6" ht="14.25" customHeight="1" x14ac:dyDescent="0.3">
      <c r="C558" s="66"/>
      <c r="D558" s="66"/>
      <c r="E558" s="66"/>
      <c r="F558" s="66"/>
    </row>
    <row r="559" spans="3:6" ht="14.25" customHeight="1" x14ac:dyDescent="0.3">
      <c r="C559" s="66"/>
      <c r="D559" s="66"/>
      <c r="E559" s="66"/>
      <c r="F559" s="66"/>
    </row>
    <row r="560" spans="3:6" ht="14.25" customHeight="1" x14ac:dyDescent="0.3">
      <c r="C560" s="66"/>
      <c r="D560" s="66"/>
      <c r="E560" s="66"/>
      <c r="F560" s="66"/>
    </row>
    <row r="561" spans="3:6" ht="14.25" customHeight="1" x14ac:dyDescent="0.3">
      <c r="C561" s="66"/>
      <c r="D561" s="66"/>
      <c r="E561" s="66"/>
      <c r="F561" s="66"/>
    </row>
    <row r="562" spans="3:6" ht="14.25" customHeight="1" x14ac:dyDescent="0.3">
      <c r="C562" s="66"/>
      <c r="D562" s="66"/>
      <c r="E562" s="66"/>
      <c r="F562" s="66"/>
    </row>
    <row r="563" spans="3:6" ht="14.25" customHeight="1" x14ac:dyDescent="0.3">
      <c r="C563" s="66"/>
      <c r="D563" s="66"/>
      <c r="E563" s="66"/>
      <c r="F563" s="66"/>
    </row>
    <row r="564" spans="3:6" ht="14.25" customHeight="1" x14ac:dyDescent="0.3">
      <c r="C564" s="66"/>
      <c r="D564" s="66"/>
      <c r="E564" s="66"/>
      <c r="F564" s="66"/>
    </row>
    <row r="565" spans="3:6" ht="14.25" customHeight="1" x14ac:dyDescent="0.3">
      <c r="C565" s="66"/>
      <c r="D565" s="66"/>
      <c r="E565" s="66"/>
      <c r="F565" s="66"/>
    </row>
    <row r="566" spans="3:6" ht="14.25" customHeight="1" x14ac:dyDescent="0.3">
      <c r="C566" s="66"/>
      <c r="D566" s="66"/>
      <c r="E566" s="66"/>
      <c r="F566" s="66"/>
    </row>
    <row r="567" spans="3:6" ht="14.25" customHeight="1" x14ac:dyDescent="0.3">
      <c r="C567" s="66"/>
      <c r="D567" s="66"/>
      <c r="E567" s="66"/>
      <c r="F567" s="66"/>
    </row>
    <row r="568" spans="3:6" ht="14.25" customHeight="1" x14ac:dyDescent="0.3">
      <c r="C568" s="66"/>
      <c r="D568" s="66"/>
      <c r="E568" s="66"/>
      <c r="F568" s="66"/>
    </row>
    <row r="569" spans="3:6" ht="14.25" customHeight="1" x14ac:dyDescent="0.3">
      <c r="C569" s="66"/>
      <c r="D569" s="66"/>
      <c r="E569" s="66"/>
      <c r="F569" s="66"/>
    </row>
    <row r="570" spans="3:6" ht="14.25" customHeight="1" x14ac:dyDescent="0.3">
      <c r="C570" s="66"/>
      <c r="D570" s="66"/>
      <c r="E570" s="66"/>
      <c r="F570" s="66"/>
    </row>
    <row r="571" spans="3:6" ht="14.25" customHeight="1" x14ac:dyDescent="0.3">
      <c r="C571" s="66"/>
      <c r="D571" s="66"/>
      <c r="E571" s="66"/>
      <c r="F571" s="66"/>
    </row>
    <row r="572" spans="3:6" ht="14.25" customHeight="1" x14ac:dyDescent="0.3">
      <c r="C572" s="66"/>
      <c r="D572" s="66"/>
      <c r="E572" s="66"/>
      <c r="F572" s="66"/>
    </row>
    <row r="573" spans="3:6" ht="14.25" customHeight="1" x14ac:dyDescent="0.3">
      <c r="C573" s="66"/>
      <c r="D573" s="66"/>
      <c r="E573" s="66"/>
      <c r="F573" s="66"/>
    </row>
    <row r="574" spans="3:6" ht="14.25" customHeight="1" x14ac:dyDescent="0.3">
      <c r="C574" s="66"/>
      <c r="D574" s="66"/>
      <c r="E574" s="66"/>
      <c r="F574" s="66"/>
    </row>
    <row r="575" spans="3:6" ht="14.25" customHeight="1" x14ac:dyDescent="0.3">
      <c r="C575" s="66"/>
      <c r="D575" s="66"/>
      <c r="E575" s="66"/>
      <c r="F575" s="66"/>
    </row>
    <row r="576" spans="3:6" ht="14.25" customHeight="1" x14ac:dyDescent="0.3">
      <c r="C576" s="66"/>
      <c r="D576" s="66"/>
      <c r="E576" s="66"/>
      <c r="F576" s="66"/>
    </row>
    <row r="577" spans="3:6" ht="14.25" customHeight="1" x14ac:dyDescent="0.3">
      <c r="C577" s="66"/>
      <c r="D577" s="66"/>
      <c r="E577" s="66"/>
      <c r="F577" s="66"/>
    </row>
    <row r="578" spans="3:6" ht="14.25" customHeight="1" x14ac:dyDescent="0.3">
      <c r="C578" s="66"/>
      <c r="D578" s="66"/>
      <c r="E578" s="66"/>
      <c r="F578" s="66"/>
    </row>
    <row r="579" spans="3:6" ht="14.25" customHeight="1" x14ac:dyDescent="0.3">
      <c r="C579" s="66"/>
      <c r="D579" s="66"/>
      <c r="E579" s="66"/>
      <c r="F579" s="66"/>
    </row>
    <row r="580" spans="3:6" ht="14.25" customHeight="1" x14ac:dyDescent="0.3">
      <c r="C580" s="66"/>
      <c r="D580" s="66"/>
      <c r="E580" s="66"/>
      <c r="F580" s="66"/>
    </row>
    <row r="581" spans="3:6" ht="14.25" customHeight="1" x14ac:dyDescent="0.3">
      <c r="C581" s="66"/>
      <c r="D581" s="66"/>
      <c r="E581" s="66"/>
      <c r="F581" s="66"/>
    </row>
    <row r="582" spans="3:6" ht="14.25" customHeight="1" x14ac:dyDescent="0.3">
      <c r="C582" s="66"/>
      <c r="D582" s="66"/>
      <c r="E582" s="66"/>
      <c r="F582" s="66"/>
    </row>
    <row r="583" spans="3:6" ht="14.25" customHeight="1" x14ac:dyDescent="0.3">
      <c r="C583" s="66"/>
      <c r="D583" s="66"/>
      <c r="E583" s="66"/>
      <c r="F583" s="66"/>
    </row>
    <row r="584" spans="3:6" ht="14.25" customHeight="1" x14ac:dyDescent="0.3">
      <c r="C584" s="66"/>
      <c r="D584" s="66"/>
      <c r="E584" s="66"/>
      <c r="F584" s="66"/>
    </row>
    <row r="585" spans="3:6" ht="14.25" customHeight="1" x14ac:dyDescent="0.3">
      <c r="C585" s="66"/>
      <c r="D585" s="66"/>
      <c r="E585" s="66"/>
      <c r="F585" s="66"/>
    </row>
    <row r="586" spans="3:6" ht="14.25" customHeight="1" x14ac:dyDescent="0.3">
      <c r="C586" s="66"/>
      <c r="D586" s="66"/>
      <c r="E586" s="66"/>
      <c r="F586" s="66"/>
    </row>
    <row r="587" spans="3:6" ht="14.25" customHeight="1" x14ac:dyDescent="0.3">
      <c r="C587" s="66"/>
      <c r="D587" s="66"/>
      <c r="E587" s="66"/>
      <c r="F587" s="66"/>
    </row>
    <row r="588" spans="3:6" ht="14.25" customHeight="1" x14ac:dyDescent="0.3">
      <c r="C588" s="66"/>
      <c r="D588" s="66"/>
      <c r="E588" s="66"/>
      <c r="F588" s="66"/>
    </row>
    <row r="589" spans="3:6" ht="14.25" customHeight="1" x14ac:dyDescent="0.3">
      <c r="C589" s="66"/>
      <c r="D589" s="66"/>
      <c r="E589" s="66"/>
      <c r="F589" s="66"/>
    </row>
    <row r="590" spans="3:6" ht="14.25" customHeight="1" x14ac:dyDescent="0.3">
      <c r="C590" s="66"/>
      <c r="D590" s="66"/>
      <c r="E590" s="66"/>
      <c r="F590" s="66"/>
    </row>
    <row r="591" spans="3:6" ht="14.25" customHeight="1" x14ac:dyDescent="0.3">
      <c r="C591" s="66"/>
      <c r="D591" s="66"/>
      <c r="E591" s="66"/>
      <c r="F591" s="66"/>
    </row>
    <row r="592" spans="3:6" ht="14.25" customHeight="1" x14ac:dyDescent="0.3">
      <c r="C592" s="66"/>
      <c r="D592" s="66"/>
      <c r="E592" s="66"/>
      <c r="F592" s="66"/>
    </row>
    <row r="593" spans="3:6" ht="14.25" customHeight="1" x14ac:dyDescent="0.3">
      <c r="C593" s="66"/>
      <c r="D593" s="66"/>
      <c r="E593" s="66"/>
      <c r="F593" s="66"/>
    </row>
    <row r="594" spans="3:6" ht="14.25" customHeight="1" x14ac:dyDescent="0.3">
      <c r="C594" s="66"/>
      <c r="D594" s="66"/>
      <c r="E594" s="66"/>
      <c r="F594" s="66"/>
    </row>
    <row r="595" spans="3:6" ht="14.25" customHeight="1" x14ac:dyDescent="0.3">
      <c r="C595" s="66"/>
      <c r="D595" s="66"/>
      <c r="E595" s="66"/>
      <c r="F595" s="66"/>
    </row>
    <row r="596" spans="3:6" ht="14.25" customHeight="1" x14ac:dyDescent="0.3">
      <c r="C596" s="66"/>
      <c r="D596" s="66"/>
      <c r="E596" s="66"/>
      <c r="F596" s="66"/>
    </row>
    <row r="597" spans="3:6" ht="14.25" customHeight="1" x14ac:dyDescent="0.3">
      <c r="C597" s="66"/>
      <c r="D597" s="66"/>
      <c r="E597" s="66"/>
      <c r="F597" s="66"/>
    </row>
    <row r="598" spans="3:6" ht="14.25" customHeight="1" x14ac:dyDescent="0.3">
      <c r="C598" s="66"/>
      <c r="D598" s="66"/>
      <c r="E598" s="66"/>
      <c r="F598" s="66"/>
    </row>
    <row r="599" spans="3:6" ht="14.25" customHeight="1" x14ac:dyDescent="0.3">
      <c r="C599" s="66"/>
      <c r="D599" s="66"/>
      <c r="E599" s="66"/>
      <c r="F599" s="66"/>
    </row>
    <row r="600" spans="3:6" ht="14.25" customHeight="1" x14ac:dyDescent="0.3">
      <c r="C600" s="66"/>
      <c r="D600" s="66"/>
      <c r="E600" s="66"/>
      <c r="F600" s="66"/>
    </row>
    <row r="601" spans="3:6" ht="14.25" customHeight="1" x14ac:dyDescent="0.3">
      <c r="C601" s="66"/>
      <c r="D601" s="66"/>
      <c r="E601" s="66"/>
      <c r="F601" s="66"/>
    </row>
    <row r="602" spans="3:6" ht="14.25" customHeight="1" x14ac:dyDescent="0.3">
      <c r="C602" s="66"/>
      <c r="D602" s="66"/>
      <c r="E602" s="66"/>
      <c r="F602" s="66"/>
    </row>
    <row r="603" spans="3:6" ht="14.25" customHeight="1" x14ac:dyDescent="0.3">
      <c r="C603" s="66"/>
      <c r="D603" s="66"/>
      <c r="E603" s="66"/>
      <c r="F603" s="66"/>
    </row>
    <row r="604" spans="3:6" ht="14.25" customHeight="1" x14ac:dyDescent="0.3">
      <c r="C604" s="66"/>
      <c r="D604" s="66"/>
      <c r="E604" s="66"/>
      <c r="F604" s="66"/>
    </row>
    <row r="605" spans="3:6" ht="14.25" customHeight="1" x14ac:dyDescent="0.3">
      <c r="C605" s="66"/>
      <c r="D605" s="66"/>
      <c r="E605" s="66"/>
      <c r="F605" s="66"/>
    </row>
    <row r="606" spans="3:6" ht="14.25" customHeight="1" x14ac:dyDescent="0.3">
      <c r="C606" s="66"/>
      <c r="D606" s="66"/>
      <c r="E606" s="66"/>
      <c r="F606" s="66"/>
    </row>
    <row r="607" spans="3:6" ht="14.25" customHeight="1" x14ac:dyDescent="0.3">
      <c r="C607" s="66"/>
      <c r="D607" s="66"/>
      <c r="E607" s="66"/>
      <c r="F607" s="66"/>
    </row>
    <row r="608" spans="3:6" ht="14.25" customHeight="1" x14ac:dyDescent="0.3">
      <c r="C608" s="66"/>
      <c r="D608" s="66"/>
      <c r="E608" s="66"/>
      <c r="F608" s="66"/>
    </row>
    <row r="609" spans="3:6" ht="14.25" customHeight="1" x14ac:dyDescent="0.3">
      <c r="C609" s="66"/>
      <c r="D609" s="66"/>
      <c r="E609" s="66"/>
      <c r="F609" s="66"/>
    </row>
    <row r="610" spans="3:6" ht="14.25" customHeight="1" x14ac:dyDescent="0.3">
      <c r="C610" s="66"/>
      <c r="D610" s="66"/>
      <c r="E610" s="66"/>
      <c r="F610" s="66"/>
    </row>
    <row r="611" spans="3:6" ht="14.25" customHeight="1" x14ac:dyDescent="0.3">
      <c r="C611" s="66"/>
      <c r="D611" s="66"/>
      <c r="E611" s="66"/>
      <c r="F611" s="66"/>
    </row>
    <row r="612" spans="3:6" ht="14.25" customHeight="1" x14ac:dyDescent="0.3">
      <c r="C612" s="66"/>
      <c r="D612" s="66"/>
      <c r="E612" s="66"/>
      <c r="F612" s="66"/>
    </row>
    <row r="613" spans="3:6" ht="14.25" customHeight="1" x14ac:dyDescent="0.3">
      <c r="C613" s="66"/>
      <c r="D613" s="66"/>
      <c r="E613" s="66"/>
      <c r="F613" s="66"/>
    </row>
    <row r="614" spans="3:6" ht="14.25" customHeight="1" x14ac:dyDescent="0.3">
      <c r="C614" s="66"/>
      <c r="D614" s="66"/>
      <c r="E614" s="66"/>
      <c r="F614" s="66"/>
    </row>
    <row r="615" spans="3:6" ht="14.25" customHeight="1" x14ac:dyDescent="0.3">
      <c r="C615" s="66"/>
      <c r="D615" s="66"/>
      <c r="E615" s="66"/>
      <c r="F615" s="66"/>
    </row>
    <row r="616" spans="3:6" ht="14.25" customHeight="1" x14ac:dyDescent="0.3">
      <c r="C616" s="66"/>
      <c r="D616" s="66"/>
      <c r="E616" s="66"/>
      <c r="F616" s="66"/>
    </row>
    <row r="617" spans="3:6" ht="14.25" customHeight="1" x14ac:dyDescent="0.3">
      <c r="C617" s="66"/>
      <c r="D617" s="66"/>
      <c r="E617" s="66"/>
      <c r="F617" s="66"/>
    </row>
    <row r="618" spans="3:6" ht="14.25" customHeight="1" x14ac:dyDescent="0.3">
      <c r="C618" s="66"/>
      <c r="D618" s="66"/>
      <c r="E618" s="66"/>
      <c r="F618" s="66"/>
    </row>
    <row r="619" spans="3:6" ht="14.25" customHeight="1" x14ac:dyDescent="0.3">
      <c r="C619" s="66"/>
      <c r="D619" s="66"/>
      <c r="E619" s="66"/>
      <c r="F619" s="66"/>
    </row>
    <row r="620" spans="3:6" ht="14.25" customHeight="1" x14ac:dyDescent="0.3">
      <c r="C620" s="66"/>
      <c r="D620" s="66"/>
      <c r="E620" s="66"/>
      <c r="F620" s="66"/>
    </row>
    <row r="621" spans="3:6" ht="14.25" customHeight="1" x14ac:dyDescent="0.3">
      <c r="C621" s="66"/>
      <c r="D621" s="66"/>
      <c r="E621" s="66"/>
      <c r="F621" s="66"/>
    </row>
    <row r="622" spans="3:6" ht="14.25" customHeight="1" x14ac:dyDescent="0.3">
      <c r="C622" s="66"/>
      <c r="D622" s="66"/>
      <c r="E622" s="66"/>
      <c r="F622" s="66"/>
    </row>
    <row r="623" spans="3:6" ht="14.25" customHeight="1" x14ac:dyDescent="0.3">
      <c r="C623" s="66"/>
      <c r="D623" s="66"/>
      <c r="E623" s="66"/>
      <c r="F623" s="66"/>
    </row>
    <row r="624" spans="3:6" ht="14.25" customHeight="1" x14ac:dyDescent="0.3">
      <c r="C624" s="66"/>
      <c r="D624" s="66"/>
      <c r="E624" s="66"/>
      <c r="F624" s="66"/>
    </row>
    <row r="625" spans="3:6" ht="14.25" customHeight="1" x14ac:dyDescent="0.3">
      <c r="C625" s="66"/>
      <c r="D625" s="66"/>
      <c r="E625" s="66"/>
      <c r="F625" s="66"/>
    </row>
    <row r="626" spans="3:6" ht="14.25" customHeight="1" x14ac:dyDescent="0.3">
      <c r="C626" s="66"/>
      <c r="D626" s="66"/>
      <c r="E626" s="66"/>
      <c r="F626" s="66"/>
    </row>
    <row r="627" spans="3:6" ht="14.25" customHeight="1" x14ac:dyDescent="0.3">
      <c r="C627" s="66"/>
      <c r="D627" s="66"/>
      <c r="E627" s="66"/>
      <c r="F627" s="66"/>
    </row>
    <row r="628" spans="3:6" ht="14.25" customHeight="1" x14ac:dyDescent="0.3">
      <c r="C628" s="66"/>
      <c r="D628" s="66"/>
      <c r="E628" s="66"/>
      <c r="F628" s="66"/>
    </row>
    <row r="629" spans="3:6" ht="14.25" customHeight="1" x14ac:dyDescent="0.3">
      <c r="C629" s="66"/>
      <c r="D629" s="66"/>
      <c r="E629" s="66"/>
      <c r="F629" s="66"/>
    </row>
    <row r="630" spans="3:6" ht="14.25" customHeight="1" x14ac:dyDescent="0.3">
      <c r="C630" s="66"/>
      <c r="D630" s="66"/>
      <c r="E630" s="66"/>
      <c r="F630" s="66"/>
    </row>
    <row r="631" spans="3:6" ht="14.25" customHeight="1" x14ac:dyDescent="0.3">
      <c r="C631" s="66"/>
      <c r="D631" s="66"/>
      <c r="E631" s="66"/>
      <c r="F631" s="66"/>
    </row>
    <row r="632" spans="3:6" ht="14.25" customHeight="1" x14ac:dyDescent="0.3">
      <c r="C632" s="66"/>
      <c r="D632" s="66"/>
      <c r="E632" s="66"/>
      <c r="F632" s="66"/>
    </row>
    <row r="633" spans="3:6" ht="14.25" customHeight="1" x14ac:dyDescent="0.3">
      <c r="C633" s="66"/>
      <c r="D633" s="66"/>
      <c r="E633" s="66"/>
      <c r="F633" s="66"/>
    </row>
    <row r="634" spans="3:6" ht="14.25" customHeight="1" x14ac:dyDescent="0.3">
      <c r="C634" s="66"/>
      <c r="D634" s="66"/>
      <c r="E634" s="66"/>
      <c r="F634" s="66"/>
    </row>
    <row r="635" spans="3:6" ht="14.25" customHeight="1" x14ac:dyDescent="0.3">
      <c r="C635" s="66"/>
      <c r="D635" s="66"/>
      <c r="E635" s="66"/>
      <c r="F635" s="66"/>
    </row>
    <row r="636" spans="3:6" ht="14.25" customHeight="1" x14ac:dyDescent="0.3">
      <c r="C636" s="66"/>
      <c r="D636" s="66"/>
      <c r="E636" s="66"/>
      <c r="F636" s="66"/>
    </row>
    <row r="637" spans="3:6" ht="14.25" customHeight="1" x14ac:dyDescent="0.3">
      <c r="C637" s="66"/>
      <c r="D637" s="66"/>
      <c r="E637" s="66"/>
      <c r="F637" s="66"/>
    </row>
    <row r="638" spans="3:6" ht="14.25" customHeight="1" x14ac:dyDescent="0.3">
      <c r="C638" s="66"/>
      <c r="D638" s="66"/>
      <c r="E638" s="66"/>
      <c r="F638" s="66"/>
    </row>
    <row r="639" spans="3:6" ht="14.25" customHeight="1" x14ac:dyDescent="0.3">
      <c r="C639" s="66"/>
      <c r="D639" s="66"/>
      <c r="E639" s="66"/>
      <c r="F639" s="66"/>
    </row>
    <row r="640" spans="3:6" ht="14.25" customHeight="1" x14ac:dyDescent="0.3">
      <c r="C640" s="66"/>
      <c r="D640" s="66"/>
      <c r="E640" s="66"/>
      <c r="F640" s="66"/>
    </row>
    <row r="641" spans="3:6" ht="14.25" customHeight="1" x14ac:dyDescent="0.3">
      <c r="C641" s="66"/>
      <c r="D641" s="66"/>
      <c r="E641" s="66"/>
      <c r="F641" s="66"/>
    </row>
    <row r="642" spans="3:6" ht="14.25" customHeight="1" x14ac:dyDescent="0.3">
      <c r="C642" s="66"/>
      <c r="D642" s="66"/>
      <c r="E642" s="66"/>
      <c r="F642" s="66"/>
    </row>
    <row r="643" spans="3:6" ht="14.25" customHeight="1" x14ac:dyDescent="0.3">
      <c r="C643" s="66"/>
      <c r="D643" s="66"/>
      <c r="E643" s="66"/>
      <c r="F643" s="66"/>
    </row>
    <row r="644" spans="3:6" ht="14.25" customHeight="1" x14ac:dyDescent="0.3">
      <c r="C644" s="66"/>
      <c r="D644" s="66"/>
      <c r="E644" s="66"/>
      <c r="F644" s="66"/>
    </row>
    <row r="645" spans="3:6" ht="14.25" customHeight="1" x14ac:dyDescent="0.3">
      <c r="C645" s="66"/>
      <c r="D645" s="66"/>
      <c r="E645" s="66"/>
      <c r="F645" s="66"/>
    </row>
    <row r="646" spans="3:6" ht="14.25" customHeight="1" x14ac:dyDescent="0.3">
      <c r="C646" s="66"/>
      <c r="D646" s="66"/>
      <c r="E646" s="66"/>
      <c r="F646" s="66"/>
    </row>
    <row r="647" spans="3:6" ht="14.25" customHeight="1" x14ac:dyDescent="0.3">
      <c r="C647" s="66"/>
      <c r="D647" s="66"/>
      <c r="E647" s="66"/>
      <c r="F647" s="66"/>
    </row>
    <row r="648" spans="3:6" ht="14.25" customHeight="1" x14ac:dyDescent="0.3">
      <c r="C648" s="66"/>
      <c r="D648" s="66"/>
      <c r="E648" s="66"/>
      <c r="F648" s="66"/>
    </row>
    <row r="649" spans="3:6" ht="14.25" customHeight="1" x14ac:dyDescent="0.3">
      <c r="C649" s="66"/>
      <c r="D649" s="66"/>
      <c r="E649" s="66"/>
      <c r="F649" s="66"/>
    </row>
    <row r="650" spans="3:6" ht="14.25" customHeight="1" x14ac:dyDescent="0.3">
      <c r="C650" s="66"/>
      <c r="D650" s="66"/>
      <c r="E650" s="66"/>
      <c r="F650" s="66"/>
    </row>
    <row r="651" spans="3:6" ht="14.25" customHeight="1" x14ac:dyDescent="0.3">
      <c r="C651" s="66"/>
      <c r="D651" s="66"/>
      <c r="E651" s="66"/>
      <c r="F651" s="66"/>
    </row>
    <row r="652" spans="3:6" ht="14.25" customHeight="1" x14ac:dyDescent="0.3">
      <c r="C652" s="66"/>
      <c r="D652" s="66"/>
      <c r="E652" s="66"/>
      <c r="F652" s="66"/>
    </row>
    <row r="653" spans="3:6" ht="14.25" customHeight="1" x14ac:dyDescent="0.3">
      <c r="C653" s="66"/>
      <c r="D653" s="66"/>
      <c r="E653" s="66"/>
      <c r="F653" s="66"/>
    </row>
    <row r="654" spans="3:6" ht="14.25" customHeight="1" x14ac:dyDescent="0.3">
      <c r="C654" s="66"/>
      <c r="D654" s="66"/>
      <c r="E654" s="66"/>
      <c r="F654" s="66"/>
    </row>
    <row r="655" spans="3:6" ht="14.25" customHeight="1" x14ac:dyDescent="0.3">
      <c r="C655" s="66"/>
      <c r="D655" s="66"/>
      <c r="E655" s="66"/>
      <c r="F655" s="66"/>
    </row>
    <row r="656" spans="3:6" ht="14.25" customHeight="1" x14ac:dyDescent="0.3">
      <c r="C656" s="66"/>
      <c r="D656" s="66"/>
      <c r="E656" s="66"/>
      <c r="F656" s="66"/>
    </row>
    <row r="657" spans="3:6" ht="14.25" customHeight="1" x14ac:dyDescent="0.3">
      <c r="C657" s="66"/>
      <c r="D657" s="66"/>
      <c r="E657" s="66"/>
      <c r="F657" s="66"/>
    </row>
    <row r="658" spans="3:6" ht="14.25" customHeight="1" x14ac:dyDescent="0.3">
      <c r="C658" s="66"/>
      <c r="D658" s="66"/>
      <c r="E658" s="66"/>
      <c r="F658" s="66"/>
    </row>
    <row r="659" spans="3:6" ht="14.25" customHeight="1" x14ac:dyDescent="0.3">
      <c r="C659" s="66"/>
      <c r="D659" s="66"/>
      <c r="E659" s="66"/>
      <c r="F659" s="66"/>
    </row>
    <row r="660" spans="3:6" ht="14.25" customHeight="1" x14ac:dyDescent="0.3">
      <c r="C660" s="66"/>
      <c r="D660" s="66"/>
      <c r="E660" s="66"/>
      <c r="F660" s="66"/>
    </row>
    <row r="661" spans="3:6" ht="14.25" customHeight="1" x14ac:dyDescent="0.3">
      <c r="C661" s="66"/>
      <c r="D661" s="66"/>
      <c r="E661" s="66"/>
      <c r="F661" s="66"/>
    </row>
    <row r="662" spans="3:6" ht="14.25" customHeight="1" x14ac:dyDescent="0.3">
      <c r="C662" s="66"/>
      <c r="D662" s="66"/>
      <c r="E662" s="66"/>
      <c r="F662" s="66"/>
    </row>
    <row r="663" spans="3:6" ht="14.25" customHeight="1" x14ac:dyDescent="0.3">
      <c r="C663" s="66"/>
      <c r="D663" s="66"/>
      <c r="E663" s="66"/>
      <c r="F663" s="66"/>
    </row>
    <row r="664" spans="3:6" ht="14.25" customHeight="1" x14ac:dyDescent="0.3">
      <c r="C664" s="66"/>
      <c r="D664" s="66"/>
      <c r="E664" s="66"/>
      <c r="F664" s="66"/>
    </row>
    <row r="665" spans="3:6" ht="14.25" customHeight="1" x14ac:dyDescent="0.3">
      <c r="C665" s="66"/>
      <c r="D665" s="66"/>
      <c r="E665" s="66"/>
      <c r="F665" s="66"/>
    </row>
    <row r="666" spans="3:6" ht="14.25" customHeight="1" x14ac:dyDescent="0.3">
      <c r="C666" s="66"/>
      <c r="D666" s="66"/>
      <c r="E666" s="66"/>
      <c r="F666" s="66"/>
    </row>
    <row r="667" spans="3:6" ht="14.25" customHeight="1" x14ac:dyDescent="0.3">
      <c r="C667" s="66"/>
      <c r="D667" s="66"/>
      <c r="E667" s="66"/>
      <c r="F667" s="66"/>
    </row>
    <row r="668" spans="3:6" ht="14.25" customHeight="1" x14ac:dyDescent="0.3">
      <c r="C668" s="66"/>
      <c r="D668" s="66"/>
      <c r="E668" s="66"/>
      <c r="F668" s="66"/>
    </row>
    <row r="669" spans="3:6" ht="14.25" customHeight="1" x14ac:dyDescent="0.3">
      <c r="C669" s="66"/>
      <c r="D669" s="66"/>
      <c r="E669" s="66"/>
      <c r="F669" s="66"/>
    </row>
    <row r="670" spans="3:6" ht="14.25" customHeight="1" x14ac:dyDescent="0.3">
      <c r="C670" s="66"/>
      <c r="D670" s="66"/>
      <c r="E670" s="66"/>
      <c r="F670" s="66"/>
    </row>
    <row r="671" spans="3:6" ht="14.25" customHeight="1" x14ac:dyDescent="0.3">
      <c r="C671" s="66"/>
      <c r="D671" s="66"/>
      <c r="E671" s="66"/>
      <c r="F671" s="66"/>
    </row>
    <row r="672" spans="3:6" ht="14.25" customHeight="1" x14ac:dyDescent="0.3">
      <c r="C672" s="66"/>
      <c r="D672" s="66"/>
      <c r="E672" s="66"/>
      <c r="F672" s="66"/>
    </row>
    <row r="673" spans="3:6" ht="14.25" customHeight="1" x14ac:dyDescent="0.3">
      <c r="C673" s="66"/>
      <c r="D673" s="66"/>
      <c r="E673" s="66"/>
      <c r="F673" s="66"/>
    </row>
    <row r="674" spans="3:6" ht="14.25" customHeight="1" x14ac:dyDescent="0.3">
      <c r="C674" s="66"/>
      <c r="D674" s="66"/>
      <c r="E674" s="66"/>
      <c r="F674" s="66"/>
    </row>
    <row r="675" spans="3:6" ht="14.25" customHeight="1" x14ac:dyDescent="0.3">
      <c r="C675" s="66"/>
      <c r="D675" s="66"/>
      <c r="E675" s="66"/>
      <c r="F675" s="66"/>
    </row>
    <row r="676" spans="3:6" ht="14.25" customHeight="1" x14ac:dyDescent="0.3">
      <c r="C676" s="66"/>
      <c r="D676" s="66"/>
      <c r="E676" s="66"/>
      <c r="F676" s="66"/>
    </row>
    <row r="677" spans="3:6" ht="14.25" customHeight="1" x14ac:dyDescent="0.3">
      <c r="C677" s="66"/>
      <c r="D677" s="66"/>
      <c r="E677" s="66"/>
      <c r="F677" s="66"/>
    </row>
    <row r="678" spans="3:6" ht="14.25" customHeight="1" x14ac:dyDescent="0.3">
      <c r="C678" s="66"/>
      <c r="D678" s="66"/>
      <c r="E678" s="66"/>
      <c r="F678" s="66"/>
    </row>
    <row r="679" spans="3:6" ht="14.25" customHeight="1" x14ac:dyDescent="0.3">
      <c r="C679" s="66"/>
      <c r="D679" s="66"/>
      <c r="E679" s="66"/>
      <c r="F679" s="66"/>
    </row>
    <row r="680" spans="3:6" ht="14.25" customHeight="1" x14ac:dyDescent="0.3">
      <c r="C680" s="66"/>
      <c r="D680" s="66"/>
      <c r="E680" s="66"/>
      <c r="F680" s="66"/>
    </row>
    <row r="681" spans="3:6" ht="14.25" customHeight="1" x14ac:dyDescent="0.3">
      <c r="C681" s="66"/>
      <c r="D681" s="66"/>
      <c r="E681" s="66"/>
      <c r="F681" s="66"/>
    </row>
    <row r="682" spans="3:6" ht="14.25" customHeight="1" x14ac:dyDescent="0.3">
      <c r="C682" s="66"/>
      <c r="D682" s="66"/>
      <c r="E682" s="66"/>
      <c r="F682" s="66"/>
    </row>
    <row r="683" spans="3:6" ht="14.25" customHeight="1" x14ac:dyDescent="0.3">
      <c r="C683" s="66"/>
      <c r="D683" s="66"/>
      <c r="E683" s="66"/>
      <c r="F683" s="66"/>
    </row>
    <row r="684" spans="3:6" ht="14.25" customHeight="1" x14ac:dyDescent="0.3">
      <c r="C684" s="66"/>
      <c r="D684" s="66"/>
      <c r="E684" s="66"/>
      <c r="F684" s="66"/>
    </row>
    <row r="685" spans="3:6" ht="14.25" customHeight="1" x14ac:dyDescent="0.3">
      <c r="C685" s="66"/>
      <c r="D685" s="66"/>
      <c r="E685" s="66"/>
      <c r="F685" s="66"/>
    </row>
    <row r="686" spans="3:6" ht="14.25" customHeight="1" x14ac:dyDescent="0.3">
      <c r="C686" s="66"/>
      <c r="D686" s="66"/>
      <c r="E686" s="66"/>
      <c r="F686" s="66"/>
    </row>
    <row r="687" spans="3:6" ht="14.25" customHeight="1" x14ac:dyDescent="0.3">
      <c r="C687" s="66"/>
      <c r="D687" s="66"/>
      <c r="E687" s="66"/>
      <c r="F687" s="66"/>
    </row>
    <row r="688" spans="3:6" ht="14.25" customHeight="1" x14ac:dyDescent="0.3">
      <c r="C688" s="66"/>
      <c r="D688" s="66"/>
      <c r="E688" s="66"/>
      <c r="F688" s="66"/>
    </row>
    <row r="689" spans="3:6" ht="14.25" customHeight="1" x14ac:dyDescent="0.3">
      <c r="C689" s="66"/>
      <c r="D689" s="66"/>
      <c r="E689" s="66"/>
      <c r="F689" s="66"/>
    </row>
    <row r="690" spans="3:6" ht="14.25" customHeight="1" x14ac:dyDescent="0.3">
      <c r="C690" s="66"/>
      <c r="D690" s="66"/>
      <c r="E690" s="66"/>
      <c r="F690" s="66"/>
    </row>
    <row r="691" spans="3:6" ht="14.25" customHeight="1" x14ac:dyDescent="0.3">
      <c r="C691" s="66"/>
      <c r="D691" s="66"/>
      <c r="E691" s="66"/>
      <c r="F691" s="66"/>
    </row>
    <row r="692" spans="3:6" ht="14.25" customHeight="1" x14ac:dyDescent="0.3">
      <c r="C692" s="66"/>
      <c r="D692" s="66"/>
      <c r="E692" s="66"/>
      <c r="F692" s="66"/>
    </row>
    <row r="693" spans="3:6" ht="14.25" customHeight="1" x14ac:dyDescent="0.3">
      <c r="C693" s="66"/>
      <c r="D693" s="66"/>
      <c r="E693" s="66"/>
      <c r="F693" s="66"/>
    </row>
    <row r="694" spans="3:6" ht="14.25" customHeight="1" x14ac:dyDescent="0.3">
      <c r="C694" s="66"/>
      <c r="D694" s="66"/>
      <c r="E694" s="66"/>
      <c r="F694" s="66"/>
    </row>
    <row r="695" spans="3:6" ht="14.25" customHeight="1" x14ac:dyDescent="0.3">
      <c r="C695" s="66"/>
      <c r="D695" s="66"/>
      <c r="E695" s="66"/>
      <c r="F695" s="66"/>
    </row>
    <row r="696" spans="3:6" ht="14.25" customHeight="1" x14ac:dyDescent="0.3">
      <c r="C696" s="66"/>
      <c r="D696" s="66"/>
      <c r="E696" s="66"/>
      <c r="F696" s="66"/>
    </row>
    <row r="697" spans="3:6" ht="14.25" customHeight="1" x14ac:dyDescent="0.3">
      <c r="C697" s="66"/>
      <c r="D697" s="66"/>
      <c r="E697" s="66"/>
      <c r="F697" s="66"/>
    </row>
    <row r="698" spans="3:6" ht="14.25" customHeight="1" x14ac:dyDescent="0.3">
      <c r="C698" s="66"/>
      <c r="D698" s="66"/>
      <c r="E698" s="66"/>
      <c r="F698" s="66"/>
    </row>
    <row r="699" spans="3:6" ht="14.25" customHeight="1" x14ac:dyDescent="0.3">
      <c r="C699" s="66"/>
      <c r="D699" s="66"/>
      <c r="E699" s="66"/>
      <c r="F699" s="66"/>
    </row>
    <row r="700" spans="3:6" ht="14.25" customHeight="1" x14ac:dyDescent="0.3">
      <c r="C700" s="66"/>
      <c r="D700" s="66"/>
      <c r="E700" s="66"/>
      <c r="F700" s="66"/>
    </row>
    <row r="701" spans="3:6" ht="14.25" customHeight="1" x14ac:dyDescent="0.3">
      <c r="C701" s="66"/>
      <c r="D701" s="66"/>
      <c r="E701" s="66"/>
      <c r="F701" s="66"/>
    </row>
    <row r="702" spans="3:6" ht="14.25" customHeight="1" x14ac:dyDescent="0.3">
      <c r="C702" s="66"/>
      <c r="D702" s="66"/>
      <c r="E702" s="66"/>
      <c r="F702" s="66"/>
    </row>
    <row r="703" spans="3:6" ht="14.25" customHeight="1" x14ac:dyDescent="0.3">
      <c r="C703" s="66"/>
      <c r="D703" s="66"/>
      <c r="E703" s="66"/>
      <c r="F703" s="66"/>
    </row>
    <row r="704" spans="3:6" ht="14.25" customHeight="1" x14ac:dyDescent="0.3">
      <c r="C704" s="66"/>
      <c r="D704" s="66"/>
      <c r="E704" s="66"/>
      <c r="F704" s="66"/>
    </row>
    <row r="705" spans="3:6" ht="14.25" customHeight="1" x14ac:dyDescent="0.3">
      <c r="C705" s="66"/>
      <c r="D705" s="66"/>
      <c r="E705" s="66"/>
      <c r="F705" s="66"/>
    </row>
    <row r="706" spans="3:6" ht="14.25" customHeight="1" x14ac:dyDescent="0.3">
      <c r="C706" s="66"/>
      <c r="D706" s="66"/>
      <c r="E706" s="66"/>
      <c r="F706" s="66"/>
    </row>
    <row r="707" spans="3:6" ht="14.25" customHeight="1" x14ac:dyDescent="0.3">
      <c r="C707" s="66"/>
      <c r="D707" s="66"/>
      <c r="E707" s="66"/>
      <c r="F707" s="66"/>
    </row>
    <row r="708" spans="3:6" ht="14.25" customHeight="1" x14ac:dyDescent="0.3">
      <c r="C708" s="66"/>
      <c r="D708" s="66"/>
      <c r="E708" s="66"/>
      <c r="F708" s="66"/>
    </row>
    <row r="709" spans="3:6" ht="14.25" customHeight="1" x14ac:dyDescent="0.3">
      <c r="C709" s="66"/>
      <c r="D709" s="66"/>
      <c r="E709" s="66"/>
      <c r="F709" s="66"/>
    </row>
    <row r="710" spans="3:6" ht="14.25" customHeight="1" x14ac:dyDescent="0.3">
      <c r="C710" s="66"/>
      <c r="D710" s="66"/>
      <c r="E710" s="66"/>
      <c r="F710" s="66"/>
    </row>
    <row r="711" spans="3:6" ht="14.25" customHeight="1" x14ac:dyDescent="0.3">
      <c r="C711" s="66"/>
      <c r="D711" s="66"/>
      <c r="E711" s="66"/>
      <c r="F711" s="66"/>
    </row>
    <row r="712" spans="3:6" ht="14.25" customHeight="1" x14ac:dyDescent="0.3">
      <c r="C712" s="66"/>
      <c r="D712" s="66"/>
      <c r="E712" s="66"/>
      <c r="F712" s="66"/>
    </row>
    <row r="713" spans="3:6" ht="14.25" customHeight="1" x14ac:dyDescent="0.3">
      <c r="C713" s="66"/>
      <c r="D713" s="66"/>
      <c r="E713" s="66"/>
      <c r="F713" s="66"/>
    </row>
    <row r="714" spans="3:6" ht="14.25" customHeight="1" x14ac:dyDescent="0.3">
      <c r="C714" s="66"/>
      <c r="D714" s="66"/>
      <c r="E714" s="66"/>
      <c r="F714" s="66"/>
    </row>
    <row r="715" spans="3:6" ht="14.25" customHeight="1" x14ac:dyDescent="0.3">
      <c r="C715" s="66"/>
      <c r="D715" s="66"/>
      <c r="E715" s="66"/>
      <c r="F715" s="66"/>
    </row>
    <row r="716" spans="3:6" ht="14.25" customHeight="1" x14ac:dyDescent="0.3">
      <c r="C716" s="66"/>
      <c r="D716" s="66"/>
      <c r="E716" s="66"/>
      <c r="F716" s="66"/>
    </row>
    <row r="717" spans="3:6" ht="14.25" customHeight="1" x14ac:dyDescent="0.3">
      <c r="C717" s="66"/>
      <c r="D717" s="66"/>
      <c r="E717" s="66"/>
      <c r="F717" s="66"/>
    </row>
    <row r="718" spans="3:6" ht="14.25" customHeight="1" x14ac:dyDescent="0.3">
      <c r="C718" s="66"/>
      <c r="D718" s="66"/>
      <c r="E718" s="66"/>
      <c r="F718" s="66"/>
    </row>
    <row r="719" spans="3:6" ht="14.25" customHeight="1" x14ac:dyDescent="0.3">
      <c r="C719" s="66"/>
      <c r="D719" s="66"/>
      <c r="E719" s="66"/>
      <c r="F719" s="66"/>
    </row>
    <row r="720" spans="3:6" ht="14.25" customHeight="1" x14ac:dyDescent="0.3">
      <c r="C720" s="66"/>
      <c r="D720" s="66"/>
      <c r="E720" s="66"/>
      <c r="F720" s="66"/>
    </row>
    <row r="721" spans="3:6" ht="14.25" customHeight="1" x14ac:dyDescent="0.3">
      <c r="C721" s="66"/>
      <c r="D721" s="66"/>
      <c r="E721" s="66"/>
      <c r="F721" s="66"/>
    </row>
    <row r="722" spans="3:6" ht="14.25" customHeight="1" x14ac:dyDescent="0.3">
      <c r="C722" s="66"/>
      <c r="D722" s="66"/>
      <c r="E722" s="66"/>
      <c r="F722" s="66"/>
    </row>
    <row r="723" spans="3:6" ht="14.25" customHeight="1" x14ac:dyDescent="0.3">
      <c r="C723" s="66"/>
      <c r="D723" s="66"/>
      <c r="E723" s="66"/>
      <c r="F723" s="66"/>
    </row>
    <row r="724" spans="3:6" ht="14.25" customHeight="1" x14ac:dyDescent="0.3">
      <c r="C724" s="66"/>
      <c r="D724" s="66"/>
      <c r="E724" s="66"/>
      <c r="F724" s="66"/>
    </row>
    <row r="725" spans="3:6" ht="14.25" customHeight="1" x14ac:dyDescent="0.3">
      <c r="C725" s="66"/>
      <c r="D725" s="66"/>
      <c r="E725" s="66"/>
      <c r="F725" s="66"/>
    </row>
    <row r="726" spans="3:6" ht="14.25" customHeight="1" x14ac:dyDescent="0.3">
      <c r="C726" s="66"/>
      <c r="D726" s="66"/>
      <c r="E726" s="66"/>
      <c r="F726" s="66"/>
    </row>
    <row r="727" spans="3:6" ht="14.25" customHeight="1" x14ac:dyDescent="0.3">
      <c r="C727" s="66"/>
      <c r="D727" s="66"/>
      <c r="E727" s="66"/>
      <c r="F727" s="66"/>
    </row>
    <row r="728" spans="3:6" ht="14.25" customHeight="1" x14ac:dyDescent="0.3">
      <c r="C728" s="66"/>
      <c r="D728" s="66"/>
      <c r="E728" s="66"/>
      <c r="F728" s="66"/>
    </row>
    <row r="729" spans="3:6" ht="14.25" customHeight="1" x14ac:dyDescent="0.3">
      <c r="C729" s="66"/>
      <c r="D729" s="66"/>
      <c r="E729" s="66"/>
      <c r="F729" s="66"/>
    </row>
    <row r="730" spans="3:6" ht="14.25" customHeight="1" x14ac:dyDescent="0.3">
      <c r="C730" s="66"/>
      <c r="D730" s="66"/>
      <c r="E730" s="66"/>
      <c r="F730" s="66"/>
    </row>
    <row r="731" spans="3:6" ht="14.25" customHeight="1" x14ac:dyDescent="0.3">
      <c r="C731" s="66"/>
      <c r="D731" s="66"/>
      <c r="E731" s="66"/>
      <c r="F731" s="66"/>
    </row>
    <row r="732" spans="3:6" ht="14.25" customHeight="1" x14ac:dyDescent="0.3">
      <c r="C732" s="66"/>
      <c r="D732" s="66"/>
      <c r="E732" s="66"/>
      <c r="F732" s="66"/>
    </row>
    <row r="733" spans="3:6" ht="14.25" customHeight="1" x14ac:dyDescent="0.3">
      <c r="C733" s="66"/>
      <c r="D733" s="66"/>
      <c r="E733" s="66"/>
      <c r="F733" s="66"/>
    </row>
    <row r="734" spans="3:6" ht="14.25" customHeight="1" x14ac:dyDescent="0.3">
      <c r="C734" s="66"/>
      <c r="D734" s="66"/>
      <c r="E734" s="66"/>
      <c r="F734" s="66"/>
    </row>
    <row r="735" spans="3:6" ht="14.25" customHeight="1" x14ac:dyDescent="0.3">
      <c r="C735" s="66"/>
      <c r="D735" s="66"/>
      <c r="E735" s="66"/>
      <c r="F735" s="66"/>
    </row>
    <row r="736" spans="3:6" ht="14.25" customHeight="1" x14ac:dyDescent="0.3">
      <c r="C736" s="66"/>
      <c r="D736" s="66"/>
      <c r="E736" s="66"/>
      <c r="F736" s="66"/>
    </row>
    <row r="737" spans="3:6" ht="14.25" customHeight="1" x14ac:dyDescent="0.3">
      <c r="C737" s="66"/>
      <c r="D737" s="66"/>
      <c r="E737" s="66"/>
      <c r="F737" s="66"/>
    </row>
    <row r="738" spans="3:6" ht="14.25" customHeight="1" x14ac:dyDescent="0.3">
      <c r="C738" s="66"/>
      <c r="D738" s="66"/>
      <c r="E738" s="66"/>
      <c r="F738" s="66"/>
    </row>
    <row r="739" spans="3:6" ht="14.25" customHeight="1" x14ac:dyDescent="0.3">
      <c r="C739" s="66"/>
      <c r="D739" s="66"/>
      <c r="E739" s="66"/>
      <c r="F739" s="66"/>
    </row>
    <row r="740" spans="3:6" ht="14.25" customHeight="1" x14ac:dyDescent="0.3">
      <c r="C740" s="66"/>
      <c r="D740" s="66"/>
      <c r="E740" s="66"/>
      <c r="F740" s="66"/>
    </row>
    <row r="741" spans="3:6" ht="14.25" customHeight="1" x14ac:dyDescent="0.3">
      <c r="C741" s="66"/>
      <c r="D741" s="66"/>
      <c r="E741" s="66"/>
      <c r="F741" s="66"/>
    </row>
    <row r="742" spans="3:6" ht="14.25" customHeight="1" x14ac:dyDescent="0.3">
      <c r="C742" s="66"/>
      <c r="D742" s="66"/>
      <c r="E742" s="66"/>
      <c r="F742" s="66"/>
    </row>
    <row r="743" spans="3:6" ht="14.25" customHeight="1" x14ac:dyDescent="0.3">
      <c r="C743" s="66"/>
      <c r="D743" s="66"/>
      <c r="E743" s="66"/>
      <c r="F743" s="66"/>
    </row>
    <row r="744" spans="3:6" ht="14.25" customHeight="1" x14ac:dyDescent="0.3">
      <c r="C744" s="66"/>
      <c r="D744" s="66"/>
      <c r="E744" s="66"/>
      <c r="F744" s="66"/>
    </row>
    <row r="745" spans="3:6" ht="14.25" customHeight="1" x14ac:dyDescent="0.3">
      <c r="C745" s="66"/>
      <c r="D745" s="66"/>
      <c r="E745" s="66"/>
      <c r="F745" s="66"/>
    </row>
    <row r="746" spans="3:6" ht="14.25" customHeight="1" x14ac:dyDescent="0.3">
      <c r="C746" s="66"/>
      <c r="D746" s="66"/>
      <c r="E746" s="66"/>
      <c r="F746" s="66"/>
    </row>
    <row r="747" spans="3:6" ht="14.25" customHeight="1" x14ac:dyDescent="0.3">
      <c r="C747" s="66"/>
      <c r="D747" s="66"/>
      <c r="E747" s="66"/>
      <c r="F747" s="66"/>
    </row>
    <row r="748" spans="3:6" ht="14.25" customHeight="1" x14ac:dyDescent="0.3">
      <c r="C748" s="66"/>
      <c r="D748" s="66"/>
      <c r="E748" s="66"/>
      <c r="F748" s="66"/>
    </row>
    <row r="749" spans="3:6" ht="14.25" customHeight="1" x14ac:dyDescent="0.3">
      <c r="C749" s="66"/>
      <c r="D749" s="66"/>
      <c r="E749" s="66"/>
      <c r="F749" s="66"/>
    </row>
    <row r="750" spans="3:6" ht="14.25" customHeight="1" x14ac:dyDescent="0.3">
      <c r="C750" s="66"/>
      <c r="D750" s="66"/>
      <c r="E750" s="66"/>
      <c r="F750" s="66"/>
    </row>
    <row r="751" spans="3:6" ht="14.25" customHeight="1" x14ac:dyDescent="0.3">
      <c r="C751" s="66"/>
      <c r="D751" s="66"/>
      <c r="E751" s="66"/>
      <c r="F751" s="66"/>
    </row>
    <row r="752" spans="3:6" ht="14.25" customHeight="1" x14ac:dyDescent="0.3">
      <c r="C752" s="66"/>
      <c r="D752" s="66"/>
      <c r="E752" s="66"/>
      <c r="F752" s="66"/>
    </row>
    <row r="753" spans="3:6" ht="14.25" customHeight="1" x14ac:dyDescent="0.3">
      <c r="C753" s="66"/>
      <c r="D753" s="66"/>
      <c r="E753" s="66"/>
      <c r="F753" s="66"/>
    </row>
    <row r="754" spans="3:6" ht="14.25" customHeight="1" x14ac:dyDescent="0.3">
      <c r="C754" s="66"/>
      <c r="D754" s="66"/>
      <c r="E754" s="66"/>
      <c r="F754" s="66"/>
    </row>
    <row r="755" spans="3:6" ht="14.25" customHeight="1" x14ac:dyDescent="0.3">
      <c r="C755" s="66"/>
      <c r="D755" s="66"/>
      <c r="E755" s="66"/>
      <c r="F755" s="66"/>
    </row>
    <row r="756" spans="3:6" ht="14.25" customHeight="1" x14ac:dyDescent="0.3">
      <c r="C756" s="66"/>
      <c r="D756" s="66"/>
      <c r="E756" s="66"/>
      <c r="F756" s="66"/>
    </row>
    <row r="757" spans="3:6" ht="14.25" customHeight="1" x14ac:dyDescent="0.3">
      <c r="C757" s="66"/>
      <c r="D757" s="66"/>
      <c r="E757" s="66"/>
      <c r="F757" s="66"/>
    </row>
    <row r="758" spans="3:6" ht="14.25" customHeight="1" x14ac:dyDescent="0.3">
      <c r="C758" s="66"/>
      <c r="D758" s="66"/>
      <c r="E758" s="66"/>
      <c r="F758" s="66"/>
    </row>
    <row r="759" spans="3:6" ht="14.25" customHeight="1" x14ac:dyDescent="0.3">
      <c r="C759" s="66"/>
      <c r="D759" s="66"/>
      <c r="E759" s="66"/>
      <c r="F759" s="66"/>
    </row>
    <row r="760" spans="3:6" ht="14.25" customHeight="1" x14ac:dyDescent="0.3">
      <c r="C760" s="66"/>
      <c r="D760" s="66"/>
      <c r="E760" s="66"/>
      <c r="F760" s="66"/>
    </row>
    <row r="761" spans="3:6" ht="14.25" customHeight="1" x14ac:dyDescent="0.3">
      <c r="C761" s="66"/>
      <c r="D761" s="66"/>
      <c r="E761" s="66"/>
      <c r="F761" s="66"/>
    </row>
    <row r="762" spans="3:6" ht="14.25" customHeight="1" x14ac:dyDescent="0.3">
      <c r="C762" s="66"/>
      <c r="D762" s="66"/>
      <c r="E762" s="66"/>
      <c r="F762" s="66"/>
    </row>
    <row r="763" spans="3:6" ht="14.25" customHeight="1" x14ac:dyDescent="0.3">
      <c r="C763" s="66"/>
      <c r="D763" s="66"/>
      <c r="E763" s="66"/>
      <c r="F763" s="66"/>
    </row>
    <row r="764" spans="3:6" ht="14.25" customHeight="1" x14ac:dyDescent="0.3">
      <c r="C764" s="66"/>
      <c r="D764" s="66"/>
      <c r="E764" s="66"/>
      <c r="F764" s="66"/>
    </row>
    <row r="765" spans="3:6" ht="14.25" customHeight="1" x14ac:dyDescent="0.3">
      <c r="C765" s="66"/>
      <c r="D765" s="66"/>
      <c r="E765" s="66"/>
      <c r="F765" s="66"/>
    </row>
    <row r="766" spans="3:6" ht="14.25" customHeight="1" x14ac:dyDescent="0.3">
      <c r="C766" s="66"/>
      <c r="D766" s="66"/>
      <c r="E766" s="66"/>
      <c r="F766" s="66"/>
    </row>
    <row r="767" spans="3:6" ht="14.25" customHeight="1" x14ac:dyDescent="0.3">
      <c r="C767" s="66"/>
      <c r="D767" s="66"/>
      <c r="E767" s="66"/>
      <c r="F767" s="66"/>
    </row>
    <row r="768" spans="3:6" ht="14.25" customHeight="1" x14ac:dyDescent="0.3">
      <c r="C768" s="66"/>
      <c r="D768" s="66"/>
      <c r="E768" s="66"/>
      <c r="F768" s="66"/>
    </row>
    <row r="769" spans="3:6" ht="14.25" customHeight="1" x14ac:dyDescent="0.3">
      <c r="C769" s="66"/>
      <c r="D769" s="66"/>
      <c r="E769" s="66"/>
      <c r="F769" s="66"/>
    </row>
    <row r="770" spans="3:6" ht="14.25" customHeight="1" x14ac:dyDescent="0.3">
      <c r="C770" s="66"/>
      <c r="D770" s="66"/>
      <c r="E770" s="66"/>
      <c r="F770" s="66"/>
    </row>
    <row r="771" spans="3:6" ht="14.25" customHeight="1" x14ac:dyDescent="0.3">
      <c r="C771" s="66"/>
      <c r="D771" s="66"/>
      <c r="E771" s="66"/>
      <c r="F771" s="66"/>
    </row>
    <row r="772" spans="3:6" ht="14.25" customHeight="1" x14ac:dyDescent="0.3">
      <c r="C772" s="66"/>
      <c r="D772" s="66"/>
      <c r="E772" s="66"/>
      <c r="F772" s="66"/>
    </row>
    <row r="773" spans="3:6" ht="14.25" customHeight="1" x14ac:dyDescent="0.3">
      <c r="C773" s="66"/>
      <c r="D773" s="66"/>
      <c r="E773" s="66"/>
      <c r="F773" s="66"/>
    </row>
    <row r="774" spans="3:6" ht="14.25" customHeight="1" x14ac:dyDescent="0.3">
      <c r="C774" s="66"/>
      <c r="D774" s="66"/>
      <c r="E774" s="66"/>
      <c r="F774" s="66"/>
    </row>
    <row r="775" spans="3:6" ht="14.25" customHeight="1" x14ac:dyDescent="0.3">
      <c r="C775" s="66"/>
      <c r="D775" s="66"/>
      <c r="E775" s="66"/>
      <c r="F775" s="66"/>
    </row>
    <row r="776" spans="3:6" ht="14.25" customHeight="1" x14ac:dyDescent="0.3">
      <c r="C776" s="66"/>
      <c r="D776" s="66"/>
      <c r="E776" s="66"/>
      <c r="F776" s="66"/>
    </row>
    <row r="777" spans="3:6" ht="14.25" customHeight="1" x14ac:dyDescent="0.3">
      <c r="C777" s="66"/>
      <c r="D777" s="66"/>
      <c r="E777" s="66"/>
      <c r="F777" s="66"/>
    </row>
    <row r="778" spans="3:6" ht="14.25" customHeight="1" x14ac:dyDescent="0.3">
      <c r="C778" s="66"/>
      <c r="D778" s="66"/>
      <c r="E778" s="66"/>
      <c r="F778" s="66"/>
    </row>
    <row r="779" spans="3:6" ht="14.25" customHeight="1" x14ac:dyDescent="0.3">
      <c r="C779" s="66"/>
      <c r="D779" s="66"/>
      <c r="E779" s="66"/>
      <c r="F779" s="66"/>
    </row>
    <row r="780" spans="3:6" ht="14.25" customHeight="1" x14ac:dyDescent="0.3">
      <c r="C780" s="66"/>
      <c r="D780" s="66"/>
      <c r="E780" s="66"/>
      <c r="F780" s="66"/>
    </row>
    <row r="781" spans="3:6" ht="14.25" customHeight="1" x14ac:dyDescent="0.3">
      <c r="C781" s="66"/>
      <c r="D781" s="66"/>
      <c r="E781" s="66"/>
      <c r="F781" s="66"/>
    </row>
    <row r="782" spans="3:6" ht="14.25" customHeight="1" x14ac:dyDescent="0.3">
      <c r="C782" s="66"/>
      <c r="D782" s="66"/>
      <c r="E782" s="66"/>
      <c r="F782" s="66"/>
    </row>
    <row r="783" spans="3:6" ht="14.25" customHeight="1" x14ac:dyDescent="0.3">
      <c r="C783" s="66"/>
      <c r="D783" s="66"/>
      <c r="E783" s="66"/>
      <c r="F783" s="66"/>
    </row>
    <row r="784" spans="3:6" ht="14.25" customHeight="1" x14ac:dyDescent="0.3">
      <c r="C784" s="66"/>
      <c r="D784" s="66"/>
      <c r="E784" s="66"/>
      <c r="F784" s="66"/>
    </row>
    <row r="785" spans="3:6" ht="14.25" customHeight="1" x14ac:dyDescent="0.3">
      <c r="C785" s="66"/>
      <c r="D785" s="66"/>
      <c r="E785" s="66"/>
      <c r="F785" s="66"/>
    </row>
    <row r="786" spans="3:6" ht="14.25" customHeight="1" x14ac:dyDescent="0.3">
      <c r="C786" s="66"/>
      <c r="D786" s="66"/>
      <c r="E786" s="66"/>
      <c r="F786" s="66"/>
    </row>
    <row r="787" spans="3:6" ht="14.25" customHeight="1" x14ac:dyDescent="0.3">
      <c r="C787" s="66"/>
      <c r="D787" s="66"/>
      <c r="E787" s="66"/>
      <c r="F787" s="66"/>
    </row>
    <row r="788" spans="3:6" ht="14.25" customHeight="1" x14ac:dyDescent="0.3">
      <c r="C788" s="66"/>
      <c r="D788" s="66"/>
      <c r="E788" s="66"/>
      <c r="F788" s="66"/>
    </row>
    <row r="789" spans="3:6" ht="14.25" customHeight="1" x14ac:dyDescent="0.3">
      <c r="C789" s="66"/>
      <c r="D789" s="66"/>
      <c r="E789" s="66"/>
      <c r="F789" s="66"/>
    </row>
    <row r="790" spans="3:6" ht="14.25" customHeight="1" x14ac:dyDescent="0.3">
      <c r="C790" s="66"/>
      <c r="D790" s="66"/>
      <c r="E790" s="66"/>
      <c r="F790" s="66"/>
    </row>
    <row r="791" spans="3:6" ht="14.25" customHeight="1" x14ac:dyDescent="0.3">
      <c r="C791" s="66"/>
      <c r="D791" s="66"/>
      <c r="E791" s="66"/>
      <c r="F791" s="66"/>
    </row>
    <row r="792" spans="3:6" ht="14.25" customHeight="1" x14ac:dyDescent="0.3">
      <c r="C792" s="66"/>
      <c r="D792" s="66"/>
      <c r="E792" s="66"/>
      <c r="F792" s="66"/>
    </row>
    <row r="793" spans="3:6" ht="14.25" customHeight="1" x14ac:dyDescent="0.3">
      <c r="C793" s="66"/>
      <c r="D793" s="66"/>
      <c r="E793" s="66"/>
      <c r="F793" s="66"/>
    </row>
    <row r="794" spans="3:6" ht="14.25" customHeight="1" x14ac:dyDescent="0.3">
      <c r="C794" s="66"/>
      <c r="D794" s="66"/>
      <c r="E794" s="66"/>
      <c r="F794" s="66"/>
    </row>
    <row r="795" spans="3:6" ht="14.25" customHeight="1" x14ac:dyDescent="0.3">
      <c r="C795" s="66"/>
      <c r="D795" s="66"/>
      <c r="E795" s="66"/>
      <c r="F795" s="66"/>
    </row>
    <row r="796" spans="3:6" ht="14.25" customHeight="1" x14ac:dyDescent="0.3">
      <c r="C796" s="66"/>
      <c r="D796" s="66"/>
      <c r="E796" s="66"/>
      <c r="F796" s="66"/>
    </row>
    <row r="797" spans="3:6" ht="14.25" customHeight="1" x14ac:dyDescent="0.3">
      <c r="C797" s="66"/>
      <c r="D797" s="66"/>
      <c r="E797" s="66"/>
      <c r="F797" s="66"/>
    </row>
    <row r="798" spans="3:6" ht="14.25" customHeight="1" x14ac:dyDescent="0.3">
      <c r="C798" s="66"/>
      <c r="D798" s="66"/>
      <c r="E798" s="66"/>
      <c r="F798" s="66"/>
    </row>
    <row r="799" spans="3:6" ht="14.25" customHeight="1" x14ac:dyDescent="0.3">
      <c r="C799" s="66"/>
      <c r="D799" s="66"/>
      <c r="E799" s="66"/>
      <c r="F799" s="66"/>
    </row>
    <row r="800" spans="3:6" ht="14.25" customHeight="1" x14ac:dyDescent="0.3">
      <c r="C800" s="66"/>
      <c r="D800" s="66"/>
      <c r="E800" s="66"/>
      <c r="F800" s="66"/>
    </row>
    <row r="801" spans="3:6" ht="14.25" customHeight="1" x14ac:dyDescent="0.3">
      <c r="C801" s="66"/>
      <c r="D801" s="66"/>
      <c r="E801" s="66"/>
      <c r="F801" s="66"/>
    </row>
    <row r="802" spans="3:6" ht="14.25" customHeight="1" x14ac:dyDescent="0.3">
      <c r="C802" s="66"/>
      <c r="D802" s="66"/>
      <c r="E802" s="66"/>
      <c r="F802" s="66"/>
    </row>
    <row r="803" spans="3:6" ht="14.25" customHeight="1" x14ac:dyDescent="0.3">
      <c r="C803" s="66"/>
      <c r="D803" s="66"/>
      <c r="E803" s="66"/>
      <c r="F803" s="66"/>
    </row>
    <row r="804" spans="3:6" ht="14.25" customHeight="1" x14ac:dyDescent="0.3">
      <c r="C804" s="66"/>
      <c r="D804" s="66"/>
      <c r="E804" s="66"/>
      <c r="F804" s="66"/>
    </row>
    <row r="805" spans="3:6" ht="14.25" customHeight="1" x14ac:dyDescent="0.3">
      <c r="C805" s="66"/>
      <c r="D805" s="66"/>
      <c r="E805" s="66"/>
      <c r="F805" s="66"/>
    </row>
    <row r="806" spans="3:6" ht="14.25" customHeight="1" x14ac:dyDescent="0.3">
      <c r="C806" s="66"/>
      <c r="D806" s="66"/>
      <c r="E806" s="66"/>
      <c r="F806" s="66"/>
    </row>
    <row r="807" spans="3:6" ht="14.25" customHeight="1" x14ac:dyDescent="0.3">
      <c r="C807" s="66"/>
      <c r="D807" s="66"/>
      <c r="E807" s="66"/>
      <c r="F807" s="66"/>
    </row>
    <row r="808" spans="3:6" ht="14.25" customHeight="1" x14ac:dyDescent="0.3">
      <c r="C808" s="66"/>
      <c r="D808" s="66"/>
      <c r="E808" s="66"/>
      <c r="F808" s="66"/>
    </row>
    <row r="809" spans="3:6" ht="14.25" customHeight="1" x14ac:dyDescent="0.3">
      <c r="C809" s="66"/>
      <c r="D809" s="66"/>
      <c r="E809" s="66"/>
      <c r="F809" s="66"/>
    </row>
    <row r="810" spans="3:6" ht="14.25" customHeight="1" x14ac:dyDescent="0.3">
      <c r="C810" s="66"/>
      <c r="D810" s="66"/>
      <c r="E810" s="66"/>
      <c r="F810" s="66"/>
    </row>
    <row r="811" spans="3:6" ht="14.25" customHeight="1" x14ac:dyDescent="0.3">
      <c r="C811" s="66"/>
      <c r="D811" s="66"/>
      <c r="E811" s="66"/>
      <c r="F811" s="66"/>
    </row>
    <row r="812" spans="3:6" ht="14.25" customHeight="1" x14ac:dyDescent="0.3">
      <c r="C812" s="66"/>
      <c r="D812" s="66"/>
      <c r="E812" s="66"/>
      <c r="F812" s="66"/>
    </row>
    <row r="813" spans="3:6" ht="14.25" customHeight="1" x14ac:dyDescent="0.3">
      <c r="C813" s="66"/>
      <c r="D813" s="66"/>
      <c r="E813" s="66"/>
      <c r="F813" s="66"/>
    </row>
    <row r="814" spans="3:6" ht="14.25" customHeight="1" x14ac:dyDescent="0.3">
      <c r="C814" s="66"/>
      <c r="D814" s="66"/>
      <c r="E814" s="66"/>
      <c r="F814" s="66"/>
    </row>
    <row r="815" spans="3:6" ht="14.25" customHeight="1" x14ac:dyDescent="0.3">
      <c r="C815" s="66"/>
      <c r="D815" s="66"/>
      <c r="E815" s="66"/>
      <c r="F815" s="66"/>
    </row>
    <row r="816" spans="3:6" ht="14.25" customHeight="1" x14ac:dyDescent="0.3">
      <c r="C816" s="66"/>
      <c r="D816" s="66"/>
      <c r="E816" s="66"/>
      <c r="F816" s="66"/>
    </row>
    <row r="817" spans="3:6" ht="14.25" customHeight="1" x14ac:dyDescent="0.3">
      <c r="C817" s="66"/>
      <c r="D817" s="66"/>
      <c r="E817" s="66"/>
      <c r="F817" s="66"/>
    </row>
    <row r="818" spans="3:6" ht="14.25" customHeight="1" x14ac:dyDescent="0.3">
      <c r="C818" s="66"/>
      <c r="D818" s="66"/>
      <c r="E818" s="66"/>
      <c r="F818" s="66"/>
    </row>
    <row r="819" spans="3:6" ht="14.25" customHeight="1" x14ac:dyDescent="0.3">
      <c r="C819" s="66"/>
      <c r="D819" s="66"/>
      <c r="E819" s="66"/>
      <c r="F819" s="66"/>
    </row>
    <row r="820" spans="3:6" ht="14.25" customHeight="1" x14ac:dyDescent="0.3">
      <c r="C820" s="66"/>
      <c r="D820" s="66"/>
      <c r="E820" s="66"/>
      <c r="F820" s="66"/>
    </row>
    <row r="821" spans="3:6" ht="14.25" customHeight="1" x14ac:dyDescent="0.3">
      <c r="C821" s="66"/>
      <c r="D821" s="66"/>
      <c r="E821" s="66"/>
      <c r="F821" s="66"/>
    </row>
    <row r="822" spans="3:6" ht="14.25" customHeight="1" x14ac:dyDescent="0.3">
      <c r="C822" s="66"/>
      <c r="D822" s="66"/>
      <c r="E822" s="66"/>
      <c r="F822" s="66"/>
    </row>
    <row r="823" spans="3:6" ht="14.25" customHeight="1" x14ac:dyDescent="0.3">
      <c r="C823" s="66"/>
      <c r="D823" s="66"/>
      <c r="E823" s="66"/>
      <c r="F823" s="66"/>
    </row>
    <row r="824" spans="3:6" ht="14.25" customHeight="1" x14ac:dyDescent="0.3">
      <c r="C824" s="66"/>
      <c r="D824" s="66"/>
      <c r="E824" s="66"/>
      <c r="F824" s="66"/>
    </row>
    <row r="825" spans="3:6" ht="14.25" customHeight="1" x14ac:dyDescent="0.3">
      <c r="C825" s="66"/>
      <c r="D825" s="66"/>
      <c r="E825" s="66"/>
      <c r="F825" s="66"/>
    </row>
    <row r="826" spans="3:6" ht="14.25" customHeight="1" x14ac:dyDescent="0.3">
      <c r="C826" s="66"/>
      <c r="D826" s="66"/>
      <c r="E826" s="66"/>
      <c r="F826" s="66"/>
    </row>
    <row r="827" spans="3:6" ht="14.25" customHeight="1" x14ac:dyDescent="0.3">
      <c r="C827" s="66"/>
      <c r="D827" s="66"/>
      <c r="E827" s="66"/>
      <c r="F827" s="66"/>
    </row>
    <row r="828" spans="3:6" ht="14.25" customHeight="1" x14ac:dyDescent="0.3">
      <c r="C828" s="66"/>
      <c r="D828" s="66"/>
      <c r="E828" s="66"/>
      <c r="F828" s="66"/>
    </row>
    <row r="829" spans="3:6" ht="14.25" customHeight="1" x14ac:dyDescent="0.3">
      <c r="C829" s="66"/>
      <c r="D829" s="66"/>
      <c r="E829" s="66"/>
      <c r="F829" s="66"/>
    </row>
    <row r="830" spans="3:6" ht="14.25" customHeight="1" x14ac:dyDescent="0.3">
      <c r="C830" s="66"/>
      <c r="D830" s="66"/>
      <c r="E830" s="66"/>
      <c r="F830" s="66"/>
    </row>
    <row r="831" spans="3:6" ht="14.25" customHeight="1" x14ac:dyDescent="0.3">
      <c r="C831" s="66"/>
      <c r="D831" s="66"/>
      <c r="E831" s="66"/>
      <c r="F831" s="66"/>
    </row>
    <row r="832" spans="3:6" ht="14.25" customHeight="1" x14ac:dyDescent="0.3">
      <c r="C832" s="66"/>
      <c r="D832" s="66"/>
      <c r="E832" s="66"/>
      <c r="F832" s="66"/>
    </row>
    <row r="833" spans="3:6" ht="14.25" customHeight="1" x14ac:dyDescent="0.3">
      <c r="C833" s="66"/>
      <c r="D833" s="66"/>
      <c r="E833" s="66"/>
      <c r="F833" s="66"/>
    </row>
    <row r="834" spans="3:6" ht="14.25" customHeight="1" x14ac:dyDescent="0.3">
      <c r="C834" s="66"/>
      <c r="D834" s="66"/>
      <c r="E834" s="66"/>
      <c r="F834" s="66"/>
    </row>
    <row r="835" spans="3:6" ht="14.25" customHeight="1" x14ac:dyDescent="0.3">
      <c r="C835" s="66"/>
      <c r="D835" s="66"/>
      <c r="E835" s="66"/>
      <c r="F835" s="66"/>
    </row>
    <row r="836" spans="3:6" ht="14.25" customHeight="1" x14ac:dyDescent="0.3">
      <c r="C836" s="66"/>
      <c r="D836" s="66"/>
      <c r="E836" s="66"/>
      <c r="F836" s="66"/>
    </row>
    <row r="837" spans="3:6" ht="14.25" customHeight="1" x14ac:dyDescent="0.3">
      <c r="C837" s="66"/>
      <c r="D837" s="66"/>
      <c r="E837" s="66"/>
      <c r="F837" s="66"/>
    </row>
    <row r="838" spans="3:6" ht="14.25" customHeight="1" x14ac:dyDescent="0.3">
      <c r="C838" s="66"/>
      <c r="D838" s="66"/>
      <c r="E838" s="66"/>
      <c r="F838" s="66"/>
    </row>
    <row r="839" spans="3:6" ht="14.25" customHeight="1" x14ac:dyDescent="0.3">
      <c r="C839" s="66"/>
      <c r="D839" s="66"/>
      <c r="E839" s="66"/>
      <c r="F839" s="66"/>
    </row>
    <row r="840" spans="3:6" ht="14.25" customHeight="1" x14ac:dyDescent="0.3">
      <c r="C840" s="66"/>
      <c r="D840" s="66"/>
      <c r="E840" s="66"/>
      <c r="F840" s="66"/>
    </row>
    <row r="841" spans="3:6" ht="14.25" customHeight="1" x14ac:dyDescent="0.3">
      <c r="C841" s="66"/>
      <c r="D841" s="66"/>
      <c r="E841" s="66"/>
      <c r="F841" s="66"/>
    </row>
    <row r="842" spans="3:6" ht="14.25" customHeight="1" x14ac:dyDescent="0.3">
      <c r="C842" s="66"/>
      <c r="D842" s="66"/>
      <c r="E842" s="66"/>
      <c r="F842" s="66"/>
    </row>
    <row r="843" spans="3:6" ht="14.25" customHeight="1" x14ac:dyDescent="0.3">
      <c r="C843" s="66"/>
      <c r="D843" s="66"/>
      <c r="E843" s="66"/>
      <c r="F843" s="66"/>
    </row>
    <row r="844" spans="3:6" ht="14.25" customHeight="1" x14ac:dyDescent="0.3">
      <c r="C844" s="66"/>
      <c r="D844" s="66"/>
      <c r="E844" s="66"/>
      <c r="F844" s="66"/>
    </row>
    <row r="845" spans="3:6" ht="14.25" customHeight="1" x14ac:dyDescent="0.3">
      <c r="C845" s="66"/>
      <c r="D845" s="66"/>
      <c r="E845" s="66"/>
      <c r="F845" s="66"/>
    </row>
    <row r="846" spans="3:6" ht="14.25" customHeight="1" x14ac:dyDescent="0.3">
      <c r="C846" s="66"/>
      <c r="D846" s="66"/>
      <c r="E846" s="66"/>
      <c r="F846" s="66"/>
    </row>
    <row r="847" spans="3:6" ht="14.25" customHeight="1" x14ac:dyDescent="0.3">
      <c r="C847" s="66"/>
      <c r="D847" s="66"/>
      <c r="E847" s="66"/>
      <c r="F847" s="66"/>
    </row>
    <row r="848" spans="3:6" ht="14.25" customHeight="1" x14ac:dyDescent="0.3">
      <c r="C848" s="66"/>
      <c r="D848" s="66"/>
      <c r="E848" s="66"/>
      <c r="F848" s="66"/>
    </row>
    <row r="849" spans="3:6" ht="14.25" customHeight="1" x14ac:dyDescent="0.3">
      <c r="C849" s="66"/>
      <c r="D849" s="66"/>
      <c r="E849" s="66"/>
      <c r="F849" s="66"/>
    </row>
    <row r="850" spans="3:6" ht="14.25" customHeight="1" x14ac:dyDescent="0.3">
      <c r="C850" s="66"/>
      <c r="D850" s="66"/>
      <c r="E850" s="66"/>
      <c r="F850" s="66"/>
    </row>
    <row r="851" spans="3:6" ht="14.25" customHeight="1" x14ac:dyDescent="0.3">
      <c r="C851" s="66"/>
      <c r="D851" s="66"/>
      <c r="E851" s="66"/>
      <c r="F851" s="66"/>
    </row>
    <row r="852" spans="3:6" ht="14.25" customHeight="1" x14ac:dyDescent="0.3">
      <c r="C852" s="66"/>
      <c r="D852" s="66"/>
      <c r="E852" s="66"/>
      <c r="F852" s="66"/>
    </row>
    <row r="853" spans="3:6" ht="14.25" customHeight="1" x14ac:dyDescent="0.3">
      <c r="C853" s="66"/>
      <c r="D853" s="66"/>
      <c r="E853" s="66"/>
      <c r="F853" s="66"/>
    </row>
    <row r="854" spans="3:6" ht="14.25" customHeight="1" x14ac:dyDescent="0.3">
      <c r="C854" s="66"/>
      <c r="D854" s="66"/>
      <c r="E854" s="66"/>
      <c r="F854" s="66"/>
    </row>
    <row r="855" spans="3:6" ht="14.25" customHeight="1" x14ac:dyDescent="0.3">
      <c r="C855" s="66"/>
      <c r="D855" s="66"/>
      <c r="E855" s="66"/>
      <c r="F855" s="66"/>
    </row>
    <row r="856" spans="3:6" ht="14.25" customHeight="1" x14ac:dyDescent="0.3">
      <c r="C856" s="66"/>
      <c r="D856" s="66"/>
      <c r="E856" s="66"/>
      <c r="F856" s="66"/>
    </row>
    <row r="857" spans="3:6" ht="14.25" customHeight="1" x14ac:dyDescent="0.3">
      <c r="C857" s="66"/>
      <c r="D857" s="66"/>
      <c r="E857" s="66"/>
      <c r="F857" s="66"/>
    </row>
    <row r="858" spans="3:6" ht="14.25" customHeight="1" x14ac:dyDescent="0.3">
      <c r="C858" s="66"/>
      <c r="D858" s="66"/>
      <c r="E858" s="66"/>
      <c r="F858" s="66"/>
    </row>
    <row r="859" spans="3:6" ht="14.25" customHeight="1" x14ac:dyDescent="0.3">
      <c r="C859" s="66"/>
      <c r="D859" s="66"/>
      <c r="E859" s="66"/>
      <c r="F859" s="66"/>
    </row>
    <row r="860" spans="3:6" ht="14.25" customHeight="1" x14ac:dyDescent="0.3">
      <c r="C860" s="66"/>
      <c r="D860" s="66"/>
      <c r="E860" s="66"/>
      <c r="F860" s="66"/>
    </row>
    <row r="861" spans="3:6" ht="14.25" customHeight="1" x14ac:dyDescent="0.3">
      <c r="C861" s="66"/>
      <c r="D861" s="66"/>
      <c r="E861" s="66"/>
      <c r="F861" s="66"/>
    </row>
    <row r="862" spans="3:6" ht="14.25" customHeight="1" x14ac:dyDescent="0.3">
      <c r="C862" s="66"/>
      <c r="D862" s="66"/>
      <c r="E862" s="66"/>
      <c r="F862" s="66"/>
    </row>
    <row r="863" spans="3:6" ht="14.25" customHeight="1" x14ac:dyDescent="0.3">
      <c r="C863" s="66"/>
      <c r="D863" s="66"/>
      <c r="E863" s="66"/>
      <c r="F863" s="66"/>
    </row>
    <row r="864" spans="3:6" ht="14.25" customHeight="1" x14ac:dyDescent="0.3">
      <c r="C864" s="66"/>
      <c r="D864" s="66"/>
      <c r="E864" s="66"/>
      <c r="F864" s="66"/>
    </row>
    <row r="865" spans="3:6" ht="14.25" customHeight="1" x14ac:dyDescent="0.3">
      <c r="C865" s="66"/>
      <c r="D865" s="66"/>
      <c r="E865" s="66"/>
      <c r="F865" s="66"/>
    </row>
    <row r="866" spans="3:6" ht="14.25" customHeight="1" x14ac:dyDescent="0.3">
      <c r="C866" s="66"/>
      <c r="D866" s="66"/>
      <c r="E866" s="66"/>
      <c r="F866" s="66"/>
    </row>
    <row r="867" spans="3:6" ht="14.25" customHeight="1" x14ac:dyDescent="0.3">
      <c r="C867" s="66"/>
      <c r="D867" s="66"/>
      <c r="E867" s="66"/>
      <c r="F867" s="66"/>
    </row>
    <row r="868" spans="3:6" ht="14.25" customHeight="1" x14ac:dyDescent="0.3">
      <c r="C868" s="66"/>
      <c r="D868" s="66"/>
      <c r="E868" s="66"/>
      <c r="F868" s="66"/>
    </row>
    <row r="869" spans="3:6" ht="14.25" customHeight="1" x14ac:dyDescent="0.3">
      <c r="C869" s="66"/>
      <c r="D869" s="66"/>
      <c r="E869" s="66"/>
      <c r="F869" s="66"/>
    </row>
    <row r="870" spans="3:6" ht="14.25" customHeight="1" x14ac:dyDescent="0.3">
      <c r="C870" s="66"/>
      <c r="D870" s="66"/>
      <c r="E870" s="66"/>
      <c r="F870" s="66"/>
    </row>
    <row r="871" spans="3:6" ht="14.25" customHeight="1" x14ac:dyDescent="0.3">
      <c r="C871" s="66"/>
      <c r="D871" s="66"/>
      <c r="E871" s="66"/>
      <c r="F871" s="66"/>
    </row>
    <row r="872" spans="3:6" ht="14.25" customHeight="1" x14ac:dyDescent="0.3">
      <c r="C872" s="66"/>
      <c r="D872" s="66"/>
      <c r="E872" s="66"/>
      <c r="F872" s="66"/>
    </row>
    <row r="873" spans="3:6" ht="14.25" customHeight="1" x14ac:dyDescent="0.3">
      <c r="C873" s="66"/>
      <c r="D873" s="66"/>
      <c r="E873" s="66"/>
      <c r="F873" s="66"/>
    </row>
    <row r="874" spans="3:6" ht="14.25" customHeight="1" x14ac:dyDescent="0.3">
      <c r="C874" s="66"/>
      <c r="D874" s="66"/>
      <c r="E874" s="66"/>
      <c r="F874" s="66"/>
    </row>
    <row r="875" spans="3:6" ht="14.25" customHeight="1" x14ac:dyDescent="0.3">
      <c r="C875" s="66"/>
      <c r="D875" s="66"/>
      <c r="E875" s="66"/>
      <c r="F875" s="66"/>
    </row>
    <row r="876" spans="3:6" ht="14.25" customHeight="1" x14ac:dyDescent="0.3">
      <c r="C876" s="66"/>
      <c r="D876" s="66"/>
      <c r="E876" s="66"/>
      <c r="F876" s="66"/>
    </row>
    <row r="877" spans="3:6" ht="14.25" customHeight="1" x14ac:dyDescent="0.3">
      <c r="C877" s="66"/>
      <c r="D877" s="66"/>
      <c r="E877" s="66"/>
      <c r="F877" s="66"/>
    </row>
    <row r="878" spans="3:6" ht="14.25" customHeight="1" x14ac:dyDescent="0.3">
      <c r="C878" s="66"/>
      <c r="D878" s="66"/>
      <c r="E878" s="66"/>
      <c r="F878" s="66"/>
    </row>
    <row r="879" spans="3:6" ht="14.25" customHeight="1" x14ac:dyDescent="0.3">
      <c r="C879" s="66"/>
      <c r="D879" s="66"/>
      <c r="E879" s="66"/>
      <c r="F879" s="66"/>
    </row>
    <row r="880" spans="3:6" ht="14.25" customHeight="1" x14ac:dyDescent="0.3">
      <c r="C880" s="66"/>
      <c r="D880" s="66"/>
      <c r="E880" s="66"/>
      <c r="F880" s="66"/>
    </row>
    <row r="881" spans="3:6" ht="14.25" customHeight="1" x14ac:dyDescent="0.3">
      <c r="C881" s="66"/>
      <c r="D881" s="66"/>
      <c r="E881" s="66"/>
      <c r="F881" s="66"/>
    </row>
    <row r="882" spans="3:6" ht="14.25" customHeight="1" x14ac:dyDescent="0.3">
      <c r="C882" s="66"/>
      <c r="D882" s="66"/>
      <c r="E882" s="66"/>
      <c r="F882" s="66"/>
    </row>
    <row r="883" spans="3:6" ht="14.25" customHeight="1" x14ac:dyDescent="0.3">
      <c r="C883" s="66"/>
      <c r="D883" s="66"/>
      <c r="E883" s="66"/>
      <c r="F883" s="66"/>
    </row>
    <row r="884" spans="3:6" ht="14.25" customHeight="1" x14ac:dyDescent="0.3">
      <c r="C884" s="66"/>
      <c r="D884" s="66"/>
      <c r="E884" s="66"/>
      <c r="F884" s="66"/>
    </row>
    <row r="885" spans="3:6" ht="14.25" customHeight="1" x14ac:dyDescent="0.3">
      <c r="C885" s="66"/>
      <c r="D885" s="66"/>
      <c r="E885" s="66"/>
      <c r="F885" s="66"/>
    </row>
    <row r="886" spans="3:6" ht="14.25" customHeight="1" x14ac:dyDescent="0.3">
      <c r="C886" s="66"/>
      <c r="D886" s="66"/>
      <c r="E886" s="66"/>
      <c r="F886" s="66"/>
    </row>
    <row r="887" spans="3:6" ht="14.25" customHeight="1" x14ac:dyDescent="0.3">
      <c r="C887" s="66"/>
      <c r="D887" s="66"/>
      <c r="E887" s="66"/>
      <c r="F887" s="66"/>
    </row>
    <row r="888" spans="3:6" ht="14.25" customHeight="1" x14ac:dyDescent="0.3">
      <c r="C888" s="66"/>
      <c r="D888" s="66"/>
      <c r="E888" s="66"/>
      <c r="F888" s="66"/>
    </row>
    <row r="889" spans="3:6" ht="14.25" customHeight="1" x14ac:dyDescent="0.3">
      <c r="C889" s="66"/>
      <c r="D889" s="66"/>
      <c r="E889" s="66"/>
      <c r="F889" s="66"/>
    </row>
    <row r="890" spans="3:6" ht="14.25" customHeight="1" x14ac:dyDescent="0.3">
      <c r="C890" s="66"/>
      <c r="D890" s="66"/>
      <c r="E890" s="66"/>
      <c r="F890" s="66"/>
    </row>
    <row r="891" spans="3:6" ht="14.25" customHeight="1" x14ac:dyDescent="0.3">
      <c r="C891" s="66"/>
      <c r="D891" s="66"/>
      <c r="E891" s="66"/>
      <c r="F891" s="66"/>
    </row>
    <row r="892" spans="3:6" ht="14.25" customHeight="1" x14ac:dyDescent="0.3">
      <c r="C892" s="66"/>
      <c r="D892" s="66"/>
      <c r="E892" s="66"/>
      <c r="F892" s="66"/>
    </row>
    <row r="893" spans="3:6" ht="14.25" customHeight="1" x14ac:dyDescent="0.3">
      <c r="C893" s="66"/>
      <c r="D893" s="66"/>
      <c r="E893" s="66"/>
      <c r="F893" s="66"/>
    </row>
    <row r="894" spans="3:6" ht="14.25" customHeight="1" x14ac:dyDescent="0.3">
      <c r="C894" s="66"/>
      <c r="D894" s="66"/>
      <c r="E894" s="66"/>
      <c r="F894" s="66"/>
    </row>
    <row r="895" spans="3:6" ht="14.25" customHeight="1" x14ac:dyDescent="0.3">
      <c r="C895" s="66"/>
      <c r="D895" s="66"/>
      <c r="E895" s="66"/>
      <c r="F895" s="66"/>
    </row>
    <row r="896" spans="3:6" ht="14.25" customHeight="1" x14ac:dyDescent="0.3">
      <c r="C896" s="66"/>
      <c r="D896" s="66"/>
      <c r="E896" s="66"/>
      <c r="F896" s="66"/>
    </row>
    <row r="897" spans="3:6" ht="14.25" customHeight="1" x14ac:dyDescent="0.3">
      <c r="C897" s="66"/>
      <c r="D897" s="66"/>
      <c r="E897" s="66"/>
      <c r="F897" s="66"/>
    </row>
    <row r="898" spans="3:6" ht="14.25" customHeight="1" x14ac:dyDescent="0.3">
      <c r="C898" s="66"/>
      <c r="D898" s="66"/>
      <c r="E898" s="66"/>
      <c r="F898" s="66"/>
    </row>
    <row r="899" spans="3:6" ht="14.25" customHeight="1" x14ac:dyDescent="0.3">
      <c r="C899" s="66"/>
      <c r="D899" s="66"/>
      <c r="E899" s="66"/>
      <c r="F899" s="66"/>
    </row>
    <row r="900" spans="3:6" ht="14.25" customHeight="1" x14ac:dyDescent="0.3">
      <c r="C900" s="66"/>
      <c r="D900" s="66"/>
      <c r="E900" s="66"/>
      <c r="F900" s="66"/>
    </row>
    <row r="901" spans="3:6" ht="14.25" customHeight="1" x14ac:dyDescent="0.3">
      <c r="C901" s="66"/>
      <c r="D901" s="66"/>
      <c r="E901" s="66"/>
      <c r="F901" s="66"/>
    </row>
    <row r="902" spans="3:6" ht="14.25" customHeight="1" x14ac:dyDescent="0.3">
      <c r="C902" s="66"/>
      <c r="D902" s="66"/>
      <c r="E902" s="66"/>
      <c r="F902" s="66"/>
    </row>
    <row r="903" spans="3:6" ht="14.25" customHeight="1" x14ac:dyDescent="0.3">
      <c r="C903" s="66"/>
      <c r="D903" s="66"/>
      <c r="E903" s="66"/>
      <c r="F903" s="66"/>
    </row>
    <row r="904" spans="3:6" ht="14.25" customHeight="1" x14ac:dyDescent="0.3">
      <c r="C904" s="66"/>
      <c r="D904" s="66"/>
      <c r="E904" s="66"/>
      <c r="F904" s="66"/>
    </row>
    <row r="905" spans="3:6" ht="14.25" customHeight="1" x14ac:dyDescent="0.3">
      <c r="C905" s="66"/>
      <c r="D905" s="66"/>
      <c r="E905" s="66"/>
      <c r="F905" s="66"/>
    </row>
    <row r="906" spans="3:6" ht="14.25" customHeight="1" x14ac:dyDescent="0.3">
      <c r="C906" s="66"/>
      <c r="D906" s="66"/>
      <c r="E906" s="66"/>
      <c r="F906" s="66"/>
    </row>
    <row r="907" spans="3:6" ht="14.25" customHeight="1" x14ac:dyDescent="0.3">
      <c r="C907" s="66"/>
      <c r="D907" s="66"/>
      <c r="E907" s="66"/>
      <c r="F907" s="66"/>
    </row>
    <row r="908" spans="3:6" ht="14.25" customHeight="1" x14ac:dyDescent="0.3">
      <c r="C908" s="66"/>
      <c r="D908" s="66"/>
      <c r="E908" s="66"/>
      <c r="F908" s="66"/>
    </row>
    <row r="909" spans="3:6" ht="14.25" customHeight="1" x14ac:dyDescent="0.3">
      <c r="C909" s="66"/>
      <c r="D909" s="66"/>
      <c r="E909" s="66"/>
      <c r="F909" s="66"/>
    </row>
    <row r="910" spans="3:6" ht="14.25" customHeight="1" x14ac:dyDescent="0.3">
      <c r="C910" s="66"/>
      <c r="D910" s="66"/>
      <c r="E910" s="66"/>
      <c r="F910" s="66"/>
    </row>
    <row r="911" spans="3:6" ht="14.25" customHeight="1" x14ac:dyDescent="0.3">
      <c r="C911" s="66"/>
      <c r="D911" s="66"/>
      <c r="E911" s="66"/>
      <c r="F911" s="66"/>
    </row>
    <row r="912" spans="3:6" ht="14.25" customHeight="1" x14ac:dyDescent="0.3">
      <c r="C912" s="66"/>
      <c r="D912" s="66"/>
      <c r="E912" s="66"/>
      <c r="F912" s="66"/>
    </row>
    <row r="913" spans="3:6" ht="14.25" customHeight="1" x14ac:dyDescent="0.3">
      <c r="C913" s="66"/>
      <c r="D913" s="66"/>
      <c r="E913" s="66"/>
      <c r="F913" s="66"/>
    </row>
    <row r="914" spans="3:6" ht="14.25" customHeight="1" x14ac:dyDescent="0.3">
      <c r="C914" s="66"/>
      <c r="D914" s="66"/>
      <c r="E914" s="66"/>
      <c r="F914" s="66"/>
    </row>
    <row r="915" spans="3:6" ht="14.25" customHeight="1" x14ac:dyDescent="0.3">
      <c r="C915" s="66"/>
      <c r="D915" s="66"/>
      <c r="E915" s="66"/>
      <c r="F915" s="66"/>
    </row>
    <row r="916" spans="3:6" ht="14.25" customHeight="1" x14ac:dyDescent="0.3">
      <c r="C916" s="66"/>
      <c r="D916" s="66"/>
      <c r="E916" s="66"/>
      <c r="F916" s="66"/>
    </row>
    <row r="917" spans="3:6" ht="14.25" customHeight="1" x14ac:dyDescent="0.3">
      <c r="C917" s="66"/>
      <c r="D917" s="66"/>
      <c r="E917" s="66"/>
      <c r="F917" s="66"/>
    </row>
    <row r="918" spans="3:6" ht="14.25" customHeight="1" x14ac:dyDescent="0.3">
      <c r="C918" s="66"/>
      <c r="D918" s="66"/>
      <c r="E918" s="66"/>
      <c r="F918" s="66"/>
    </row>
    <row r="919" spans="3:6" ht="14.25" customHeight="1" x14ac:dyDescent="0.3">
      <c r="C919" s="66"/>
      <c r="D919" s="66"/>
      <c r="E919" s="66"/>
      <c r="F919" s="66"/>
    </row>
    <row r="920" spans="3:6" ht="14.25" customHeight="1" x14ac:dyDescent="0.3">
      <c r="C920" s="66"/>
      <c r="D920" s="66"/>
      <c r="E920" s="66"/>
      <c r="F920" s="66"/>
    </row>
    <row r="921" spans="3:6" ht="14.25" customHeight="1" x14ac:dyDescent="0.3">
      <c r="C921" s="66"/>
      <c r="D921" s="66"/>
      <c r="E921" s="66"/>
      <c r="F921" s="66"/>
    </row>
    <row r="922" spans="3:6" ht="14.25" customHeight="1" x14ac:dyDescent="0.3">
      <c r="C922" s="66"/>
      <c r="D922" s="66"/>
      <c r="E922" s="66"/>
      <c r="F922" s="66"/>
    </row>
    <row r="923" spans="3:6" ht="14.25" customHeight="1" x14ac:dyDescent="0.3">
      <c r="C923" s="66"/>
      <c r="D923" s="66"/>
      <c r="E923" s="66"/>
      <c r="F923" s="66"/>
    </row>
    <row r="924" spans="3:6" ht="14.25" customHeight="1" x14ac:dyDescent="0.3">
      <c r="C924" s="66"/>
      <c r="D924" s="66"/>
      <c r="E924" s="66"/>
      <c r="F924" s="66"/>
    </row>
    <row r="925" spans="3:6" ht="14.25" customHeight="1" x14ac:dyDescent="0.3">
      <c r="C925" s="66"/>
      <c r="D925" s="66"/>
      <c r="E925" s="66"/>
      <c r="F925" s="66"/>
    </row>
    <row r="926" spans="3:6" ht="14.25" customHeight="1" x14ac:dyDescent="0.3">
      <c r="C926" s="66"/>
      <c r="D926" s="66"/>
      <c r="E926" s="66"/>
      <c r="F926" s="66"/>
    </row>
    <row r="927" spans="3:6" ht="14.25" customHeight="1" x14ac:dyDescent="0.3">
      <c r="C927" s="66"/>
      <c r="D927" s="66"/>
      <c r="E927" s="66"/>
      <c r="F927" s="66"/>
    </row>
    <row r="928" spans="3:6" ht="14.25" customHeight="1" x14ac:dyDescent="0.3">
      <c r="C928" s="66"/>
      <c r="D928" s="66"/>
      <c r="E928" s="66"/>
      <c r="F928" s="66"/>
    </row>
    <row r="929" spans="3:6" ht="14.25" customHeight="1" x14ac:dyDescent="0.3">
      <c r="C929" s="66"/>
      <c r="D929" s="66"/>
      <c r="E929" s="66"/>
      <c r="F929" s="66"/>
    </row>
    <row r="930" spans="3:6" ht="14.25" customHeight="1" x14ac:dyDescent="0.3">
      <c r="C930" s="66"/>
      <c r="D930" s="66"/>
      <c r="E930" s="66"/>
      <c r="F930" s="66"/>
    </row>
    <row r="931" spans="3:6" ht="14.25" customHeight="1" x14ac:dyDescent="0.3">
      <c r="C931" s="66"/>
      <c r="D931" s="66"/>
      <c r="E931" s="66"/>
      <c r="F931" s="66"/>
    </row>
    <row r="932" spans="3:6" ht="14.25" customHeight="1" x14ac:dyDescent="0.3">
      <c r="C932" s="66"/>
      <c r="D932" s="66"/>
      <c r="E932" s="66"/>
      <c r="F932" s="66"/>
    </row>
    <row r="933" spans="3:6" ht="14.25" customHeight="1" x14ac:dyDescent="0.3">
      <c r="C933" s="66"/>
      <c r="D933" s="66"/>
      <c r="E933" s="66"/>
      <c r="F933" s="66"/>
    </row>
    <row r="934" spans="3:6" ht="14.25" customHeight="1" x14ac:dyDescent="0.3">
      <c r="C934" s="66"/>
      <c r="D934" s="66"/>
      <c r="E934" s="66"/>
      <c r="F934" s="66"/>
    </row>
    <row r="935" spans="3:6" ht="14.25" customHeight="1" x14ac:dyDescent="0.3">
      <c r="C935" s="66"/>
      <c r="D935" s="66"/>
      <c r="E935" s="66"/>
      <c r="F935" s="66"/>
    </row>
    <row r="936" spans="3:6" ht="14.25" customHeight="1" x14ac:dyDescent="0.3">
      <c r="C936" s="66"/>
      <c r="D936" s="66"/>
      <c r="E936" s="66"/>
      <c r="F936" s="66"/>
    </row>
    <row r="937" spans="3:6" ht="14.25" customHeight="1" x14ac:dyDescent="0.3">
      <c r="C937" s="66"/>
      <c r="D937" s="66"/>
      <c r="E937" s="66"/>
      <c r="F937" s="66"/>
    </row>
    <row r="938" spans="3:6" ht="14.25" customHeight="1" x14ac:dyDescent="0.3">
      <c r="C938" s="66"/>
      <c r="D938" s="66"/>
      <c r="E938" s="66"/>
      <c r="F938" s="66"/>
    </row>
    <row r="939" spans="3:6" ht="14.25" customHeight="1" x14ac:dyDescent="0.3">
      <c r="C939" s="66"/>
      <c r="D939" s="66"/>
      <c r="E939" s="66"/>
      <c r="F939" s="66"/>
    </row>
    <row r="940" spans="3:6" ht="14.25" customHeight="1" x14ac:dyDescent="0.3">
      <c r="C940" s="66"/>
      <c r="D940" s="66"/>
      <c r="E940" s="66"/>
      <c r="F940" s="66"/>
    </row>
    <row r="941" spans="3:6" ht="14.25" customHeight="1" x14ac:dyDescent="0.3">
      <c r="C941" s="66"/>
      <c r="D941" s="66"/>
      <c r="E941" s="66"/>
      <c r="F941" s="66"/>
    </row>
    <row r="942" spans="3:6" ht="14.25" customHeight="1" x14ac:dyDescent="0.3">
      <c r="C942" s="66"/>
      <c r="D942" s="66"/>
      <c r="E942" s="66"/>
      <c r="F942" s="66"/>
    </row>
    <row r="943" spans="3:6" ht="14.25" customHeight="1" x14ac:dyDescent="0.3">
      <c r="C943" s="66"/>
      <c r="D943" s="66"/>
      <c r="E943" s="66"/>
      <c r="F943" s="66"/>
    </row>
    <row r="944" spans="3:6" ht="14.25" customHeight="1" x14ac:dyDescent="0.3">
      <c r="C944" s="66"/>
      <c r="D944" s="66"/>
      <c r="E944" s="66"/>
      <c r="F944" s="66"/>
    </row>
    <row r="945" spans="3:6" ht="14.25" customHeight="1" x14ac:dyDescent="0.3">
      <c r="C945" s="66"/>
      <c r="D945" s="66"/>
      <c r="E945" s="66"/>
      <c r="F945" s="66"/>
    </row>
    <row r="946" spans="3:6" ht="14.25" customHeight="1" x14ac:dyDescent="0.3">
      <c r="C946" s="66"/>
      <c r="D946" s="66"/>
      <c r="E946" s="66"/>
      <c r="F946" s="66"/>
    </row>
    <row r="947" spans="3:6" ht="14.25" customHeight="1" x14ac:dyDescent="0.3">
      <c r="C947" s="66"/>
      <c r="D947" s="66"/>
      <c r="E947" s="66"/>
      <c r="F947" s="66"/>
    </row>
    <row r="948" spans="3:6" ht="14.25" customHeight="1" x14ac:dyDescent="0.3">
      <c r="C948" s="66"/>
      <c r="D948" s="66"/>
      <c r="E948" s="66"/>
      <c r="F948" s="66"/>
    </row>
    <row r="949" spans="3:6" ht="14.25" customHeight="1" x14ac:dyDescent="0.3">
      <c r="C949" s="66"/>
      <c r="D949" s="66"/>
      <c r="E949" s="66"/>
      <c r="F949" s="66"/>
    </row>
    <row r="950" spans="3:6" ht="14.25" customHeight="1" x14ac:dyDescent="0.3">
      <c r="C950" s="66"/>
      <c r="D950" s="66"/>
      <c r="E950" s="66"/>
      <c r="F950" s="66"/>
    </row>
    <row r="951" spans="3:6" ht="14.25" customHeight="1" x14ac:dyDescent="0.3">
      <c r="C951" s="66"/>
      <c r="D951" s="66"/>
      <c r="E951" s="66"/>
      <c r="F951" s="66"/>
    </row>
    <row r="952" spans="3:6" ht="14.25" customHeight="1" x14ac:dyDescent="0.3">
      <c r="C952" s="66"/>
      <c r="D952" s="66"/>
      <c r="E952" s="66"/>
      <c r="F952" s="66"/>
    </row>
    <row r="953" spans="3:6" ht="14.25" customHeight="1" x14ac:dyDescent="0.3">
      <c r="C953" s="66"/>
      <c r="D953" s="66"/>
      <c r="E953" s="66"/>
      <c r="F953" s="66"/>
    </row>
    <row r="954" spans="3:6" ht="14.25" customHeight="1" x14ac:dyDescent="0.3">
      <c r="C954" s="66"/>
      <c r="D954" s="66"/>
      <c r="E954" s="66"/>
      <c r="F954" s="66"/>
    </row>
    <row r="955" spans="3:6" ht="14.25" customHeight="1" x14ac:dyDescent="0.3">
      <c r="C955" s="66"/>
      <c r="D955" s="66"/>
      <c r="E955" s="66"/>
      <c r="F955" s="66"/>
    </row>
    <row r="956" spans="3:6" ht="14.25" customHeight="1" x14ac:dyDescent="0.3">
      <c r="C956" s="66"/>
      <c r="D956" s="66"/>
      <c r="E956" s="66"/>
      <c r="F956" s="66"/>
    </row>
    <row r="957" spans="3:6" ht="14.25" customHeight="1" x14ac:dyDescent="0.3">
      <c r="C957" s="66"/>
      <c r="D957" s="66"/>
      <c r="E957" s="66"/>
      <c r="F957" s="66"/>
    </row>
    <row r="958" spans="3:6" ht="14.25" customHeight="1" x14ac:dyDescent="0.3">
      <c r="C958" s="66"/>
      <c r="D958" s="66"/>
      <c r="E958" s="66"/>
      <c r="F958" s="66"/>
    </row>
    <row r="959" spans="3:6" ht="14.25" customHeight="1" x14ac:dyDescent="0.3">
      <c r="C959" s="66"/>
      <c r="D959" s="66"/>
      <c r="E959" s="66"/>
      <c r="F959" s="66"/>
    </row>
    <row r="960" spans="3:6" ht="14.25" customHeight="1" x14ac:dyDescent="0.3">
      <c r="C960" s="66"/>
      <c r="D960" s="66"/>
      <c r="E960" s="66"/>
      <c r="F960" s="66"/>
    </row>
    <row r="961" spans="3:6" ht="14.25" customHeight="1" x14ac:dyDescent="0.3">
      <c r="C961" s="66"/>
      <c r="D961" s="66"/>
      <c r="E961" s="66"/>
      <c r="F961" s="66"/>
    </row>
    <row r="962" spans="3:6" ht="14.25" customHeight="1" x14ac:dyDescent="0.3">
      <c r="C962" s="66"/>
      <c r="D962" s="66"/>
      <c r="E962" s="66"/>
      <c r="F962" s="66"/>
    </row>
    <row r="963" spans="3:6" ht="14.25" customHeight="1" x14ac:dyDescent="0.3">
      <c r="C963" s="66"/>
      <c r="D963" s="66"/>
      <c r="E963" s="66"/>
      <c r="F963" s="66"/>
    </row>
    <row r="964" spans="3:6" ht="14.25" customHeight="1" x14ac:dyDescent="0.3">
      <c r="C964" s="66"/>
      <c r="D964" s="66"/>
      <c r="E964" s="66"/>
      <c r="F964" s="66"/>
    </row>
    <row r="965" spans="3:6" ht="14.25" customHeight="1" x14ac:dyDescent="0.3">
      <c r="C965" s="66"/>
      <c r="D965" s="66"/>
      <c r="E965" s="66"/>
      <c r="F965" s="66"/>
    </row>
    <row r="966" spans="3:6" ht="14.25" customHeight="1" x14ac:dyDescent="0.3">
      <c r="C966" s="66"/>
      <c r="D966" s="66"/>
      <c r="E966" s="66"/>
      <c r="F966" s="66"/>
    </row>
    <row r="967" spans="3:6" ht="14.25" customHeight="1" x14ac:dyDescent="0.3">
      <c r="C967" s="66"/>
      <c r="D967" s="66"/>
      <c r="E967" s="66"/>
      <c r="F967" s="66"/>
    </row>
    <row r="968" spans="3:6" ht="14.25" customHeight="1" x14ac:dyDescent="0.3">
      <c r="C968" s="66"/>
      <c r="D968" s="66"/>
      <c r="E968" s="66"/>
      <c r="F968" s="66"/>
    </row>
    <row r="969" spans="3:6" ht="14.25" customHeight="1" x14ac:dyDescent="0.3">
      <c r="C969" s="66"/>
      <c r="D969" s="66"/>
      <c r="E969" s="66"/>
      <c r="F969" s="66"/>
    </row>
    <row r="970" spans="3:6" ht="14.25" customHeight="1" x14ac:dyDescent="0.3">
      <c r="C970" s="66"/>
      <c r="D970" s="66"/>
      <c r="E970" s="66"/>
      <c r="F970" s="66"/>
    </row>
    <row r="971" spans="3:6" ht="14.25" customHeight="1" x14ac:dyDescent="0.3">
      <c r="C971" s="66"/>
      <c r="D971" s="66"/>
      <c r="E971" s="66"/>
      <c r="F971" s="66"/>
    </row>
    <row r="972" spans="3:6" ht="14.25" customHeight="1" x14ac:dyDescent="0.3">
      <c r="C972" s="66"/>
      <c r="D972" s="66"/>
      <c r="E972" s="66"/>
      <c r="F972" s="66"/>
    </row>
    <row r="973" spans="3:6" ht="14.25" customHeight="1" x14ac:dyDescent="0.3">
      <c r="C973" s="66"/>
      <c r="D973" s="66"/>
      <c r="E973" s="66"/>
      <c r="F973" s="66"/>
    </row>
    <row r="974" spans="3:6" ht="14.25" customHeight="1" x14ac:dyDescent="0.3">
      <c r="C974" s="66"/>
      <c r="D974" s="66"/>
      <c r="E974" s="66"/>
      <c r="F974" s="66"/>
    </row>
    <row r="975" spans="3:6" ht="14.25" customHeight="1" x14ac:dyDescent="0.3">
      <c r="C975" s="66"/>
      <c r="D975" s="66"/>
      <c r="E975" s="66"/>
      <c r="F975" s="66"/>
    </row>
    <row r="976" spans="3:6" ht="14.25" customHeight="1" x14ac:dyDescent="0.3">
      <c r="C976" s="66"/>
      <c r="D976" s="66"/>
      <c r="E976" s="66"/>
      <c r="F976" s="66"/>
    </row>
    <row r="977" spans="3:6" ht="14.25" customHeight="1" x14ac:dyDescent="0.3">
      <c r="C977" s="66"/>
      <c r="D977" s="66"/>
      <c r="E977" s="66"/>
      <c r="F977" s="66"/>
    </row>
    <row r="978" spans="3:6" ht="14.25" customHeight="1" x14ac:dyDescent="0.3">
      <c r="C978" s="66"/>
      <c r="D978" s="66"/>
      <c r="E978" s="66"/>
      <c r="F978" s="66"/>
    </row>
    <row r="979" spans="3:6" ht="14.25" customHeight="1" x14ac:dyDescent="0.3">
      <c r="C979" s="66"/>
      <c r="D979" s="66"/>
      <c r="E979" s="66"/>
      <c r="F979" s="66"/>
    </row>
    <row r="980" spans="3:6" ht="14.25" customHeight="1" x14ac:dyDescent="0.3">
      <c r="C980" s="66"/>
      <c r="D980" s="66"/>
      <c r="E980" s="66"/>
      <c r="F980" s="66"/>
    </row>
    <row r="981" spans="3:6" ht="14.25" customHeight="1" x14ac:dyDescent="0.3">
      <c r="C981" s="66"/>
      <c r="D981" s="66"/>
      <c r="E981" s="66"/>
      <c r="F981" s="66"/>
    </row>
    <row r="982" spans="3:6" ht="14.25" customHeight="1" x14ac:dyDescent="0.3">
      <c r="C982" s="66"/>
      <c r="D982" s="66"/>
      <c r="E982" s="66"/>
      <c r="F982" s="66"/>
    </row>
    <row r="983" spans="3:6" ht="14.25" customHeight="1" x14ac:dyDescent="0.3">
      <c r="C983" s="66"/>
      <c r="D983" s="66"/>
      <c r="E983" s="66"/>
      <c r="F983" s="66"/>
    </row>
    <row r="984" spans="3:6" ht="14.25" customHeight="1" x14ac:dyDescent="0.3">
      <c r="C984" s="66"/>
      <c r="D984" s="66"/>
      <c r="E984" s="66"/>
      <c r="F984" s="66"/>
    </row>
    <row r="985" spans="3:6" ht="14.25" customHeight="1" x14ac:dyDescent="0.3">
      <c r="C985" s="66"/>
      <c r="D985" s="66"/>
      <c r="E985" s="66"/>
      <c r="F985" s="66"/>
    </row>
    <row r="986" spans="3:6" ht="14.25" customHeight="1" x14ac:dyDescent="0.3">
      <c r="C986" s="66"/>
      <c r="D986" s="66"/>
      <c r="E986" s="66"/>
      <c r="F986" s="66"/>
    </row>
    <row r="987" spans="3:6" ht="14.25" customHeight="1" x14ac:dyDescent="0.3">
      <c r="C987" s="66"/>
      <c r="D987" s="66"/>
      <c r="E987" s="66"/>
      <c r="F987" s="66"/>
    </row>
    <row r="988" spans="3:6" ht="14.25" customHeight="1" x14ac:dyDescent="0.3">
      <c r="C988" s="66"/>
      <c r="D988" s="66"/>
      <c r="E988" s="66"/>
      <c r="F988" s="66"/>
    </row>
    <row r="989" spans="3:6" ht="14.25" customHeight="1" x14ac:dyDescent="0.3">
      <c r="C989" s="66"/>
      <c r="D989" s="66"/>
      <c r="E989" s="66"/>
      <c r="F989" s="66"/>
    </row>
    <row r="990" spans="3:6" ht="14.25" customHeight="1" x14ac:dyDescent="0.3">
      <c r="C990" s="66"/>
      <c r="D990" s="66"/>
      <c r="E990" s="66"/>
      <c r="F990" s="66"/>
    </row>
    <row r="991" spans="3:6" ht="14.25" customHeight="1" x14ac:dyDescent="0.3">
      <c r="C991" s="66"/>
      <c r="D991" s="66"/>
      <c r="E991" s="66"/>
      <c r="F991" s="66"/>
    </row>
    <row r="992" spans="3:6" ht="14.25" customHeight="1" x14ac:dyDescent="0.3">
      <c r="C992" s="66"/>
      <c r="D992" s="66"/>
      <c r="E992" s="66"/>
      <c r="F992" s="66"/>
    </row>
    <row r="993" spans="3:6" ht="14.25" customHeight="1" x14ac:dyDescent="0.3">
      <c r="C993" s="66"/>
      <c r="D993" s="66"/>
      <c r="E993" s="66"/>
      <c r="F993" s="66"/>
    </row>
    <row r="994" spans="3:6" ht="14.25" customHeight="1" x14ac:dyDescent="0.3">
      <c r="C994" s="66"/>
      <c r="D994" s="66"/>
      <c r="E994" s="66"/>
      <c r="F994" s="66"/>
    </row>
    <row r="995" spans="3:6" ht="14.25" customHeight="1" x14ac:dyDescent="0.3">
      <c r="C995" s="66"/>
      <c r="D995" s="66"/>
      <c r="E995" s="66"/>
      <c r="F995" s="66"/>
    </row>
    <row r="996" spans="3:6" ht="14.25" customHeight="1" x14ac:dyDescent="0.3">
      <c r="C996" s="66"/>
      <c r="D996" s="66"/>
      <c r="E996" s="66"/>
      <c r="F996" s="66"/>
    </row>
    <row r="997" spans="3:6" ht="14.25" customHeight="1" x14ac:dyDescent="0.3">
      <c r="C997" s="66"/>
      <c r="D997" s="66"/>
      <c r="E997" s="66"/>
      <c r="F997" s="66"/>
    </row>
    <row r="998" spans="3:6" ht="14.25" customHeight="1" x14ac:dyDescent="0.3">
      <c r="C998" s="66"/>
      <c r="D998" s="66"/>
      <c r="E998" s="66"/>
      <c r="F998" s="66"/>
    </row>
  </sheetData>
  <mergeCells count="13">
    <mergeCell ref="B1:F1"/>
    <mergeCell ref="C2:F2"/>
    <mergeCell ref="C31:C32"/>
    <mergeCell ref="D31:D32"/>
    <mergeCell ref="D10:D12"/>
    <mergeCell ref="F10:F12"/>
    <mergeCell ref="E10:E12"/>
    <mergeCell ref="E31:E32"/>
    <mergeCell ref="F31:F32"/>
    <mergeCell ref="A53:A60"/>
    <mergeCell ref="D53:D60"/>
    <mergeCell ref="E53:E60"/>
    <mergeCell ref="F53:F6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POER AC 2.0 CD 4X4 TM DIESEL</vt:lpstr>
      <vt:lpstr>POER AC 2.0 CD 4X2 TM DIESE</vt:lpstr>
      <vt:lpstr>CRONOGRAMA MANT POER 4X4</vt:lpstr>
      <vt:lpstr>CONSOLIDADO DE VALORES</vt:lpstr>
      <vt:lpstr>REF MANT CORRECTIVO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AMBACAR</dc:creator>
  <cp:lastModifiedBy>AMBACAR</cp:lastModifiedBy>
  <dcterms:created xsi:type="dcterms:W3CDTF">2023-09-29T23:20:19Z</dcterms:created>
  <dcterms:modified xsi:type="dcterms:W3CDTF">2026-08-06T17:39:56Z</dcterms:modified>
</cp:coreProperties>
</file>