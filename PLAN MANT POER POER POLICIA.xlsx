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MBACAR\Desktop\PROFORMAS INICIO DE PROCESO\PLANES DE MANTENIMEINTO VIGENTES\"/>
    </mc:Choice>
  </mc:AlternateContent>
  <xr:revisionPtr revIDLastSave="0" documentId="13_ncr:1_{AB676225-DBC1-4EEA-B5B3-99313F6FD13F}" xr6:coauthVersionLast="47" xr6:coauthVersionMax="47" xr10:uidLastSave="{00000000-0000-0000-0000-000000000000}"/>
  <bookViews>
    <workbookView xWindow="28680" yWindow="-120" windowWidth="20730" windowHeight="11040" firstSheet="3" activeTab="3" xr2:uid="{00000000-000D-0000-FFFF-FFFF00000000}"/>
  </bookViews>
  <sheets>
    <sheet name="Hoja1" sheetId="1" state="hidden" r:id="rId1"/>
    <sheet name="CRONOGRAMA MANT POER 4X4" sheetId="2" state="hidden" r:id="rId2"/>
    <sheet name="POER AC 2.0 CD 4X2 TM DIESEL" sheetId="3" state="hidden" r:id="rId3"/>
    <sheet name="POER AC 2.0 CD 4X4 TM DIESEL" sheetId="4" r:id="rId4"/>
    <sheet name="CONSOLIDADO DE VALORES" sheetId="5" r:id="rId5"/>
    <sheet name="REF MANT CORRECTIV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mhAcJ7caPwQzGqosA2fQzRfBTeVgWjh8kbfHfS/0+Vk="/>
    </ext>
  </extLst>
</workbook>
</file>

<file path=xl/calcChain.xml><?xml version="1.0" encoding="utf-8"?>
<calcChain xmlns="http://schemas.openxmlformats.org/spreadsheetml/2006/main">
  <c r="F67" i="6" l="1"/>
  <c r="F66" i="6"/>
  <c r="F65" i="6"/>
  <c r="F64" i="6"/>
  <c r="D63" i="6"/>
  <c r="C63" i="6"/>
  <c r="F63" i="6" s="1"/>
  <c r="F62" i="6"/>
  <c r="D62" i="6"/>
  <c r="C62" i="6"/>
  <c r="D61" i="6"/>
  <c r="F61" i="6" s="1"/>
  <c r="C61" i="6"/>
  <c r="D60" i="6"/>
  <c r="C60" i="6"/>
  <c r="F60" i="6" s="1"/>
  <c r="D59" i="6"/>
  <c r="C59" i="6"/>
  <c r="F59" i="6" s="1"/>
  <c r="D58" i="6"/>
  <c r="C58" i="6"/>
  <c r="F58" i="6" s="1"/>
  <c r="F57" i="6"/>
  <c r="D57" i="6"/>
  <c r="D56" i="6"/>
  <c r="F56" i="6" s="1"/>
  <c r="C55" i="6"/>
  <c r="F55" i="6" s="1"/>
  <c r="C54" i="6"/>
  <c r="F54" i="6" s="1"/>
  <c r="F53" i="6"/>
  <c r="C53" i="6"/>
  <c r="C52" i="6"/>
  <c r="F52" i="6" s="1"/>
  <c r="C51" i="6"/>
  <c r="F51" i="6" s="1"/>
  <c r="C50" i="6"/>
  <c r="F50" i="6" s="1"/>
  <c r="F49" i="6"/>
  <c r="C49" i="6"/>
  <c r="C48" i="6"/>
  <c r="F48" i="6" s="1"/>
  <c r="C47" i="6"/>
  <c r="F47" i="6" s="1"/>
  <c r="C46" i="6"/>
  <c r="F46" i="6" s="1"/>
  <c r="F45" i="6"/>
  <c r="C45" i="6"/>
  <c r="C44" i="6"/>
  <c r="F44" i="6" s="1"/>
  <c r="C43" i="6"/>
  <c r="F43" i="6" s="1"/>
  <c r="C42" i="6"/>
  <c r="F42" i="6" s="1"/>
  <c r="F41" i="6"/>
  <c r="C41" i="6"/>
  <c r="C40" i="6"/>
  <c r="F40" i="6" s="1"/>
  <c r="F39" i="6"/>
  <c r="F38" i="6"/>
  <c r="F37" i="6"/>
  <c r="F36" i="6"/>
  <c r="F35" i="6"/>
  <c r="F34" i="6"/>
  <c r="F33" i="6"/>
  <c r="F32" i="6"/>
  <c r="F29" i="6"/>
  <c r="F28" i="6"/>
  <c r="C28" i="6"/>
  <c r="C27" i="6"/>
  <c r="F27" i="6" s="1"/>
  <c r="F26" i="6"/>
  <c r="C26" i="6"/>
  <c r="F23" i="6"/>
  <c r="F22" i="6"/>
  <c r="F21" i="6"/>
  <c r="C21" i="6"/>
  <c r="C20" i="6"/>
  <c r="F20" i="6" s="1"/>
  <c r="F19" i="6"/>
  <c r="C18" i="6"/>
  <c r="F18" i="6" s="1"/>
  <c r="F17" i="6"/>
  <c r="F16" i="6"/>
  <c r="F15" i="6"/>
  <c r="C14" i="6"/>
  <c r="F14" i="6" s="1"/>
  <c r="F13" i="6"/>
  <c r="C13" i="6"/>
  <c r="C12" i="6"/>
  <c r="F12" i="6" s="1"/>
  <c r="F9" i="6"/>
  <c r="C8" i="6"/>
  <c r="F8" i="6" s="1"/>
  <c r="F7" i="6"/>
  <c r="C7" i="6"/>
  <c r="C6" i="6"/>
  <c r="F6" i="6" s="1"/>
  <c r="C5" i="6"/>
  <c r="F5" i="6" s="1"/>
  <c r="C4" i="6"/>
  <c r="F4" i="6" s="1"/>
  <c r="R40" i="4"/>
  <c r="J40" i="4"/>
  <c r="B40" i="4"/>
  <c r="Y39" i="4"/>
  <c r="X39" i="4"/>
  <c r="W39" i="4"/>
  <c r="V39" i="4"/>
  <c r="U39" i="4"/>
  <c r="T39" i="4"/>
  <c r="T40" i="4" s="1"/>
  <c r="S39" i="4"/>
  <c r="S40" i="4" s="1"/>
  <c r="R39" i="4"/>
  <c r="Q39" i="4"/>
  <c r="P39" i="4"/>
  <c r="O39" i="4"/>
  <c r="N39" i="4"/>
  <c r="M39" i="4"/>
  <c r="L39" i="4"/>
  <c r="L40" i="4" s="1"/>
  <c r="K39" i="4"/>
  <c r="K40" i="4" s="1"/>
  <c r="J39" i="4"/>
  <c r="I39" i="4"/>
  <c r="H39" i="4"/>
  <c r="G39" i="4"/>
  <c r="F39" i="4"/>
  <c r="E39" i="4"/>
  <c r="D39" i="4"/>
  <c r="D40" i="4" s="1"/>
  <c r="C39" i="4"/>
  <c r="C40" i="4" s="1"/>
  <c r="B39" i="4"/>
  <c r="Z39" i="4" s="1"/>
  <c r="E5" i="5" s="1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Z29" i="4" s="1"/>
  <c r="D30" i="4"/>
  <c r="C30" i="4"/>
  <c r="B30" i="4"/>
  <c r="Z30" i="4" s="1"/>
  <c r="E4" i="5" s="1"/>
  <c r="Y17" i="4"/>
  <c r="Y40" i="4" s="1"/>
  <c r="X17" i="4"/>
  <c r="X40" i="4" s="1"/>
  <c r="W17" i="4"/>
  <c r="W40" i="4" s="1"/>
  <c r="V17" i="4"/>
  <c r="V40" i="4" s="1"/>
  <c r="U17" i="4"/>
  <c r="U40" i="4" s="1"/>
  <c r="T17" i="4"/>
  <c r="S17" i="4"/>
  <c r="R17" i="4"/>
  <c r="Q17" i="4"/>
  <c r="Q40" i="4" s="1"/>
  <c r="P17" i="4"/>
  <c r="P40" i="4" s="1"/>
  <c r="O17" i="4"/>
  <c r="O40" i="4" s="1"/>
  <c r="N17" i="4"/>
  <c r="N40" i="4" s="1"/>
  <c r="M17" i="4"/>
  <c r="M40" i="4" s="1"/>
  <c r="L17" i="4"/>
  <c r="K17" i="4"/>
  <c r="J17" i="4"/>
  <c r="I17" i="4"/>
  <c r="I40" i="4" s="1"/>
  <c r="H17" i="4"/>
  <c r="H40" i="4" s="1"/>
  <c r="G17" i="4"/>
  <c r="G40" i="4" s="1"/>
  <c r="F17" i="4"/>
  <c r="F40" i="4" s="1"/>
  <c r="E17" i="4"/>
  <c r="E40" i="4" s="1"/>
  <c r="D17" i="4"/>
  <c r="C17" i="4"/>
  <c r="B17" i="4"/>
  <c r="Z17" i="4" s="1"/>
  <c r="E3" i="5" s="1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AA36" i="3" s="1"/>
  <c r="E14" i="5" s="1"/>
  <c r="B36" i="3"/>
  <c r="AA35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AA27" i="3" s="1"/>
  <c r="E13" i="5" s="1"/>
  <c r="B27" i="3"/>
  <c r="AA26" i="3"/>
  <c r="Z15" i="3"/>
  <c r="Z37" i="3" s="1"/>
  <c r="Y15" i="3"/>
  <c r="Y37" i="3" s="1"/>
  <c r="X15" i="3"/>
  <c r="X37" i="3" s="1"/>
  <c r="W15" i="3"/>
  <c r="W37" i="3" s="1"/>
  <c r="V15" i="3"/>
  <c r="V37" i="3" s="1"/>
  <c r="U15" i="3"/>
  <c r="U37" i="3" s="1"/>
  <c r="T15" i="3"/>
  <c r="T37" i="3" s="1"/>
  <c r="S15" i="3"/>
  <c r="S37" i="3" s="1"/>
  <c r="R15" i="3"/>
  <c r="R37" i="3" s="1"/>
  <c r="Q15" i="3"/>
  <c r="Q37" i="3" s="1"/>
  <c r="P15" i="3"/>
  <c r="P37" i="3" s="1"/>
  <c r="O15" i="3"/>
  <c r="O37" i="3" s="1"/>
  <c r="N15" i="3"/>
  <c r="N37" i="3" s="1"/>
  <c r="M15" i="3"/>
  <c r="M37" i="3" s="1"/>
  <c r="L15" i="3"/>
  <c r="L37" i="3" s="1"/>
  <c r="K15" i="3"/>
  <c r="K37" i="3" s="1"/>
  <c r="J15" i="3"/>
  <c r="J37" i="3" s="1"/>
  <c r="I15" i="3"/>
  <c r="I37" i="3" s="1"/>
  <c r="H15" i="3"/>
  <c r="H37" i="3" s="1"/>
  <c r="G15" i="3"/>
  <c r="G37" i="3" s="1"/>
  <c r="F15" i="3"/>
  <c r="F37" i="3" s="1"/>
  <c r="E15" i="3"/>
  <c r="E37" i="3" s="1"/>
  <c r="D15" i="3"/>
  <c r="D37" i="3" s="1"/>
  <c r="C15" i="3"/>
  <c r="C37" i="3" s="1"/>
  <c r="B15" i="3"/>
  <c r="B37" i="3" s="1"/>
  <c r="Z24" i="2"/>
  <c r="Y24" i="2"/>
  <c r="R24" i="2"/>
  <c r="Q24" i="2"/>
  <c r="J24" i="2"/>
  <c r="I24" i="2"/>
  <c r="B24" i="2"/>
  <c r="Z23" i="2"/>
  <c r="Y23" i="2"/>
  <c r="X23" i="2"/>
  <c r="W23" i="2"/>
  <c r="V23" i="2"/>
  <c r="U23" i="2"/>
  <c r="T23" i="2"/>
  <c r="S23" i="2"/>
  <c r="S24" i="2" s="1"/>
  <c r="R23" i="2"/>
  <c r="Q23" i="2"/>
  <c r="P23" i="2"/>
  <c r="O23" i="2"/>
  <c r="N23" i="2"/>
  <c r="M23" i="2"/>
  <c r="L23" i="2"/>
  <c r="K23" i="2"/>
  <c r="K24" i="2" s="1"/>
  <c r="J23" i="2"/>
  <c r="I23" i="2"/>
  <c r="H23" i="2"/>
  <c r="G23" i="2"/>
  <c r="F23" i="2"/>
  <c r="E23" i="2"/>
  <c r="D23" i="2"/>
  <c r="C23" i="2"/>
  <c r="C24" i="2" s="1"/>
  <c r="B23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Z8" i="2"/>
  <c r="Y8" i="2"/>
  <c r="X8" i="2"/>
  <c r="X24" i="2" s="1"/>
  <c r="W8" i="2"/>
  <c r="W24" i="2" s="1"/>
  <c r="V8" i="2"/>
  <c r="V24" i="2" s="1"/>
  <c r="U8" i="2"/>
  <c r="U24" i="2" s="1"/>
  <c r="T8" i="2"/>
  <c r="T24" i="2" s="1"/>
  <c r="S8" i="2"/>
  <c r="R8" i="2"/>
  <c r="Q8" i="2"/>
  <c r="P8" i="2"/>
  <c r="P24" i="2" s="1"/>
  <c r="O8" i="2"/>
  <c r="O24" i="2" s="1"/>
  <c r="N8" i="2"/>
  <c r="N24" i="2" s="1"/>
  <c r="M8" i="2"/>
  <c r="M24" i="2" s="1"/>
  <c r="L8" i="2"/>
  <c r="L24" i="2" s="1"/>
  <c r="K8" i="2"/>
  <c r="J8" i="2"/>
  <c r="I8" i="2"/>
  <c r="H8" i="2"/>
  <c r="H24" i="2" s="1"/>
  <c r="G8" i="2"/>
  <c r="G24" i="2" s="1"/>
  <c r="F8" i="2"/>
  <c r="F24" i="2" s="1"/>
  <c r="E8" i="2"/>
  <c r="E24" i="2" s="1"/>
  <c r="D8" i="2"/>
  <c r="D24" i="2" s="1"/>
  <c r="C8" i="2"/>
  <c r="B8" i="2"/>
  <c r="O80" i="1"/>
  <c r="N80" i="1"/>
  <c r="M80" i="1"/>
  <c r="L80" i="1"/>
  <c r="L75" i="1" s="1"/>
  <c r="K80" i="1"/>
  <c r="J80" i="1"/>
  <c r="I80" i="1"/>
  <c r="H80" i="1"/>
  <c r="G80" i="1"/>
  <c r="F80" i="1"/>
  <c r="E80" i="1"/>
  <c r="D80" i="1"/>
  <c r="D75" i="1" s="1"/>
  <c r="C80" i="1"/>
  <c r="B80" i="1"/>
  <c r="I78" i="1"/>
  <c r="O77" i="1"/>
  <c r="O78" i="1" s="1"/>
  <c r="N77" i="1"/>
  <c r="N78" i="1" s="1"/>
  <c r="I77" i="1"/>
  <c r="H77" i="1"/>
  <c r="H78" i="1" s="1"/>
  <c r="G77" i="1"/>
  <c r="G78" i="1" s="1"/>
  <c r="F77" i="1"/>
  <c r="F78" i="1" s="1"/>
  <c r="M75" i="1"/>
  <c r="E75" i="1"/>
  <c r="O74" i="1"/>
  <c r="N74" i="1"/>
  <c r="M74" i="1"/>
  <c r="M77" i="1" s="1"/>
  <c r="M78" i="1" s="1"/>
  <c r="L74" i="1"/>
  <c r="L77" i="1" s="1"/>
  <c r="L78" i="1" s="1"/>
  <c r="K74" i="1"/>
  <c r="K77" i="1" s="1"/>
  <c r="K78" i="1" s="1"/>
  <c r="J74" i="1"/>
  <c r="J77" i="1" s="1"/>
  <c r="J78" i="1" s="1"/>
  <c r="I74" i="1"/>
  <c r="H74" i="1"/>
  <c r="G74" i="1"/>
  <c r="F74" i="1"/>
  <c r="E74" i="1"/>
  <c r="E77" i="1" s="1"/>
  <c r="E78" i="1" s="1"/>
  <c r="D74" i="1"/>
  <c r="D77" i="1" s="1"/>
  <c r="D78" i="1" s="1"/>
  <c r="C74" i="1"/>
  <c r="C77" i="1" s="1"/>
  <c r="C78" i="1" s="1"/>
  <c r="B74" i="1"/>
  <c r="B77" i="1" s="1"/>
  <c r="B78" i="1" s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O59" i="1"/>
  <c r="O75" i="1" s="1"/>
  <c r="N59" i="1"/>
  <c r="N75" i="1" s="1"/>
  <c r="M59" i="1"/>
  <c r="L59" i="1"/>
  <c r="K59" i="1"/>
  <c r="K75" i="1" s="1"/>
  <c r="J59" i="1"/>
  <c r="J75" i="1" s="1"/>
  <c r="I59" i="1"/>
  <c r="I75" i="1" s="1"/>
  <c r="H59" i="1"/>
  <c r="H75" i="1" s="1"/>
  <c r="G59" i="1"/>
  <c r="G75" i="1" s="1"/>
  <c r="F59" i="1"/>
  <c r="F75" i="1" s="1"/>
  <c r="E59" i="1"/>
  <c r="D59" i="1"/>
  <c r="C59" i="1"/>
  <c r="C75" i="1" s="1"/>
  <c r="B59" i="1"/>
  <c r="B75" i="1" s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K47" i="1"/>
  <c r="J47" i="1"/>
  <c r="I47" i="1"/>
  <c r="H47" i="1"/>
  <c r="C47" i="1"/>
  <c r="B47" i="1"/>
  <c r="O45" i="1"/>
  <c r="N45" i="1"/>
  <c r="G45" i="1"/>
  <c r="F45" i="1"/>
  <c r="O44" i="1"/>
  <c r="O47" i="1" s="1"/>
  <c r="N44" i="1"/>
  <c r="N47" i="1" s="1"/>
  <c r="M44" i="1"/>
  <c r="M47" i="1" s="1"/>
  <c r="L44" i="1"/>
  <c r="L47" i="1" s="1"/>
  <c r="K44" i="1"/>
  <c r="J44" i="1"/>
  <c r="I44" i="1"/>
  <c r="H44" i="1"/>
  <c r="G44" i="1"/>
  <c r="G47" i="1" s="1"/>
  <c r="F44" i="1"/>
  <c r="F47" i="1" s="1"/>
  <c r="E44" i="1"/>
  <c r="E47" i="1" s="1"/>
  <c r="D44" i="1"/>
  <c r="D47" i="1" s="1"/>
  <c r="C44" i="1"/>
  <c r="B44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O30" i="1"/>
  <c r="N30" i="1"/>
  <c r="M30" i="1"/>
  <c r="M45" i="1" s="1"/>
  <c r="L30" i="1"/>
  <c r="L45" i="1" s="1"/>
  <c r="K30" i="1"/>
  <c r="K45" i="1" s="1"/>
  <c r="J30" i="1"/>
  <c r="J45" i="1" s="1"/>
  <c r="I30" i="1"/>
  <c r="I45" i="1" s="1"/>
  <c r="H30" i="1"/>
  <c r="H45" i="1" s="1"/>
  <c r="G30" i="1"/>
  <c r="F30" i="1"/>
  <c r="E30" i="1"/>
  <c r="E45" i="1" s="1"/>
  <c r="D30" i="1"/>
  <c r="D45" i="1" s="1"/>
  <c r="C30" i="1"/>
  <c r="C45" i="1" s="1"/>
  <c r="B30" i="1"/>
  <c r="B45" i="1" s="1"/>
  <c r="E6" i="5" l="1"/>
  <c r="E7" i="5" s="1"/>
  <c r="AA37" i="3"/>
  <c r="AA15" i="3"/>
  <c r="E12" i="5" s="1"/>
  <c r="Z38" i="4"/>
  <c r="E15" i="5" l="1"/>
  <c r="E16" i="5" s="1"/>
</calcChain>
</file>

<file path=xl/sharedStrings.xml><?xml version="1.0" encoding="utf-8"?>
<sst xmlns="http://schemas.openxmlformats.org/spreadsheetml/2006/main" count="340" uniqueCount="169">
  <si>
    <t>GWM POER GASOLINA</t>
  </si>
  <si>
    <t>CRONOGRAMA DE MANTENIMIENTO POER AC 2.0 CD 4X4 TM DIESEL</t>
  </si>
  <si>
    <t>PLAN DE MANTENIMIENTO POER AC 2.0 CD 4X2 TM DIESEL</t>
  </si>
  <si>
    <t>A/F</t>
  </si>
  <si>
    <t>GWM POER DIESEL</t>
  </si>
  <si>
    <t>PLAN DE MANTENIMIENTO PATRULLEROS</t>
  </si>
  <si>
    <t>5.000 KM</t>
  </si>
  <si>
    <t>ACEITE MOTOR</t>
  </si>
  <si>
    <t>10.000 KM</t>
  </si>
  <si>
    <t>15.000 KM</t>
  </si>
  <si>
    <t>20.000 KM</t>
  </si>
  <si>
    <t>25.000 KM</t>
  </si>
  <si>
    <t>30.000 KM</t>
  </si>
  <si>
    <t>35.000 KM</t>
  </si>
  <si>
    <t>40.000 KM</t>
  </si>
  <si>
    <t>45.000 KM</t>
  </si>
  <si>
    <t>50.000 KM</t>
  </si>
  <si>
    <t>FILTRO DE ACEITE</t>
  </si>
  <si>
    <t>55.000 KM</t>
  </si>
  <si>
    <t>60.000 KM</t>
  </si>
  <si>
    <t>65.000 KM</t>
  </si>
  <si>
    <t>70.000 KM</t>
  </si>
  <si>
    <t>75.000 KM</t>
  </si>
  <si>
    <t>FILTRO DE GASOLINA</t>
  </si>
  <si>
    <t>80.000 KM</t>
  </si>
  <si>
    <t>85.000 KM</t>
  </si>
  <si>
    <t>90.000 KM</t>
  </si>
  <si>
    <t>95.000 KM</t>
  </si>
  <si>
    <t>100.000 KM</t>
  </si>
  <si>
    <t>105.000 KM</t>
  </si>
  <si>
    <t>110.000 KM</t>
  </si>
  <si>
    <t>115.000 KM</t>
  </si>
  <si>
    <t>120.000 KM</t>
  </si>
  <si>
    <t>FILTRO DE AIRE</t>
  </si>
  <si>
    <t>PASTILLAS DE FRENO DEL</t>
  </si>
  <si>
    <t>PASTILLAS DE FRENO POST</t>
  </si>
  <si>
    <t>X</t>
  </si>
  <si>
    <t>FILTRO DE COMBUSTIBLE</t>
  </si>
  <si>
    <t>LIQUIDO INYECTORES</t>
  </si>
  <si>
    <t>LIMPIADOR DE FRENOS</t>
  </si>
  <si>
    <t>LIMPIADOR DE ADMISION</t>
  </si>
  <si>
    <t>REFRIGERANTE</t>
  </si>
  <si>
    <t>ACEITE DE CAJA Y TRANS</t>
  </si>
  <si>
    <t>BUJIAS</t>
  </si>
  <si>
    <t>SUMINISTROS</t>
  </si>
  <si>
    <t>LIMPIA TANQUES BG</t>
  </si>
  <si>
    <t>LIQUIDO DE FRENOS</t>
  </si>
  <si>
    <t>TOTAL REPUESTOS</t>
  </si>
  <si>
    <t>KIT BANDA DE ACCESORIOS</t>
  </si>
  <si>
    <t>MANO DE OBRA</t>
  </si>
  <si>
    <t>ALINEACION Y BALANCEO</t>
  </si>
  <si>
    <t>LIMPIEZA DE INYECTORES</t>
  </si>
  <si>
    <t>FILTRO DE CABINA A/C</t>
  </si>
  <si>
    <t>TOTAL M/O</t>
  </si>
  <si>
    <t>TOTAL</t>
  </si>
  <si>
    <t>BASE TERMOSTATO Y TERMOSTATO</t>
  </si>
  <si>
    <t>BANDA DE ACCESORIOS</t>
  </si>
  <si>
    <t>TEMPLADOR BANDA DISTRIBUCION</t>
  </si>
  <si>
    <t>TERMOSTATO</t>
  </si>
  <si>
    <t>BANDA DE DISTRIBUCION</t>
  </si>
  <si>
    <t>BASE TERMOSTATO</t>
  </si>
  <si>
    <t>RODAMIENTO BANDA DISTRIBUCION</t>
  </si>
  <si>
    <t>TEMPLADOR BANDA DISTRIBUCION 4D20M</t>
  </si>
  <si>
    <t>ARANDELA DE TAPON DE CARTER</t>
  </si>
  <si>
    <t>RODAMIENTO BANDA DISTRIBUCION  4D20M</t>
  </si>
  <si>
    <t>TOTAL LUBRICANTES E INSUMOS</t>
  </si>
  <si>
    <t>ACEITE MOTOR(6l)</t>
  </si>
  <si>
    <t>LAVADO</t>
  </si>
  <si>
    <t>REFRIGERANTE(8l)</t>
  </si>
  <si>
    <t>ACEITE DE CAJA 75W80(3l)</t>
  </si>
  <si>
    <t>SHINERAY G01</t>
  </si>
  <si>
    <t>ACEITE DE TRANSMISION 80W90 POST(3l)</t>
  </si>
  <si>
    <t>TOTAL LUBRICANTES</t>
  </si>
  <si>
    <t>ACEITE DIRECCION HIDRAULICA(1L)</t>
  </si>
  <si>
    <t>PASTILLAS DE FRENOS POST</t>
  </si>
  <si>
    <t>LIQUIDO DE FRENOS(2)</t>
  </si>
  <si>
    <t>ACEITE DE TRANSMISION 80W90 DEL (3l)</t>
  </si>
  <si>
    <t>ACEITE PARA TRANSFER</t>
  </si>
  <si>
    <t>BALANCEO</t>
  </si>
  <si>
    <t>DIRECCION HIDARULICA</t>
  </si>
  <si>
    <t>ACEITE CAJA DE TRANSFERENCIA(2l)</t>
  </si>
  <si>
    <t>ALINEACION</t>
  </si>
  <si>
    <t>TOTAL MANTENIMIENTO X KM</t>
  </si>
  <si>
    <t>REAJUSTE DEFENSAS METALICAS</t>
  </si>
  <si>
    <t>CALIBRACIÓN SISTEMA DE VIGILANCIA</t>
  </si>
  <si>
    <t xml:space="preserve">ALINEACION </t>
  </si>
  <si>
    <t>COSTOS MANTENIMIENTO POER  4X4</t>
  </si>
  <si>
    <t>CANTIDAD DE VEHICULOS</t>
  </si>
  <si>
    <t>Total Repuestos</t>
  </si>
  <si>
    <t>Mantenimiento preventivo</t>
  </si>
  <si>
    <t>Total Lubricantes</t>
  </si>
  <si>
    <t>Total Mano de Obra</t>
  </si>
  <si>
    <t>Mantenimiento correctivo</t>
  </si>
  <si>
    <t>Se considera un valor aproximado del 30% del costo total de mantenimientos preventivos</t>
  </si>
  <si>
    <t>Total 1 + 2 + 3 + 4</t>
  </si>
  <si>
    <t>Costos no incluyen IVA</t>
  </si>
  <si>
    <t>COSTOS MANTENIMIENTO POER 7 4X2</t>
  </si>
  <si>
    <t>MARCA</t>
  </si>
  <si>
    <t>GWM</t>
  </si>
  <si>
    <t>MODELO</t>
  </si>
  <si>
    <t>POER 2.0 AC 4X4</t>
  </si>
  <si>
    <t>MANTENIMIENTOS CORRECTIVOS</t>
  </si>
  <si>
    <t>ITEM</t>
  </si>
  <si>
    <t>DESCRIPCION</t>
  </si>
  <si>
    <t xml:space="preserve"> Total M/O </t>
  </si>
  <si>
    <t xml:space="preserve"> SUBTOTAL </t>
  </si>
  <si>
    <t>BOMBA DE COMBUSTIBLE ALTA PRESION</t>
  </si>
  <si>
    <t>BOMBA AGUA</t>
  </si>
  <si>
    <t>BOMBA DIRECCION HIDRAULICA</t>
  </si>
  <si>
    <t>AMORTIGUADORES DELANTEROS</t>
  </si>
  <si>
    <t>AMORTIGUADORES POSTERIORES</t>
  </si>
  <si>
    <t>DISCO Y PLATO EMBRAGUE</t>
  </si>
  <si>
    <t>RODAMIENTO EMBRAGUE</t>
  </si>
  <si>
    <t>RODAMIENTO VOLANTE</t>
  </si>
  <si>
    <t>RODAMIENTOS PUNTAS DE EJE DELANTEROS (4)</t>
  </si>
  <si>
    <t>DISCOS DE FRENO DELANTEROS</t>
  </si>
  <si>
    <t>DISCOS DE FRENO POSTERIORES</t>
  </si>
  <si>
    <t>BUJES DEL COLGANTE DEL PAQUETE POSTERIOR (8)</t>
  </si>
  <si>
    <t>PAQUETE POSTERIOR</t>
  </si>
  <si>
    <t>EJE CARDAN COMPLETO</t>
  </si>
  <si>
    <t>BOMBA DE FRENO</t>
  </si>
  <si>
    <t>BOMBA DE EMBRAGUE (PRINCIPAL)</t>
  </si>
  <si>
    <t xml:space="preserve">INYECTORES </t>
  </si>
  <si>
    <t>CREMALLERA DE DIRECCION</t>
  </si>
  <si>
    <t>TERMINJAL DE LA DIRECCIÓN RH</t>
  </si>
  <si>
    <t>TERMINJAL DE LA DIRECCIÓN LH</t>
  </si>
  <si>
    <t>MESAS SUPERIORES</t>
  </si>
  <si>
    <t>MESAS INFERIORES</t>
  </si>
  <si>
    <t>COMPRESOR A/C</t>
  </si>
  <si>
    <t>BANDA DE SERVICIO</t>
  </si>
  <si>
    <t>PAQUETES DE RESORTES POSTERIORES</t>
  </si>
  <si>
    <t>SENSOR TPMS</t>
  </si>
  <si>
    <t>PLUMAS LH(LIMPIAPRABRISAS)</t>
  </si>
  <si>
    <t>PLUMAS RH(LIMPIAPRABRISAS)</t>
  </si>
  <si>
    <t>PASTILLAS DE FRENO POST.</t>
  </si>
  <si>
    <t>FOCOS 1 CONTACTO</t>
  </si>
  <si>
    <t>FOCOS 2 CONTACTOS</t>
  </si>
  <si>
    <t xml:space="preserve">FOCOS HALÓGENO </t>
  </si>
  <si>
    <t>BATERIA</t>
  </si>
  <si>
    <t>ENLLANTAJE C/U</t>
  </si>
  <si>
    <t>PARCHE  NEUMÁTICO C/U</t>
  </si>
  <si>
    <t>VIVOTEK GRABADOR MOBILE</t>
  </si>
  <si>
    <t>MONITOR 10"</t>
  </si>
  <si>
    <t>VIVOTEK CAMARA MOBILE</t>
  </si>
  <si>
    <t xml:space="preserve">VIVOTEK ANTENA WIFI </t>
  </si>
  <si>
    <t xml:space="preserve">VIVOTEK MÓDULO WIFI </t>
  </si>
  <si>
    <t>VIVOTEK ANTENA LTE</t>
  </si>
  <si>
    <t xml:space="preserve">VIVOTEK MÓDULO LTE </t>
  </si>
  <si>
    <t>DISCO DURO SSD</t>
  </si>
  <si>
    <t>FUENTE DC DC</t>
  </si>
  <si>
    <t>CABLE EXTENSOR USB</t>
  </si>
  <si>
    <t>CABLE VGA</t>
  </si>
  <si>
    <t xml:space="preserve">SOPORTE CÁMARA FRONTAL </t>
  </si>
  <si>
    <t xml:space="preserve">SOPORTE CÁMARA POSTERIOR </t>
  </si>
  <si>
    <t>PLATINA SUJECIÓN GRABADOR</t>
  </si>
  <si>
    <t>SOPORTE MONITOR</t>
  </si>
  <si>
    <t>CABLE M12/RJ45</t>
  </si>
  <si>
    <t xml:space="preserve">VISITA TÉCNICA CIUDADES PRINCIPALES </t>
  </si>
  <si>
    <t>VISITA TÉCNICA OTRAS CIUDADES</t>
  </si>
  <si>
    <t>FUSION-S GPL 49”</t>
  </si>
  <si>
    <t>TYPHOON HAND-HELD</t>
  </si>
  <si>
    <t>TRITON</t>
  </si>
  <si>
    <t>Q3</t>
  </si>
  <si>
    <t>CANNON</t>
  </si>
  <si>
    <t>REMOTE SPOT</t>
  </si>
  <si>
    <t>TAPA DE BALDE</t>
  </si>
  <si>
    <t>RECTIFICACIÓN DISCOS DEL</t>
  </si>
  <si>
    <t>RECTIFICACIÓN DISCOS POST</t>
  </si>
  <si>
    <t>JGO. MOQUETAS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</si>
</sst>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&quot;$&quot;\-#,##0.00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&quot;$&quot;#,##0.00"/>
    <numFmt numFmtId="165" formatCode="_ * #,##0.000_ ;_ * \-#,##0.000_ ;_ * &quot;-&quot;??_ ;_ @_ "/>
    <numFmt numFmtId="166" formatCode="0.000"/>
  </numFmts>
  <fonts count="14">
    <font>
      <sz val="11"/>
      <color theme="1"/>
      <name val="Calibri"/>
      <scheme val="minor"/>
    </font>
    <font>
      <b/>
      <sz val="11"/>
      <color theme="0"/>
      <name val="Calibri"/>
    </font>
    <font>
      <b/>
      <sz val="11"/>
      <color theme="1"/>
      <name val="Calibri"/>
    </font>
    <font>
      <sz val="11"/>
      <name val="Calibri"/>
    </font>
    <font>
      <sz val="11"/>
      <color theme="0"/>
      <name val="Calibri"/>
    </font>
    <font>
      <sz val="11"/>
      <color theme="1"/>
      <name val="Calibri"/>
    </font>
    <font>
      <sz val="10"/>
      <color theme="0"/>
      <name val="Tahoma"/>
    </font>
    <font>
      <sz val="10"/>
      <color theme="1"/>
      <name val="Tahoma"/>
    </font>
    <font>
      <b/>
      <sz val="14"/>
      <color theme="0"/>
      <name val="Calibri"/>
    </font>
    <font>
      <sz val="11"/>
      <color theme="1"/>
      <name val="Calibri"/>
      <scheme val="minor"/>
    </font>
    <font>
      <sz val="8"/>
      <color theme="1"/>
      <name val="Calibri"/>
    </font>
    <font>
      <i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00B0F0"/>
        <bgColor rgb="FF00B0F0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</fills>
  <borders count="3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0" xfId="0" applyFont="1"/>
    <xf numFmtId="43" fontId="4" fillId="0" borderId="0" xfId="0" applyNumberFormat="1" applyFon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8" xfId="0" applyFont="1" applyBorder="1"/>
    <xf numFmtId="164" fontId="5" fillId="0" borderId="9" xfId="0" applyNumberFormat="1" applyFont="1" applyBorder="1"/>
    <xf numFmtId="0" fontId="2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1" xfId="0" applyFont="1" applyBorder="1"/>
    <xf numFmtId="164" fontId="5" fillId="0" borderId="12" xfId="0" applyNumberFormat="1" applyFont="1" applyBorder="1"/>
    <xf numFmtId="164" fontId="5" fillId="0" borderId="13" xfId="0" applyNumberFormat="1" applyFont="1" applyBorder="1"/>
    <xf numFmtId="0" fontId="5" fillId="0" borderId="14" xfId="0" applyFont="1" applyBorder="1"/>
    <xf numFmtId="164" fontId="5" fillId="0" borderId="15" xfId="0" applyNumberFormat="1" applyFont="1" applyBorder="1"/>
    <xf numFmtId="164" fontId="5" fillId="0" borderId="16" xfId="0" applyNumberFormat="1" applyFont="1" applyBorder="1"/>
    <xf numFmtId="0" fontId="6" fillId="0" borderId="0" xfId="0" applyFont="1"/>
    <xf numFmtId="43" fontId="1" fillId="0" borderId="0" xfId="0" applyNumberFormat="1" applyFont="1"/>
    <xf numFmtId="0" fontId="5" fillId="0" borderId="17" xfId="0" applyFont="1" applyBorder="1"/>
    <xf numFmtId="164" fontId="5" fillId="0" borderId="5" xfId="0" applyNumberFormat="1" applyFont="1" applyBorder="1"/>
    <xf numFmtId="0" fontId="5" fillId="0" borderId="15" xfId="0" applyFont="1" applyBorder="1"/>
    <xf numFmtId="164" fontId="5" fillId="0" borderId="18" xfId="0" applyNumberFormat="1" applyFont="1" applyBorder="1"/>
    <xf numFmtId="0" fontId="2" fillId="2" borderId="4" xfId="0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0" fontId="5" fillId="0" borderId="16" xfId="0" applyFont="1" applyBorder="1"/>
    <xf numFmtId="164" fontId="2" fillId="2" borderId="10" xfId="0" applyNumberFormat="1" applyFont="1" applyFill="1" applyBorder="1" applyAlignment="1">
      <alignment horizontal="center"/>
    </xf>
    <xf numFmtId="0" fontId="5" fillId="0" borderId="19" xfId="0" applyFont="1" applyBorder="1"/>
    <xf numFmtId="164" fontId="5" fillId="0" borderId="20" xfId="0" applyNumberFormat="1" applyFont="1" applyBorder="1"/>
    <xf numFmtId="164" fontId="5" fillId="0" borderId="21" xfId="0" applyNumberFormat="1" applyFont="1" applyBorder="1"/>
    <xf numFmtId="164" fontId="5" fillId="0" borderId="0" xfId="0" applyNumberFormat="1" applyFont="1"/>
    <xf numFmtId="164" fontId="2" fillId="2" borderId="22" xfId="0" applyNumberFormat="1" applyFont="1" applyFill="1" applyBorder="1" applyAlignment="1">
      <alignment horizontal="center"/>
    </xf>
    <xf numFmtId="0" fontId="7" fillId="0" borderId="14" xfId="0" applyFont="1" applyBorder="1"/>
    <xf numFmtId="164" fontId="2" fillId="2" borderId="23" xfId="0" applyNumberFormat="1" applyFont="1" applyFill="1" applyBorder="1" applyAlignment="1">
      <alignment horizontal="center"/>
    </xf>
    <xf numFmtId="43" fontId="4" fillId="3" borderId="24" xfId="0" applyNumberFormat="1" applyFont="1" applyFill="1" applyBorder="1"/>
    <xf numFmtId="0" fontId="8" fillId="0" borderId="0" xfId="0" applyFont="1"/>
    <xf numFmtId="0" fontId="2" fillId="4" borderId="4" xfId="0" applyFont="1" applyFill="1" applyBorder="1" applyAlignment="1">
      <alignment horizontal="center"/>
    </xf>
    <xf numFmtId="164" fontId="2" fillId="4" borderId="6" xfId="0" applyNumberFormat="1" applyFont="1" applyFill="1" applyBorder="1" applyAlignment="1">
      <alignment horizontal="center"/>
    </xf>
    <xf numFmtId="164" fontId="2" fillId="4" borderId="10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5" borderId="10" xfId="0" applyNumberFormat="1" applyFont="1" applyFill="1" applyBorder="1" applyAlignment="1">
      <alignment horizontal="center"/>
    </xf>
    <xf numFmtId="165" fontId="4" fillId="0" borderId="0" xfId="0" applyNumberFormat="1" applyFont="1"/>
    <xf numFmtId="0" fontId="2" fillId="6" borderId="25" xfId="0" applyFont="1" applyFill="1" applyBorder="1" applyAlignment="1">
      <alignment horizontal="center"/>
    </xf>
    <xf numFmtId="164" fontId="2" fillId="6" borderId="25" xfId="0" applyNumberFormat="1" applyFont="1" applyFill="1" applyBorder="1" applyAlignment="1">
      <alignment horizontal="center"/>
    </xf>
    <xf numFmtId="166" fontId="4" fillId="0" borderId="0" xfId="0" applyNumberFormat="1" applyFont="1"/>
    <xf numFmtId="0" fontId="2" fillId="6" borderId="26" xfId="0" applyFont="1" applyFill="1" applyBorder="1" applyAlignment="1">
      <alignment horizontal="center"/>
    </xf>
    <xf numFmtId="164" fontId="2" fillId="6" borderId="22" xfId="0" applyNumberFormat="1" applyFont="1" applyFill="1" applyBorder="1" applyAlignment="1">
      <alignment horizontal="center"/>
    </xf>
    <xf numFmtId="0" fontId="9" fillId="0" borderId="0" xfId="0" applyFont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44" fontId="5" fillId="0" borderId="16" xfId="0" applyNumberFormat="1" applyFont="1" applyBorder="1"/>
    <xf numFmtId="164" fontId="2" fillId="0" borderId="0" xfId="0" applyNumberFormat="1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44" fontId="5" fillId="0" borderId="18" xfId="0" applyNumberFormat="1" applyFont="1" applyBorder="1" applyAlignment="1">
      <alignment vertical="center"/>
    </xf>
    <xf numFmtId="44" fontId="2" fillId="0" borderId="33" xfId="0" applyNumberFormat="1" applyFont="1" applyBorder="1"/>
    <xf numFmtId="0" fontId="12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3" fillId="0" borderId="15" xfId="0" applyFont="1" applyBorder="1" applyAlignment="1">
      <alignment vertical="center"/>
    </xf>
    <xf numFmtId="44" fontId="13" fillId="0" borderId="15" xfId="0" applyNumberFormat="1" applyFont="1" applyBorder="1" applyAlignment="1">
      <alignment horizontal="center" vertical="center"/>
    </xf>
    <xf numFmtId="8" fontId="13" fillId="0" borderId="15" xfId="0" applyNumberFormat="1" applyFont="1" applyBorder="1" applyAlignment="1">
      <alignment vertical="center"/>
    </xf>
    <xf numFmtId="8" fontId="13" fillId="7" borderId="15" xfId="0" applyNumberFormat="1" applyFont="1" applyFill="1" applyBorder="1" applyAlignment="1">
      <alignment vertical="center"/>
    </xf>
    <xf numFmtId="44" fontId="5" fillId="0" borderId="15" xfId="0" applyNumberFormat="1" applyFont="1" applyBorder="1" applyAlignment="1">
      <alignment horizontal="center"/>
    </xf>
    <xf numFmtId="44" fontId="13" fillId="0" borderId="15" xfId="0" applyNumberFormat="1" applyFont="1" applyBorder="1" applyAlignment="1">
      <alignment vertical="center"/>
    </xf>
    <xf numFmtId="8" fontId="13" fillId="0" borderId="0" xfId="0" applyNumberFormat="1" applyFont="1" applyAlignment="1">
      <alignment vertical="center"/>
    </xf>
    <xf numFmtId="8" fontId="13" fillId="7" borderId="0" xfId="0" applyNumberFormat="1" applyFont="1" applyFill="1" applyAlignment="1">
      <alignment vertical="center"/>
    </xf>
    <xf numFmtId="2" fontId="13" fillId="0" borderId="15" xfId="0" applyNumberFormat="1" applyFont="1" applyBorder="1" applyAlignment="1">
      <alignment vertical="center"/>
    </xf>
    <xf numFmtId="8" fontId="13" fillId="7" borderId="24" xfId="0" applyNumberFormat="1" applyFont="1" applyFill="1" applyBorder="1" applyAlignment="1">
      <alignment vertical="center"/>
    </xf>
    <xf numFmtId="2" fontId="13" fillId="0" borderId="0" xfId="0" applyNumberFormat="1" applyFont="1" applyAlignment="1">
      <alignment vertical="center"/>
    </xf>
    <xf numFmtId="44" fontId="13" fillId="0" borderId="13" xfId="0" applyNumberFormat="1" applyFont="1" applyBorder="1" applyAlignment="1">
      <alignment horizontal="center" vertical="center"/>
    </xf>
    <xf numFmtId="44" fontId="5" fillId="0" borderId="15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27" xfId="0" applyFont="1" applyBorder="1" applyAlignment="1">
      <alignment horizontal="center"/>
    </xf>
    <xf numFmtId="0" fontId="3" fillId="0" borderId="28" xfId="0" applyFont="1" applyBorder="1"/>
    <xf numFmtId="0" fontId="3" fillId="0" borderId="29" xfId="0" applyFont="1" applyBorder="1"/>
    <xf numFmtId="0" fontId="5" fillId="0" borderId="5" xfId="0" applyFont="1" applyBorder="1" applyAlignment="1">
      <alignment horizontal="center" vertical="center" wrapText="1"/>
    </xf>
    <xf numFmtId="0" fontId="3" fillId="0" borderId="20" xfId="0" applyFont="1" applyBorder="1"/>
    <xf numFmtId="0" fontId="3" fillId="0" borderId="13" xfId="0" applyFont="1" applyBorder="1"/>
    <xf numFmtId="0" fontId="2" fillId="0" borderId="30" xfId="0" applyFont="1" applyBorder="1" applyAlignment="1">
      <alignment horizontal="right"/>
    </xf>
    <xf numFmtId="0" fontId="3" fillId="0" borderId="31" xfId="0" applyFont="1" applyBorder="1"/>
    <xf numFmtId="0" fontId="3" fillId="0" borderId="32" xfId="0" applyFont="1" applyBorder="1"/>
    <xf numFmtId="0" fontId="11" fillId="0" borderId="34" xfId="0" applyFont="1" applyBorder="1" applyAlignment="1">
      <alignment horizontal="center"/>
    </xf>
    <xf numFmtId="0" fontId="3" fillId="0" borderId="34" xfId="0" applyFont="1" applyBorder="1"/>
    <xf numFmtId="44" fontId="13" fillId="0" borderId="5" xfId="0" applyNumberFormat="1" applyFon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3" fillId="0" borderId="36" xfId="0" applyFont="1" applyBorder="1"/>
    <xf numFmtId="0" fontId="3" fillId="0" borderId="3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workbookViewId="0"/>
  </sheetViews>
  <sheetFormatPr baseColWidth="10" defaultColWidth="14.44140625" defaultRowHeight="15" customHeight="1"/>
  <cols>
    <col min="1" max="1" width="23.44140625" customWidth="1"/>
    <col min="2" max="2" width="7.33203125" customWidth="1"/>
    <col min="3" max="3" width="7.6640625" customWidth="1"/>
    <col min="4" max="13" width="8.44140625" customWidth="1"/>
    <col min="14" max="15" width="7.44140625" customWidth="1"/>
    <col min="16" max="26" width="10.6640625" customWidth="1"/>
  </cols>
  <sheetData>
    <row r="1" spans="1:16" ht="14.25" customHeight="1">
      <c r="A1" s="1" t="s">
        <v>0</v>
      </c>
      <c r="B1" s="1" t="s">
        <v>3</v>
      </c>
      <c r="C1" s="1">
        <v>5000</v>
      </c>
      <c r="D1" s="1">
        <v>10000</v>
      </c>
      <c r="E1" s="1">
        <v>20000</v>
      </c>
      <c r="F1" s="1">
        <v>30000</v>
      </c>
      <c r="G1" s="1">
        <v>40000</v>
      </c>
      <c r="H1" s="1">
        <v>50000</v>
      </c>
      <c r="I1" s="1">
        <v>60000</v>
      </c>
      <c r="J1" s="1">
        <v>70000</v>
      </c>
      <c r="K1" s="1">
        <v>80000</v>
      </c>
      <c r="L1" s="1">
        <v>90000</v>
      </c>
      <c r="M1" s="1">
        <v>100000</v>
      </c>
      <c r="N1" s="1">
        <v>110000</v>
      </c>
      <c r="O1" s="1">
        <v>120000</v>
      </c>
      <c r="P1" s="5"/>
    </row>
    <row r="2" spans="1:16" ht="14.25" customHeight="1">
      <c r="A2" s="5" t="s">
        <v>7</v>
      </c>
      <c r="B2" s="6">
        <v>30.900000000000002</v>
      </c>
      <c r="C2" s="6">
        <v>30.900000000000002</v>
      </c>
      <c r="D2" s="6">
        <v>30.900000000000002</v>
      </c>
      <c r="E2" s="6">
        <v>30.900000000000002</v>
      </c>
      <c r="F2" s="6">
        <v>30.900000000000002</v>
      </c>
      <c r="G2" s="6">
        <v>30.900000000000002</v>
      </c>
      <c r="H2" s="6">
        <v>30.900000000000002</v>
      </c>
      <c r="I2" s="6">
        <v>30.900000000000002</v>
      </c>
      <c r="J2" s="6">
        <v>30.900000000000002</v>
      </c>
      <c r="K2" s="6">
        <v>30.900000000000002</v>
      </c>
      <c r="L2" s="6">
        <v>30.900000000000002</v>
      </c>
      <c r="M2" s="6">
        <v>30.900000000000002</v>
      </c>
      <c r="N2" s="6">
        <v>30.900000000000002</v>
      </c>
      <c r="O2" s="6">
        <v>30.900000000000002</v>
      </c>
      <c r="P2" s="5"/>
    </row>
    <row r="3" spans="1:16" ht="14.25" customHeight="1">
      <c r="A3" s="5" t="s">
        <v>17</v>
      </c>
      <c r="B3" s="6">
        <v>17.600000000000001</v>
      </c>
      <c r="C3" s="6">
        <v>17.600000000000001</v>
      </c>
      <c r="D3" s="6">
        <v>17.600000000000001</v>
      </c>
      <c r="E3" s="6">
        <v>17.600000000000001</v>
      </c>
      <c r="F3" s="6">
        <v>17.600000000000001</v>
      </c>
      <c r="G3" s="6">
        <v>17.600000000000001</v>
      </c>
      <c r="H3" s="6">
        <v>17.600000000000001</v>
      </c>
      <c r="I3" s="6">
        <v>17.600000000000001</v>
      </c>
      <c r="J3" s="6">
        <v>17.600000000000001</v>
      </c>
      <c r="K3" s="6">
        <v>17.600000000000001</v>
      </c>
      <c r="L3" s="6">
        <v>17.600000000000001</v>
      </c>
      <c r="M3" s="6">
        <v>17.600000000000001</v>
      </c>
      <c r="N3" s="6">
        <v>17.600000000000001</v>
      </c>
      <c r="O3" s="6">
        <v>17.600000000000001</v>
      </c>
      <c r="P3" s="5"/>
    </row>
    <row r="4" spans="1:16" ht="14.25" customHeight="1">
      <c r="A4" s="5" t="s">
        <v>23</v>
      </c>
      <c r="B4" s="6"/>
      <c r="C4" s="6"/>
      <c r="D4" s="6">
        <v>16.64</v>
      </c>
      <c r="E4" s="6">
        <v>16.64</v>
      </c>
      <c r="F4" s="6">
        <v>16.64</v>
      </c>
      <c r="G4" s="6">
        <v>16.64</v>
      </c>
      <c r="H4" s="6">
        <v>16.64</v>
      </c>
      <c r="I4" s="6">
        <v>16.64</v>
      </c>
      <c r="J4" s="6">
        <v>16.64</v>
      </c>
      <c r="K4" s="6">
        <v>16.64</v>
      </c>
      <c r="L4" s="6">
        <v>16.64</v>
      </c>
      <c r="M4" s="6">
        <v>16.64</v>
      </c>
      <c r="N4" s="6">
        <v>16.64</v>
      </c>
      <c r="O4" s="6">
        <v>16.64</v>
      </c>
      <c r="P4" s="5"/>
    </row>
    <row r="5" spans="1:16" ht="14.25" customHeight="1">
      <c r="A5" s="5" t="s">
        <v>33</v>
      </c>
      <c r="B5" s="6"/>
      <c r="C5" s="6"/>
      <c r="D5" s="6">
        <v>29</v>
      </c>
      <c r="E5" s="6">
        <v>29</v>
      </c>
      <c r="F5" s="6">
        <v>29</v>
      </c>
      <c r="G5" s="6">
        <v>29</v>
      </c>
      <c r="H5" s="6">
        <v>29</v>
      </c>
      <c r="I5" s="6">
        <v>29</v>
      </c>
      <c r="J5" s="6">
        <v>29</v>
      </c>
      <c r="K5" s="6">
        <v>29</v>
      </c>
      <c r="L5" s="6">
        <v>29</v>
      </c>
      <c r="M5" s="6">
        <v>29</v>
      </c>
      <c r="N5" s="6">
        <v>29</v>
      </c>
      <c r="O5" s="6">
        <v>29</v>
      </c>
      <c r="P5" s="5"/>
    </row>
    <row r="6" spans="1:16" ht="14.25" customHeight="1">
      <c r="A6" s="5" t="s">
        <v>34</v>
      </c>
      <c r="B6" s="6"/>
      <c r="C6" s="6"/>
      <c r="D6" s="6"/>
      <c r="E6" s="6">
        <v>69.17</v>
      </c>
      <c r="F6" s="6">
        <v>69.17</v>
      </c>
      <c r="G6" s="6">
        <v>69.17</v>
      </c>
      <c r="H6" s="6">
        <v>69.17</v>
      </c>
      <c r="I6" s="6">
        <v>69.17</v>
      </c>
      <c r="J6" s="6">
        <v>69.17</v>
      </c>
      <c r="K6" s="6">
        <v>69.17</v>
      </c>
      <c r="L6" s="6">
        <v>69.17</v>
      </c>
      <c r="M6" s="6">
        <v>69.17</v>
      </c>
      <c r="N6" s="6"/>
      <c r="O6" s="6">
        <v>69.17</v>
      </c>
      <c r="P6" s="5"/>
    </row>
    <row r="7" spans="1:16" ht="14.25" customHeight="1">
      <c r="A7" s="5" t="s">
        <v>35</v>
      </c>
      <c r="B7" s="6"/>
      <c r="C7" s="6"/>
      <c r="D7" s="6">
        <v>0</v>
      </c>
      <c r="E7" s="6">
        <v>50.77</v>
      </c>
      <c r="F7" s="6"/>
      <c r="G7" s="6">
        <v>50.77</v>
      </c>
      <c r="H7" s="6"/>
      <c r="I7" s="6">
        <v>50.77</v>
      </c>
      <c r="J7" s="6"/>
      <c r="K7" s="6">
        <v>50.77</v>
      </c>
      <c r="L7" s="6"/>
      <c r="M7" s="6">
        <v>50.77</v>
      </c>
      <c r="N7" s="6">
        <v>0</v>
      </c>
      <c r="O7" s="6">
        <v>50.77</v>
      </c>
      <c r="P7" s="5"/>
    </row>
    <row r="8" spans="1:16" ht="14.25" customHeight="1">
      <c r="A8" s="5" t="s">
        <v>38</v>
      </c>
      <c r="B8" s="6"/>
      <c r="C8" s="6"/>
      <c r="D8" s="6"/>
      <c r="E8" s="6">
        <v>6.5</v>
      </c>
      <c r="F8" s="6"/>
      <c r="G8" s="6">
        <v>6.5</v>
      </c>
      <c r="H8" s="6"/>
      <c r="I8" s="6">
        <v>6.5</v>
      </c>
      <c r="J8" s="6"/>
      <c r="K8" s="6">
        <v>6.5</v>
      </c>
      <c r="L8" s="6"/>
      <c r="M8" s="6">
        <v>6.5</v>
      </c>
      <c r="N8" s="6"/>
      <c r="O8" s="6">
        <v>6.5</v>
      </c>
      <c r="P8" s="5"/>
    </row>
    <row r="9" spans="1:16" ht="14.25" customHeight="1">
      <c r="A9" s="5" t="s">
        <v>39</v>
      </c>
      <c r="B9" s="6"/>
      <c r="C9" s="6"/>
      <c r="D9" s="6">
        <v>5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6">
        <v>5</v>
      </c>
      <c r="K9" s="6">
        <v>5</v>
      </c>
      <c r="L9" s="6">
        <v>5</v>
      </c>
      <c r="M9" s="6">
        <v>5</v>
      </c>
      <c r="N9" s="6">
        <v>5</v>
      </c>
      <c r="O9" s="6">
        <v>5</v>
      </c>
      <c r="P9" s="5"/>
    </row>
    <row r="10" spans="1:16" ht="14.25" customHeight="1">
      <c r="A10" s="5" t="s">
        <v>40</v>
      </c>
      <c r="B10" s="6"/>
      <c r="C10" s="6"/>
      <c r="D10" s="6">
        <v>5.4</v>
      </c>
      <c r="E10" s="6">
        <v>5.4</v>
      </c>
      <c r="F10" s="6">
        <v>5.4</v>
      </c>
      <c r="G10" s="6">
        <v>5.4</v>
      </c>
      <c r="H10" s="6">
        <v>5.4</v>
      </c>
      <c r="I10" s="6"/>
      <c r="J10" s="6">
        <v>5.4</v>
      </c>
      <c r="K10" s="6">
        <v>5.4</v>
      </c>
      <c r="L10" s="6">
        <v>5.4</v>
      </c>
      <c r="M10" s="6">
        <v>5.4</v>
      </c>
      <c r="N10" s="6">
        <v>5.4</v>
      </c>
      <c r="O10" s="6"/>
      <c r="P10" s="5"/>
    </row>
    <row r="11" spans="1:16" ht="14.25" customHeight="1">
      <c r="A11" s="5" t="s">
        <v>41</v>
      </c>
      <c r="B11" s="6"/>
      <c r="C11" s="6"/>
      <c r="D11" s="6"/>
      <c r="E11" s="6"/>
      <c r="F11" s="6"/>
      <c r="G11" s="6"/>
      <c r="H11" s="6">
        <v>14</v>
      </c>
      <c r="I11" s="6"/>
      <c r="J11" s="6"/>
      <c r="K11" s="6"/>
      <c r="L11" s="6"/>
      <c r="M11" s="6">
        <v>14</v>
      </c>
      <c r="N11" s="6"/>
      <c r="O11" s="6"/>
      <c r="P11" s="5"/>
    </row>
    <row r="12" spans="1:16" ht="14.25" customHeight="1">
      <c r="A12" s="21" t="s">
        <v>42</v>
      </c>
      <c r="B12" s="6"/>
      <c r="C12" s="6">
        <v>40.6</v>
      </c>
      <c r="D12" s="6"/>
      <c r="E12" s="6"/>
      <c r="F12" s="6"/>
      <c r="G12" s="6"/>
      <c r="H12" s="6">
        <v>40.6</v>
      </c>
      <c r="I12" s="6"/>
      <c r="J12" s="6"/>
      <c r="K12" s="6"/>
      <c r="L12" s="6"/>
      <c r="M12" s="6">
        <v>40.6</v>
      </c>
      <c r="N12" s="6"/>
      <c r="O12" s="6"/>
      <c r="P12" s="5"/>
    </row>
    <row r="13" spans="1:16" ht="14.25" customHeight="1">
      <c r="A13" s="5" t="s">
        <v>43</v>
      </c>
      <c r="B13" s="6"/>
      <c r="C13" s="6"/>
      <c r="D13" s="6"/>
      <c r="E13" s="6">
        <v>70.040000000000006</v>
      </c>
      <c r="F13" s="6"/>
      <c r="G13" s="6">
        <v>70.040000000000006</v>
      </c>
      <c r="H13" s="6"/>
      <c r="I13" s="6">
        <v>70.040000000000006</v>
      </c>
      <c r="J13" s="6">
        <v>0</v>
      </c>
      <c r="K13" s="6">
        <v>70.040000000000006</v>
      </c>
      <c r="L13" s="6">
        <v>0</v>
      </c>
      <c r="M13" s="6">
        <v>70.040000000000006</v>
      </c>
      <c r="N13" s="6"/>
      <c r="O13" s="6">
        <v>70.040000000000006</v>
      </c>
      <c r="P13" s="5"/>
    </row>
    <row r="14" spans="1:16" ht="14.25" customHeight="1">
      <c r="A14" s="5" t="s">
        <v>44</v>
      </c>
      <c r="B14" s="6">
        <v>3</v>
      </c>
      <c r="C14" s="6">
        <v>3</v>
      </c>
      <c r="D14" s="6">
        <v>3.5</v>
      </c>
      <c r="E14" s="6">
        <v>3.5</v>
      </c>
      <c r="F14" s="6">
        <v>3.5</v>
      </c>
      <c r="G14" s="6">
        <v>3.5</v>
      </c>
      <c r="H14" s="6">
        <v>3.5</v>
      </c>
      <c r="I14" s="6">
        <v>3.5</v>
      </c>
      <c r="J14" s="6">
        <v>3.5</v>
      </c>
      <c r="K14" s="6">
        <v>3.5</v>
      </c>
      <c r="L14" s="6">
        <v>3.5</v>
      </c>
      <c r="M14" s="6">
        <v>3.5</v>
      </c>
      <c r="N14" s="6">
        <v>3.5</v>
      </c>
      <c r="O14" s="6">
        <v>3.5</v>
      </c>
      <c r="P14" s="5"/>
    </row>
    <row r="15" spans="1:16" ht="14.25" customHeight="1">
      <c r="A15" s="5" t="s">
        <v>45</v>
      </c>
      <c r="B15" s="6"/>
      <c r="C15" s="6"/>
      <c r="D15" s="6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/>
      <c r="O15" s="6">
        <v>0</v>
      </c>
      <c r="P15" s="5"/>
    </row>
    <row r="16" spans="1:16" ht="14.25" customHeight="1">
      <c r="A16" s="5" t="s">
        <v>46</v>
      </c>
      <c r="B16" s="6"/>
      <c r="C16" s="6"/>
      <c r="D16" s="6"/>
      <c r="E16" s="6">
        <v>3</v>
      </c>
      <c r="F16" s="6"/>
      <c r="G16" s="6">
        <v>3</v>
      </c>
      <c r="H16" s="6"/>
      <c r="I16" s="6">
        <v>3</v>
      </c>
      <c r="J16" s="6"/>
      <c r="K16" s="6">
        <v>3</v>
      </c>
      <c r="L16" s="6"/>
      <c r="M16" s="6">
        <v>3</v>
      </c>
      <c r="N16" s="6"/>
      <c r="O16" s="6">
        <v>3</v>
      </c>
      <c r="P16" s="5"/>
    </row>
    <row r="17" spans="1:16" ht="14.25" customHeight="1">
      <c r="A17" s="1" t="s">
        <v>47</v>
      </c>
      <c r="B17" s="22">
        <v>51.5</v>
      </c>
      <c r="C17" s="22">
        <v>92.1</v>
      </c>
      <c r="D17" s="22">
        <v>108.04</v>
      </c>
      <c r="E17" s="22">
        <v>307.52000000000004</v>
      </c>
      <c r="F17" s="22">
        <v>177.21</v>
      </c>
      <c r="G17" s="22">
        <v>307.52000000000004</v>
      </c>
      <c r="H17" s="22">
        <v>231.81</v>
      </c>
      <c r="I17" s="22">
        <v>302.12</v>
      </c>
      <c r="J17" s="22">
        <v>177.21</v>
      </c>
      <c r="K17" s="22">
        <v>307.52000000000004</v>
      </c>
      <c r="L17" s="22">
        <v>177.21</v>
      </c>
      <c r="M17" s="22">
        <v>362.12000000000006</v>
      </c>
      <c r="N17" s="22">
        <v>108.04</v>
      </c>
      <c r="O17" s="22">
        <v>302.12</v>
      </c>
      <c r="P17" s="5"/>
    </row>
    <row r="18" spans="1:16" ht="14.25" customHeight="1">
      <c r="A18" s="5" t="s">
        <v>49</v>
      </c>
      <c r="B18" s="6">
        <v>6.6000000000000005</v>
      </c>
      <c r="C18" s="6">
        <v>13.200000000000001</v>
      </c>
      <c r="D18" s="6">
        <v>110.55</v>
      </c>
      <c r="E18" s="6">
        <v>117.14999999999999</v>
      </c>
      <c r="F18" s="6">
        <v>105.60000000000001</v>
      </c>
      <c r="G18" s="6">
        <v>132</v>
      </c>
      <c r="H18" s="6">
        <v>125.39999999999999</v>
      </c>
      <c r="I18" s="6">
        <v>132</v>
      </c>
      <c r="J18" s="6">
        <v>105.60000000000001</v>
      </c>
      <c r="K18" s="6">
        <v>128.69999999999999</v>
      </c>
      <c r="L18" s="6">
        <v>132</v>
      </c>
      <c r="M18" s="6">
        <v>138.6</v>
      </c>
      <c r="N18" s="6">
        <v>110.55</v>
      </c>
      <c r="O18" s="6">
        <v>132</v>
      </c>
      <c r="P18" s="5"/>
    </row>
    <row r="19" spans="1:16" ht="14.25" customHeight="1">
      <c r="A19" s="5" t="s">
        <v>50</v>
      </c>
      <c r="B19" s="6">
        <v>0</v>
      </c>
      <c r="C19" s="6">
        <v>0</v>
      </c>
      <c r="D19" s="6">
        <v>33</v>
      </c>
      <c r="E19" s="6">
        <v>33</v>
      </c>
      <c r="F19" s="6">
        <v>33</v>
      </c>
      <c r="G19" s="6">
        <v>33</v>
      </c>
      <c r="H19" s="6">
        <v>33</v>
      </c>
      <c r="I19" s="6">
        <v>33</v>
      </c>
      <c r="J19" s="6">
        <v>33</v>
      </c>
      <c r="K19" s="6">
        <v>33</v>
      </c>
      <c r="L19" s="6">
        <v>33</v>
      </c>
      <c r="M19" s="6">
        <v>33</v>
      </c>
      <c r="N19" s="6">
        <v>33</v>
      </c>
      <c r="O19" s="6">
        <v>33</v>
      </c>
      <c r="P19" s="5"/>
    </row>
    <row r="20" spans="1:16" ht="14.25" customHeight="1">
      <c r="A20" s="5" t="s">
        <v>51</v>
      </c>
      <c r="B20" s="6">
        <v>0</v>
      </c>
      <c r="C20" s="6">
        <v>0</v>
      </c>
      <c r="D20" s="6">
        <v>0</v>
      </c>
      <c r="E20" s="6">
        <v>16.5</v>
      </c>
      <c r="F20" s="6">
        <v>0</v>
      </c>
      <c r="G20" s="6">
        <v>16.5</v>
      </c>
      <c r="H20" s="6">
        <v>0</v>
      </c>
      <c r="I20" s="6">
        <v>16.5</v>
      </c>
      <c r="J20" s="6">
        <v>0</v>
      </c>
      <c r="K20" s="6">
        <v>16.5</v>
      </c>
      <c r="L20" s="6">
        <v>0</v>
      </c>
      <c r="M20" s="6">
        <v>16.5</v>
      </c>
      <c r="N20" s="6">
        <v>0</v>
      </c>
      <c r="O20" s="6">
        <v>16.5</v>
      </c>
      <c r="P20" s="5"/>
    </row>
    <row r="21" spans="1:16" ht="14.25" customHeight="1">
      <c r="A21" s="1" t="s">
        <v>53</v>
      </c>
      <c r="B21" s="22">
        <v>6.6000000000000005</v>
      </c>
      <c r="C21" s="22">
        <v>13.200000000000001</v>
      </c>
      <c r="D21" s="22">
        <v>143.55000000000001</v>
      </c>
      <c r="E21" s="22">
        <v>166.64999999999998</v>
      </c>
      <c r="F21" s="22">
        <v>138.60000000000002</v>
      </c>
      <c r="G21" s="22">
        <v>181.5</v>
      </c>
      <c r="H21" s="22">
        <v>158.39999999999998</v>
      </c>
      <c r="I21" s="22">
        <v>181.5</v>
      </c>
      <c r="J21" s="22">
        <v>138.60000000000002</v>
      </c>
      <c r="K21" s="22">
        <v>178.2</v>
      </c>
      <c r="L21" s="22">
        <v>165</v>
      </c>
      <c r="M21" s="22">
        <v>188.1</v>
      </c>
      <c r="N21" s="22">
        <v>143.55000000000001</v>
      </c>
      <c r="O21" s="22">
        <v>181.5</v>
      </c>
      <c r="P21" s="5"/>
    </row>
    <row r="22" spans="1:16" ht="14.25" customHeight="1">
      <c r="A22" s="1" t="s">
        <v>54</v>
      </c>
      <c r="B22" s="22">
        <v>58.1</v>
      </c>
      <c r="C22" s="22">
        <v>105.3</v>
      </c>
      <c r="D22" s="22">
        <v>251.59000000000003</v>
      </c>
      <c r="E22" s="22">
        <v>474.17</v>
      </c>
      <c r="F22" s="22">
        <v>315.81000000000006</v>
      </c>
      <c r="G22" s="22">
        <v>489.02000000000004</v>
      </c>
      <c r="H22" s="22">
        <v>390.21</v>
      </c>
      <c r="I22" s="22">
        <v>483.62</v>
      </c>
      <c r="J22" s="22">
        <v>315.81000000000006</v>
      </c>
      <c r="K22" s="22">
        <v>485.72</v>
      </c>
      <c r="L22" s="22">
        <v>342.21000000000004</v>
      </c>
      <c r="M22" s="22">
        <v>550.22</v>
      </c>
      <c r="N22" s="22">
        <v>251.59000000000003</v>
      </c>
      <c r="O22" s="22">
        <v>483.62</v>
      </c>
      <c r="P22" s="5"/>
    </row>
    <row r="23" spans="1:16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ht="14.25" customHeight="1">
      <c r="A24" s="1" t="s">
        <v>4</v>
      </c>
      <c r="B24" s="1" t="s">
        <v>3</v>
      </c>
      <c r="C24" s="1">
        <v>5000</v>
      </c>
      <c r="D24" s="1">
        <v>10000</v>
      </c>
      <c r="E24" s="1">
        <v>20000</v>
      </c>
      <c r="F24" s="1">
        <v>30000</v>
      </c>
      <c r="G24" s="1">
        <v>40000</v>
      </c>
      <c r="H24" s="1">
        <v>50000</v>
      </c>
      <c r="I24" s="1">
        <v>60000</v>
      </c>
      <c r="J24" s="1">
        <v>70000</v>
      </c>
      <c r="K24" s="1">
        <v>80000</v>
      </c>
      <c r="L24" s="1">
        <v>90000</v>
      </c>
      <c r="M24" s="1">
        <v>100000</v>
      </c>
      <c r="N24" s="1">
        <v>110000</v>
      </c>
      <c r="O24" s="1">
        <v>120000</v>
      </c>
      <c r="P24" s="5"/>
    </row>
    <row r="25" spans="1:16" ht="14.25" customHeight="1">
      <c r="A25" s="5" t="s">
        <v>17</v>
      </c>
      <c r="B25" s="6">
        <v>11.84</v>
      </c>
      <c r="C25" s="6">
        <v>11.84</v>
      </c>
      <c r="D25" s="6">
        <v>11.84</v>
      </c>
      <c r="E25" s="6">
        <v>11.84</v>
      </c>
      <c r="F25" s="6">
        <v>11.84</v>
      </c>
      <c r="G25" s="6">
        <v>11.84</v>
      </c>
      <c r="H25" s="6">
        <v>11.84</v>
      </c>
      <c r="I25" s="6">
        <v>11.84</v>
      </c>
      <c r="J25" s="6">
        <v>11.84</v>
      </c>
      <c r="K25" s="6">
        <v>11.84</v>
      </c>
      <c r="L25" s="6">
        <v>11.84</v>
      </c>
      <c r="M25" s="6">
        <v>11.84</v>
      </c>
      <c r="N25" s="6">
        <v>11.84</v>
      </c>
      <c r="O25" s="6">
        <v>11.84</v>
      </c>
      <c r="P25" s="5"/>
    </row>
    <row r="26" spans="1:16" ht="14.25" customHeight="1">
      <c r="A26" s="5" t="s">
        <v>37</v>
      </c>
      <c r="B26" s="6">
        <v>32.76</v>
      </c>
      <c r="C26" s="6">
        <v>32.76</v>
      </c>
      <c r="D26" s="6">
        <v>32.76</v>
      </c>
      <c r="E26" s="6">
        <v>32.76</v>
      </c>
      <c r="F26" s="6">
        <v>32.76</v>
      </c>
      <c r="G26" s="6">
        <v>32.76</v>
      </c>
      <c r="H26" s="6">
        <v>32.76</v>
      </c>
      <c r="I26" s="6">
        <v>32.76</v>
      </c>
      <c r="J26" s="6">
        <v>32.76</v>
      </c>
      <c r="K26" s="6">
        <v>32.76</v>
      </c>
      <c r="L26" s="6">
        <v>32.76</v>
      </c>
      <c r="M26" s="6">
        <v>32.76</v>
      </c>
      <c r="N26" s="6">
        <v>32.76</v>
      </c>
      <c r="O26" s="6">
        <v>32.76</v>
      </c>
      <c r="P26" s="5"/>
    </row>
    <row r="27" spans="1:16" ht="14.25" customHeight="1">
      <c r="A27" s="5" t="s">
        <v>33</v>
      </c>
      <c r="B27" s="6"/>
      <c r="C27" s="6"/>
      <c r="D27" s="6">
        <v>20.99</v>
      </c>
      <c r="E27" s="6">
        <v>20.99</v>
      </c>
      <c r="F27" s="6">
        <v>20.99</v>
      </c>
      <c r="G27" s="6">
        <v>20.99</v>
      </c>
      <c r="H27" s="6">
        <v>20.99</v>
      </c>
      <c r="I27" s="6">
        <v>20.99</v>
      </c>
      <c r="J27" s="6">
        <v>20.99</v>
      </c>
      <c r="K27" s="6">
        <v>20.99</v>
      </c>
      <c r="L27" s="6">
        <v>20.99</v>
      </c>
      <c r="M27" s="6">
        <v>20.99</v>
      </c>
      <c r="N27" s="6">
        <v>20.99</v>
      </c>
      <c r="O27" s="6">
        <v>20.99</v>
      </c>
      <c r="P27" s="5"/>
    </row>
    <row r="28" spans="1:16" ht="14.25" customHeight="1">
      <c r="A28" s="5" t="s">
        <v>34</v>
      </c>
      <c r="B28" s="6"/>
      <c r="C28" s="6"/>
      <c r="D28" s="6"/>
      <c r="E28" s="6">
        <v>76.09</v>
      </c>
      <c r="F28" s="6">
        <v>76.09</v>
      </c>
      <c r="G28" s="6">
        <v>76.09</v>
      </c>
      <c r="H28" s="6">
        <v>76.09</v>
      </c>
      <c r="I28" s="6">
        <v>76.09</v>
      </c>
      <c r="J28" s="6">
        <v>76.09</v>
      </c>
      <c r="K28" s="6">
        <v>76.09</v>
      </c>
      <c r="L28" s="6">
        <v>76.09</v>
      </c>
      <c r="M28" s="6">
        <v>76.09</v>
      </c>
      <c r="N28" s="6"/>
      <c r="O28" s="6">
        <v>76.09</v>
      </c>
      <c r="P28" s="5"/>
    </row>
    <row r="29" spans="1:16" ht="14.25" customHeight="1">
      <c r="A29" s="5" t="s">
        <v>35</v>
      </c>
      <c r="B29" s="6"/>
      <c r="C29" s="6"/>
      <c r="D29" s="6">
        <v>0</v>
      </c>
      <c r="E29" s="6">
        <v>55.85</v>
      </c>
      <c r="F29" s="6"/>
      <c r="G29" s="6">
        <v>55.85</v>
      </c>
      <c r="H29" s="6"/>
      <c r="I29" s="6">
        <v>55.85</v>
      </c>
      <c r="J29" s="6"/>
      <c r="K29" s="6">
        <v>55.85</v>
      </c>
      <c r="L29" s="6"/>
      <c r="M29" s="6">
        <v>55.85</v>
      </c>
      <c r="N29" s="6">
        <v>0</v>
      </c>
      <c r="O29" s="6">
        <v>55.85</v>
      </c>
      <c r="P29" s="5"/>
    </row>
    <row r="30" spans="1:16" ht="14.25" customHeight="1">
      <c r="A30" s="1" t="s">
        <v>47</v>
      </c>
      <c r="B30" s="22">
        <f t="shared" ref="B30:O30" si="0">SUM(B25:B29)</f>
        <v>44.599999999999994</v>
      </c>
      <c r="C30" s="22">
        <f t="shared" si="0"/>
        <v>44.599999999999994</v>
      </c>
      <c r="D30" s="22">
        <f t="shared" si="0"/>
        <v>65.589999999999989</v>
      </c>
      <c r="E30" s="22">
        <f t="shared" si="0"/>
        <v>197.53</v>
      </c>
      <c r="F30" s="22">
        <f t="shared" si="0"/>
        <v>141.68</v>
      </c>
      <c r="G30" s="22">
        <f t="shared" si="0"/>
        <v>197.53</v>
      </c>
      <c r="H30" s="22">
        <f t="shared" si="0"/>
        <v>141.68</v>
      </c>
      <c r="I30" s="22">
        <f t="shared" si="0"/>
        <v>197.53</v>
      </c>
      <c r="J30" s="22">
        <f t="shared" si="0"/>
        <v>141.68</v>
      </c>
      <c r="K30" s="22">
        <f t="shared" si="0"/>
        <v>197.53</v>
      </c>
      <c r="L30" s="22">
        <f t="shared" si="0"/>
        <v>141.68</v>
      </c>
      <c r="M30" s="22">
        <f t="shared" si="0"/>
        <v>197.53</v>
      </c>
      <c r="N30" s="22">
        <f t="shared" si="0"/>
        <v>65.589999999999989</v>
      </c>
      <c r="O30" s="22">
        <f t="shared" si="0"/>
        <v>197.53</v>
      </c>
      <c r="P30" s="5"/>
    </row>
    <row r="31" spans="1:16" ht="14.25" customHeight="1">
      <c r="A31" s="5" t="s">
        <v>7</v>
      </c>
      <c r="B31" s="6">
        <v>40.32</v>
      </c>
      <c r="C31" s="6">
        <v>40.32</v>
      </c>
      <c r="D31" s="6">
        <v>40.32</v>
      </c>
      <c r="E31" s="6">
        <v>40.32</v>
      </c>
      <c r="F31" s="6">
        <v>40.32</v>
      </c>
      <c r="G31" s="6">
        <v>40.32</v>
      </c>
      <c r="H31" s="6">
        <v>40.32</v>
      </c>
      <c r="I31" s="6">
        <v>40.32</v>
      </c>
      <c r="J31" s="6">
        <v>40.32</v>
      </c>
      <c r="K31" s="6">
        <v>40.32</v>
      </c>
      <c r="L31" s="6">
        <v>40.32</v>
      </c>
      <c r="M31" s="6">
        <v>40.32</v>
      </c>
      <c r="N31" s="6">
        <v>40.32</v>
      </c>
      <c r="O31" s="6">
        <v>40.32</v>
      </c>
      <c r="P31" s="5"/>
    </row>
    <row r="32" spans="1:16" ht="14.25" customHeight="1">
      <c r="A32" s="5" t="s">
        <v>38</v>
      </c>
      <c r="B32" s="6"/>
      <c r="C32" s="6"/>
      <c r="D32" s="6"/>
      <c r="E32" s="6">
        <v>7.71</v>
      </c>
      <c r="F32" s="6"/>
      <c r="G32" s="6">
        <v>7.71</v>
      </c>
      <c r="H32" s="6"/>
      <c r="I32" s="6">
        <v>7.71</v>
      </c>
      <c r="J32" s="6"/>
      <c r="K32" s="6">
        <v>7.71</v>
      </c>
      <c r="L32" s="6"/>
      <c r="M32" s="6">
        <v>7.71</v>
      </c>
      <c r="N32" s="6"/>
      <c r="O32" s="6">
        <v>7.71</v>
      </c>
      <c r="P32" s="5"/>
    </row>
    <row r="33" spans="1:16" ht="14.25" customHeight="1">
      <c r="A33" s="5" t="s">
        <v>39</v>
      </c>
      <c r="B33" s="6"/>
      <c r="C33" s="6"/>
      <c r="D33" s="6">
        <v>6.16</v>
      </c>
      <c r="E33" s="6">
        <v>6.16</v>
      </c>
      <c r="F33" s="6">
        <v>6.16</v>
      </c>
      <c r="G33" s="6">
        <v>6.16</v>
      </c>
      <c r="H33" s="6">
        <v>6.16</v>
      </c>
      <c r="I33" s="6">
        <v>6.16</v>
      </c>
      <c r="J33" s="6">
        <v>6.16</v>
      </c>
      <c r="K33" s="6">
        <v>6.16</v>
      </c>
      <c r="L33" s="6">
        <v>6.16</v>
      </c>
      <c r="M33" s="6">
        <v>6.16</v>
      </c>
      <c r="N33" s="6">
        <v>6.16</v>
      </c>
      <c r="O33" s="6">
        <v>6.16</v>
      </c>
      <c r="P33" s="5"/>
    </row>
    <row r="34" spans="1:16" ht="14.25" customHeight="1">
      <c r="A34" s="5" t="s">
        <v>40</v>
      </c>
      <c r="B34" s="6"/>
      <c r="C34" s="6"/>
      <c r="D34" s="6">
        <v>6.62</v>
      </c>
      <c r="E34" s="6">
        <v>6.62</v>
      </c>
      <c r="F34" s="6">
        <v>6.62</v>
      </c>
      <c r="G34" s="6">
        <v>6.62</v>
      </c>
      <c r="H34" s="6">
        <v>6.62</v>
      </c>
      <c r="I34" s="6">
        <v>6.62</v>
      </c>
      <c r="J34" s="6">
        <v>6.62</v>
      </c>
      <c r="K34" s="6">
        <v>6.62</v>
      </c>
      <c r="L34" s="6">
        <v>6.62</v>
      </c>
      <c r="M34" s="6">
        <v>6.62</v>
      </c>
      <c r="N34" s="6">
        <v>6.62</v>
      </c>
      <c r="O34" s="6">
        <v>6.62</v>
      </c>
      <c r="P34" s="5"/>
    </row>
    <row r="35" spans="1:16" ht="14.25" customHeight="1">
      <c r="A35" s="5" t="s">
        <v>41</v>
      </c>
      <c r="B35" s="6"/>
      <c r="C35" s="6"/>
      <c r="D35" s="6"/>
      <c r="E35" s="6"/>
      <c r="F35" s="6"/>
      <c r="G35" s="6"/>
      <c r="H35" s="6">
        <v>17.73</v>
      </c>
      <c r="I35" s="6"/>
      <c r="J35" s="6"/>
      <c r="K35" s="6"/>
      <c r="L35" s="6"/>
      <c r="M35" s="6">
        <v>17.73</v>
      </c>
      <c r="N35" s="6"/>
      <c r="O35" s="6"/>
      <c r="P35" s="5"/>
    </row>
    <row r="36" spans="1:16" ht="14.25" customHeight="1">
      <c r="A36" s="21" t="s">
        <v>42</v>
      </c>
      <c r="B36" s="6"/>
      <c r="C36" s="6">
        <v>54.81</v>
      </c>
      <c r="D36" s="6"/>
      <c r="E36" s="6"/>
      <c r="F36" s="6"/>
      <c r="G36" s="6"/>
      <c r="H36" s="6">
        <v>54.81</v>
      </c>
      <c r="I36" s="6"/>
      <c r="J36" s="6"/>
      <c r="K36" s="6"/>
      <c r="L36" s="6"/>
      <c r="M36" s="6">
        <v>54.81</v>
      </c>
      <c r="N36" s="6"/>
      <c r="O36" s="6"/>
      <c r="P36" s="5"/>
    </row>
    <row r="37" spans="1:16" ht="14.25" customHeight="1">
      <c r="A37" s="5" t="s">
        <v>44</v>
      </c>
      <c r="B37" s="6">
        <v>3.5</v>
      </c>
      <c r="C37" s="6">
        <v>3.5</v>
      </c>
      <c r="D37" s="6">
        <v>3.5</v>
      </c>
      <c r="E37" s="6">
        <v>3.5</v>
      </c>
      <c r="F37" s="6">
        <v>3.5</v>
      </c>
      <c r="G37" s="6">
        <v>3.5</v>
      </c>
      <c r="H37" s="6">
        <v>3.5</v>
      </c>
      <c r="I37" s="6">
        <v>3.5</v>
      </c>
      <c r="J37" s="6">
        <v>3.5</v>
      </c>
      <c r="K37" s="6">
        <v>3.5</v>
      </c>
      <c r="L37" s="6">
        <v>3.5</v>
      </c>
      <c r="M37" s="6">
        <v>3.5</v>
      </c>
      <c r="N37" s="6">
        <v>3.5</v>
      </c>
      <c r="O37" s="6">
        <v>3.5</v>
      </c>
      <c r="P37" s="5"/>
    </row>
    <row r="38" spans="1:16" ht="14.25" customHeight="1">
      <c r="A38" s="5" t="s">
        <v>46</v>
      </c>
      <c r="B38" s="6"/>
      <c r="C38" s="6"/>
      <c r="D38" s="6"/>
      <c r="E38" s="6">
        <v>3.59</v>
      </c>
      <c r="F38" s="6"/>
      <c r="G38" s="6">
        <v>3.59</v>
      </c>
      <c r="H38" s="6"/>
      <c r="I38" s="6">
        <v>3.59</v>
      </c>
      <c r="J38" s="6"/>
      <c r="K38" s="6">
        <v>3.59</v>
      </c>
      <c r="L38" s="6"/>
      <c r="M38" s="6">
        <v>3.59</v>
      </c>
      <c r="N38" s="6"/>
      <c r="O38" s="6">
        <v>3.59</v>
      </c>
      <c r="P38" s="5"/>
    </row>
    <row r="39" spans="1:16" ht="14.25" customHeight="1">
      <c r="A39" s="1" t="s">
        <v>65</v>
      </c>
      <c r="B39" s="22">
        <f t="shared" ref="B39:O39" si="1">SUM(B31:B38)</f>
        <v>43.82</v>
      </c>
      <c r="C39" s="22">
        <f t="shared" si="1"/>
        <v>98.63</v>
      </c>
      <c r="D39" s="22">
        <f t="shared" si="1"/>
        <v>56.6</v>
      </c>
      <c r="E39" s="22">
        <f t="shared" si="1"/>
        <v>67.900000000000006</v>
      </c>
      <c r="F39" s="22">
        <f t="shared" si="1"/>
        <v>56.6</v>
      </c>
      <c r="G39" s="22">
        <f t="shared" si="1"/>
        <v>67.900000000000006</v>
      </c>
      <c r="H39" s="22">
        <f t="shared" si="1"/>
        <v>129.13999999999999</v>
      </c>
      <c r="I39" s="22">
        <f t="shared" si="1"/>
        <v>67.900000000000006</v>
      </c>
      <c r="J39" s="22">
        <f t="shared" si="1"/>
        <v>56.6</v>
      </c>
      <c r="K39" s="22">
        <f t="shared" si="1"/>
        <v>67.900000000000006</v>
      </c>
      <c r="L39" s="22">
        <f t="shared" si="1"/>
        <v>56.6</v>
      </c>
      <c r="M39" s="22">
        <f t="shared" si="1"/>
        <v>140.44</v>
      </c>
      <c r="N39" s="22">
        <f t="shared" si="1"/>
        <v>56.6</v>
      </c>
      <c r="O39" s="22">
        <f t="shared" si="1"/>
        <v>67.900000000000006</v>
      </c>
      <c r="P39" s="5"/>
    </row>
    <row r="40" spans="1:16" ht="14.25" customHeight="1">
      <c r="A40" s="5" t="s">
        <v>49</v>
      </c>
      <c r="B40" s="6">
        <v>13.200000000000001</v>
      </c>
      <c r="C40" s="6">
        <v>18.150000000000002</v>
      </c>
      <c r="D40" s="6">
        <v>113.85000000000001</v>
      </c>
      <c r="E40" s="6">
        <v>120.45</v>
      </c>
      <c r="F40" s="6">
        <v>131.01000000000002</v>
      </c>
      <c r="G40" s="6">
        <v>150.15</v>
      </c>
      <c r="H40" s="6">
        <v>125.39999999999999</v>
      </c>
      <c r="I40" s="6">
        <v>134.31</v>
      </c>
      <c r="J40" s="6">
        <v>105.60000000000001</v>
      </c>
      <c r="K40" s="6">
        <v>120.45</v>
      </c>
      <c r="L40" s="6">
        <v>134.31</v>
      </c>
      <c r="M40" s="6">
        <v>244.20000000000002</v>
      </c>
      <c r="N40" s="6">
        <v>113.85000000000001</v>
      </c>
      <c r="O40" s="6">
        <v>134.31</v>
      </c>
      <c r="P40" s="5"/>
    </row>
    <row r="41" spans="1:16" ht="14.25" customHeight="1">
      <c r="A41" s="5" t="s">
        <v>50</v>
      </c>
      <c r="B41" s="6">
        <v>0</v>
      </c>
      <c r="C41" s="6">
        <v>0</v>
      </c>
      <c r="D41" s="6">
        <v>33</v>
      </c>
      <c r="E41" s="6">
        <v>33</v>
      </c>
      <c r="F41" s="6">
        <v>33</v>
      </c>
      <c r="G41" s="6">
        <v>33</v>
      </c>
      <c r="H41" s="6">
        <v>33</v>
      </c>
      <c r="I41" s="6">
        <v>33</v>
      </c>
      <c r="J41" s="6">
        <v>33</v>
      </c>
      <c r="K41" s="6">
        <v>33</v>
      </c>
      <c r="L41" s="6">
        <v>33</v>
      </c>
      <c r="M41" s="6">
        <v>33</v>
      </c>
      <c r="N41" s="6">
        <v>33</v>
      </c>
      <c r="O41" s="6">
        <v>33</v>
      </c>
      <c r="P41" s="5"/>
    </row>
    <row r="42" spans="1:16" ht="14.25" customHeight="1">
      <c r="A42" s="5" t="s">
        <v>51</v>
      </c>
      <c r="B42" s="6">
        <v>0</v>
      </c>
      <c r="C42" s="6">
        <v>0</v>
      </c>
      <c r="D42" s="6">
        <v>0</v>
      </c>
      <c r="E42" s="6">
        <v>16.5</v>
      </c>
      <c r="F42" s="6">
        <v>0</v>
      </c>
      <c r="G42" s="6">
        <v>16.5</v>
      </c>
      <c r="H42" s="6">
        <v>0</v>
      </c>
      <c r="I42" s="6">
        <v>16.5</v>
      </c>
      <c r="J42" s="6">
        <v>0</v>
      </c>
      <c r="K42" s="6">
        <v>16.5</v>
      </c>
      <c r="L42" s="6">
        <v>0</v>
      </c>
      <c r="M42" s="6">
        <v>16.5</v>
      </c>
      <c r="N42" s="6">
        <v>0</v>
      </c>
      <c r="O42" s="6">
        <v>16.5</v>
      </c>
      <c r="P42" s="5"/>
    </row>
    <row r="43" spans="1:16" ht="14.25" customHeight="1">
      <c r="A43" s="5" t="s">
        <v>67</v>
      </c>
      <c r="B43" s="6"/>
      <c r="C43" s="6"/>
      <c r="D43" s="6">
        <v>9.9</v>
      </c>
      <c r="E43" s="6">
        <v>9.9</v>
      </c>
      <c r="F43" s="6">
        <v>9.9</v>
      </c>
      <c r="G43" s="6">
        <v>9.9</v>
      </c>
      <c r="H43" s="6">
        <v>9.9</v>
      </c>
      <c r="I43" s="6">
        <v>9.9</v>
      </c>
      <c r="J43" s="6">
        <v>9.9</v>
      </c>
      <c r="K43" s="6">
        <v>9.9</v>
      </c>
      <c r="L43" s="6">
        <v>9.9</v>
      </c>
      <c r="M43" s="6">
        <v>9.9</v>
      </c>
      <c r="N43" s="6">
        <v>9.9</v>
      </c>
      <c r="O43" s="6">
        <v>9.9</v>
      </c>
      <c r="P43" s="5"/>
    </row>
    <row r="44" spans="1:16" ht="14.25" customHeight="1">
      <c r="A44" s="1" t="s">
        <v>53</v>
      </c>
      <c r="B44" s="22">
        <f t="shared" ref="B44:O44" si="2">SUM(B40:B43)</f>
        <v>13.200000000000001</v>
      </c>
      <c r="C44" s="22">
        <f t="shared" si="2"/>
        <v>18.150000000000002</v>
      </c>
      <c r="D44" s="22">
        <f t="shared" si="2"/>
        <v>156.75000000000003</v>
      </c>
      <c r="E44" s="22">
        <f t="shared" si="2"/>
        <v>179.85</v>
      </c>
      <c r="F44" s="22">
        <f t="shared" si="2"/>
        <v>173.91000000000003</v>
      </c>
      <c r="G44" s="22">
        <f t="shared" si="2"/>
        <v>209.55</v>
      </c>
      <c r="H44" s="22">
        <f t="shared" si="2"/>
        <v>168.29999999999998</v>
      </c>
      <c r="I44" s="22">
        <f t="shared" si="2"/>
        <v>193.71</v>
      </c>
      <c r="J44" s="22">
        <f t="shared" si="2"/>
        <v>148.50000000000003</v>
      </c>
      <c r="K44" s="22">
        <f t="shared" si="2"/>
        <v>179.85</v>
      </c>
      <c r="L44" s="22">
        <f t="shared" si="2"/>
        <v>177.21</v>
      </c>
      <c r="M44" s="22">
        <f t="shared" si="2"/>
        <v>303.60000000000002</v>
      </c>
      <c r="N44" s="22">
        <f t="shared" si="2"/>
        <v>156.75000000000003</v>
      </c>
      <c r="O44" s="22">
        <f t="shared" si="2"/>
        <v>193.71</v>
      </c>
      <c r="P44" s="5"/>
    </row>
    <row r="45" spans="1:16" ht="14.25" customHeight="1">
      <c r="A45" s="1" t="s">
        <v>54</v>
      </c>
      <c r="B45" s="22">
        <f t="shared" ref="B45:O45" si="3">+B30+B39+B50</f>
        <v>103.6</v>
      </c>
      <c r="C45" s="22">
        <f t="shared" si="3"/>
        <v>164.01999999999998</v>
      </c>
      <c r="D45" s="22">
        <f t="shared" si="3"/>
        <v>302.37</v>
      </c>
      <c r="E45" s="22">
        <f t="shared" si="3"/>
        <v>471.02</v>
      </c>
      <c r="F45" s="22">
        <f t="shared" si="3"/>
        <v>398.26</v>
      </c>
      <c r="G45" s="22">
        <f t="shared" si="3"/>
        <v>506.33000000000004</v>
      </c>
      <c r="H45" s="22">
        <f t="shared" si="3"/>
        <v>464.53</v>
      </c>
      <c r="I45" s="22">
        <f t="shared" si="3"/>
        <v>488.18</v>
      </c>
      <c r="J45" s="22">
        <f t="shared" si="3"/>
        <v>369.22</v>
      </c>
      <c r="K45" s="22">
        <f t="shared" si="3"/>
        <v>472.34000000000003</v>
      </c>
      <c r="L45" s="22">
        <f t="shared" si="3"/>
        <v>402.22</v>
      </c>
      <c r="M45" s="22">
        <f t="shared" si="3"/>
        <v>687.11</v>
      </c>
      <c r="N45" s="22">
        <f t="shared" si="3"/>
        <v>302.37</v>
      </c>
      <c r="O45" s="22">
        <f t="shared" si="3"/>
        <v>488.18</v>
      </c>
      <c r="P45" s="5"/>
    </row>
    <row r="46" spans="1:16" ht="14.25" customHeight="1">
      <c r="A46" s="5"/>
      <c r="B46" s="6">
        <v>33</v>
      </c>
      <c r="C46" s="6">
        <v>33</v>
      </c>
      <c r="D46" s="6">
        <v>33</v>
      </c>
      <c r="E46" s="6">
        <v>33</v>
      </c>
      <c r="F46" s="6">
        <v>33</v>
      </c>
      <c r="G46" s="6">
        <v>33</v>
      </c>
      <c r="H46" s="6">
        <v>33</v>
      </c>
      <c r="I46" s="6">
        <v>33</v>
      </c>
      <c r="J46" s="6">
        <v>33</v>
      </c>
      <c r="K46" s="6">
        <v>33</v>
      </c>
      <c r="L46" s="6">
        <v>33</v>
      </c>
      <c r="M46" s="6">
        <v>33</v>
      </c>
      <c r="N46" s="6">
        <v>33</v>
      </c>
      <c r="O46" s="6">
        <v>33</v>
      </c>
      <c r="P46" s="5"/>
    </row>
    <row r="47" spans="1:16" ht="14.25" customHeight="1">
      <c r="A47" s="5"/>
      <c r="B47" s="6">
        <f t="shared" ref="B47:O47" si="4">+B44/B46</f>
        <v>0.4</v>
      </c>
      <c r="C47" s="6">
        <f t="shared" si="4"/>
        <v>0.55000000000000004</v>
      </c>
      <c r="D47" s="6">
        <f t="shared" si="4"/>
        <v>4.7500000000000009</v>
      </c>
      <c r="E47" s="6">
        <f t="shared" si="4"/>
        <v>5.45</v>
      </c>
      <c r="F47" s="6">
        <f t="shared" si="4"/>
        <v>5.2700000000000005</v>
      </c>
      <c r="G47" s="6">
        <f t="shared" si="4"/>
        <v>6.3500000000000005</v>
      </c>
      <c r="H47" s="6">
        <f t="shared" si="4"/>
        <v>5.0999999999999996</v>
      </c>
      <c r="I47" s="6">
        <f t="shared" si="4"/>
        <v>5.87</v>
      </c>
      <c r="J47" s="6">
        <f t="shared" si="4"/>
        <v>4.5000000000000009</v>
      </c>
      <c r="K47" s="6">
        <f t="shared" si="4"/>
        <v>5.45</v>
      </c>
      <c r="L47" s="6">
        <f t="shared" si="4"/>
        <v>5.37</v>
      </c>
      <c r="M47" s="6">
        <f t="shared" si="4"/>
        <v>9.2000000000000011</v>
      </c>
      <c r="N47" s="6">
        <f t="shared" si="4"/>
        <v>4.7500000000000009</v>
      </c>
      <c r="O47" s="6">
        <f t="shared" si="4"/>
        <v>5.87</v>
      </c>
      <c r="P47" s="5"/>
    </row>
    <row r="48" spans="1:16" ht="14.25" customHeight="1">
      <c r="A48" s="5"/>
      <c r="B48" s="6">
        <v>0.45999999999999996</v>
      </c>
      <c r="C48" s="6">
        <v>0.63</v>
      </c>
      <c r="D48" s="6">
        <v>5.46</v>
      </c>
      <c r="E48" s="6">
        <v>6.23</v>
      </c>
      <c r="F48" s="6">
        <v>6.06</v>
      </c>
      <c r="G48" s="6">
        <v>7.3</v>
      </c>
      <c r="H48" s="6">
        <v>5.87</v>
      </c>
      <c r="I48" s="6">
        <v>6.75</v>
      </c>
      <c r="J48" s="6">
        <v>5.18</v>
      </c>
      <c r="K48" s="6">
        <v>6.27</v>
      </c>
      <c r="L48" s="6">
        <v>6.18</v>
      </c>
      <c r="M48" s="6">
        <v>10.58</v>
      </c>
      <c r="N48" s="6">
        <v>5.46</v>
      </c>
      <c r="O48" s="6">
        <v>6.75</v>
      </c>
      <c r="P48" s="5"/>
    </row>
    <row r="49" spans="1:16" ht="14.25" customHeight="1">
      <c r="A49" s="5"/>
      <c r="B49" s="6">
        <f t="shared" ref="B49:O49" si="5">+B48*B46</f>
        <v>15.18</v>
      </c>
      <c r="C49" s="6">
        <f t="shared" si="5"/>
        <v>20.79</v>
      </c>
      <c r="D49" s="6">
        <f t="shared" si="5"/>
        <v>180.18</v>
      </c>
      <c r="E49" s="6">
        <f t="shared" si="5"/>
        <v>205.59</v>
      </c>
      <c r="F49" s="6">
        <f t="shared" si="5"/>
        <v>199.98</v>
      </c>
      <c r="G49" s="6">
        <f t="shared" si="5"/>
        <v>240.9</v>
      </c>
      <c r="H49" s="6">
        <f t="shared" si="5"/>
        <v>193.71</v>
      </c>
      <c r="I49" s="6">
        <f t="shared" si="5"/>
        <v>222.75</v>
      </c>
      <c r="J49" s="6">
        <f t="shared" si="5"/>
        <v>170.94</v>
      </c>
      <c r="K49" s="6">
        <f t="shared" si="5"/>
        <v>206.91</v>
      </c>
      <c r="L49" s="6">
        <f t="shared" si="5"/>
        <v>203.94</v>
      </c>
      <c r="M49" s="6">
        <f t="shared" si="5"/>
        <v>349.14</v>
      </c>
      <c r="N49" s="6">
        <f t="shared" si="5"/>
        <v>180.18</v>
      </c>
      <c r="O49" s="6">
        <f t="shared" si="5"/>
        <v>222.75</v>
      </c>
      <c r="P49" s="5"/>
    </row>
    <row r="50" spans="1:16" ht="14.25" customHeight="1">
      <c r="A50" s="5"/>
      <c r="B50" s="38">
        <v>15.18</v>
      </c>
      <c r="C50" s="38">
        <v>20.79</v>
      </c>
      <c r="D50" s="38">
        <v>180.18</v>
      </c>
      <c r="E50" s="38">
        <v>205.59</v>
      </c>
      <c r="F50" s="38">
        <v>199.98</v>
      </c>
      <c r="G50" s="38">
        <v>240.9</v>
      </c>
      <c r="H50" s="38">
        <v>193.71</v>
      </c>
      <c r="I50" s="38">
        <v>222.75</v>
      </c>
      <c r="J50" s="38">
        <v>170.94</v>
      </c>
      <c r="K50" s="38">
        <v>206.91</v>
      </c>
      <c r="L50" s="38">
        <v>203.94</v>
      </c>
      <c r="M50" s="38">
        <v>349.14</v>
      </c>
      <c r="N50" s="38">
        <v>180.18</v>
      </c>
      <c r="O50" s="38">
        <v>222.75</v>
      </c>
      <c r="P50" s="5"/>
    </row>
    <row r="51" spans="1:16" ht="14.25" customHeight="1">
      <c r="A51" s="5"/>
      <c r="B51" s="6">
        <f t="shared" ref="B51:O51" si="6">+B50/B46</f>
        <v>0.45999999999999996</v>
      </c>
      <c r="C51" s="6">
        <f t="shared" si="6"/>
        <v>0.63</v>
      </c>
      <c r="D51" s="6">
        <f t="shared" si="6"/>
        <v>5.46</v>
      </c>
      <c r="E51" s="6">
        <f t="shared" si="6"/>
        <v>6.23</v>
      </c>
      <c r="F51" s="6">
        <f t="shared" si="6"/>
        <v>6.06</v>
      </c>
      <c r="G51" s="6">
        <f t="shared" si="6"/>
        <v>7.3</v>
      </c>
      <c r="H51" s="6">
        <f t="shared" si="6"/>
        <v>5.87</v>
      </c>
      <c r="I51" s="6">
        <f t="shared" si="6"/>
        <v>6.75</v>
      </c>
      <c r="J51" s="6">
        <f t="shared" si="6"/>
        <v>5.18</v>
      </c>
      <c r="K51" s="6">
        <f t="shared" si="6"/>
        <v>6.27</v>
      </c>
      <c r="L51" s="6">
        <f t="shared" si="6"/>
        <v>6.18</v>
      </c>
      <c r="M51" s="6">
        <f t="shared" si="6"/>
        <v>10.58</v>
      </c>
      <c r="N51" s="6">
        <f t="shared" si="6"/>
        <v>5.46</v>
      </c>
      <c r="O51" s="6">
        <f t="shared" si="6"/>
        <v>6.75</v>
      </c>
      <c r="P51" s="5"/>
    </row>
    <row r="52" spans="1:16" ht="14.25" customHeight="1">
      <c r="A52" s="39" t="s">
        <v>70</v>
      </c>
      <c r="B52" s="1" t="s">
        <v>3</v>
      </c>
      <c r="C52" s="1">
        <v>5000</v>
      </c>
      <c r="D52" s="1">
        <v>10000</v>
      </c>
      <c r="E52" s="1">
        <v>20000</v>
      </c>
      <c r="F52" s="1">
        <v>30000</v>
      </c>
      <c r="G52" s="1">
        <v>40000</v>
      </c>
      <c r="H52" s="1">
        <v>50000</v>
      </c>
      <c r="I52" s="1">
        <v>60000</v>
      </c>
      <c r="J52" s="1">
        <v>70000</v>
      </c>
      <c r="K52" s="1">
        <v>80000</v>
      </c>
      <c r="L52" s="1">
        <v>90000</v>
      </c>
      <c r="M52" s="1">
        <v>100000</v>
      </c>
      <c r="N52" s="1">
        <v>110000</v>
      </c>
      <c r="O52" s="1">
        <v>120000</v>
      </c>
      <c r="P52" s="5"/>
    </row>
    <row r="53" spans="1:16" ht="14.25" customHeight="1">
      <c r="A53" s="5" t="s">
        <v>17</v>
      </c>
      <c r="B53" s="6">
        <v>4.93</v>
      </c>
      <c r="C53" s="6">
        <v>4.93</v>
      </c>
      <c r="D53" s="6">
        <v>4.93</v>
      </c>
      <c r="E53" s="6">
        <v>4.93</v>
      </c>
      <c r="F53" s="6">
        <v>4.93</v>
      </c>
      <c r="G53" s="6">
        <v>4.93</v>
      </c>
      <c r="H53" s="6">
        <v>4.93</v>
      </c>
      <c r="I53" s="6">
        <v>4.93</v>
      </c>
      <c r="J53" s="6">
        <v>4.93</v>
      </c>
      <c r="K53" s="6">
        <v>4.93</v>
      </c>
      <c r="L53" s="6">
        <v>4.93</v>
      </c>
      <c r="M53" s="6">
        <v>4.93</v>
      </c>
      <c r="N53" s="6">
        <v>4.93</v>
      </c>
      <c r="O53" s="6">
        <v>4.93</v>
      </c>
      <c r="P53" s="5"/>
    </row>
    <row r="54" spans="1:16" ht="14.25" customHeight="1">
      <c r="A54" s="5" t="s">
        <v>23</v>
      </c>
      <c r="B54" s="6"/>
      <c r="C54" s="6"/>
      <c r="D54" s="6">
        <v>10.37</v>
      </c>
      <c r="E54" s="6">
        <v>10.37</v>
      </c>
      <c r="F54" s="6">
        <v>10.37</v>
      </c>
      <c r="G54" s="6">
        <v>10.37</v>
      </c>
      <c r="H54" s="6">
        <v>10.37</v>
      </c>
      <c r="I54" s="6">
        <v>10.37</v>
      </c>
      <c r="J54" s="6">
        <v>10.37</v>
      </c>
      <c r="K54" s="6">
        <v>10.37</v>
      </c>
      <c r="L54" s="6">
        <v>10.37</v>
      </c>
      <c r="M54" s="6">
        <v>10.37</v>
      </c>
      <c r="N54" s="6">
        <v>10.37</v>
      </c>
      <c r="O54" s="6">
        <v>10.37</v>
      </c>
      <c r="P54" s="5"/>
    </row>
    <row r="55" spans="1:16" ht="14.25" customHeight="1">
      <c r="A55" s="5" t="s">
        <v>33</v>
      </c>
      <c r="B55" s="6"/>
      <c r="C55" s="6"/>
      <c r="D55" s="6">
        <v>10.35</v>
      </c>
      <c r="E55" s="6">
        <v>10.35</v>
      </c>
      <c r="F55" s="6">
        <v>10.35</v>
      </c>
      <c r="G55" s="6">
        <v>10.35</v>
      </c>
      <c r="H55" s="6">
        <v>10.35</v>
      </c>
      <c r="I55" s="6">
        <v>10.35</v>
      </c>
      <c r="J55" s="6">
        <v>10.35</v>
      </c>
      <c r="K55" s="6">
        <v>10.35</v>
      </c>
      <c r="L55" s="6">
        <v>10.35</v>
      </c>
      <c r="M55" s="6">
        <v>10.35</v>
      </c>
      <c r="N55" s="6">
        <v>10.35</v>
      </c>
      <c r="O55" s="6">
        <v>10.35</v>
      </c>
      <c r="P55" s="5"/>
    </row>
    <row r="56" spans="1:16" ht="14.25" customHeight="1">
      <c r="A56" s="5" t="s">
        <v>34</v>
      </c>
      <c r="B56" s="6"/>
      <c r="C56" s="6"/>
      <c r="D56" s="6">
        <v>37.58</v>
      </c>
      <c r="E56" s="6"/>
      <c r="F56" s="6">
        <v>37.58</v>
      </c>
      <c r="G56" s="6"/>
      <c r="H56" s="6">
        <v>37.58</v>
      </c>
      <c r="I56" s="6"/>
      <c r="J56" s="6">
        <v>37.58</v>
      </c>
      <c r="K56" s="6"/>
      <c r="L56" s="6">
        <v>37.58</v>
      </c>
      <c r="M56" s="6"/>
      <c r="N56" s="6">
        <v>37.58</v>
      </c>
      <c r="O56" s="6"/>
      <c r="P56" s="5"/>
    </row>
    <row r="57" spans="1:16" ht="14.25" customHeight="1">
      <c r="A57" s="5" t="s">
        <v>74</v>
      </c>
      <c r="B57" s="6"/>
      <c r="C57" s="6"/>
      <c r="D57" s="6"/>
      <c r="E57" s="6">
        <v>28.09</v>
      </c>
      <c r="F57" s="6"/>
      <c r="G57" s="6">
        <v>28.09</v>
      </c>
      <c r="H57" s="6"/>
      <c r="I57" s="6">
        <v>28.09</v>
      </c>
      <c r="J57" s="6"/>
      <c r="K57" s="6">
        <v>28.09</v>
      </c>
      <c r="L57" s="6"/>
      <c r="M57" s="6">
        <v>28.09</v>
      </c>
      <c r="N57" s="6"/>
      <c r="O57" s="6">
        <v>28.09</v>
      </c>
      <c r="P57" s="5"/>
    </row>
    <row r="58" spans="1:16" ht="14.25" customHeight="1">
      <c r="A58" s="5" t="s">
        <v>43</v>
      </c>
      <c r="B58" s="6"/>
      <c r="C58" s="6"/>
      <c r="D58" s="6"/>
      <c r="E58" s="6">
        <v>51.17</v>
      </c>
      <c r="F58" s="6"/>
      <c r="G58" s="6">
        <v>51.17</v>
      </c>
      <c r="H58" s="6"/>
      <c r="I58" s="6">
        <v>51.17</v>
      </c>
      <c r="J58" s="6"/>
      <c r="K58" s="6">
        <v>51.17</v>
      </c>
      <c r="L58" s="6"/>
      <c r="M58" s="6">
        <v>51.17</v>
      </c>
      <c r="N58" s="6"/>
      <c r="O58" s="6">
        <v>51.17</v>
      </c>
      <c r="P58" s="5"/>
    </row>
    <row r="59" spans="1:16" ht="14.25" customHeight="1">
      <c r="A59" s="1" t="s">
        <v>47</v>
      </c>
      <c r="B59" s="22">
        <f t="shared" ref="B59:O59" si="7">SUM(B53:B58)</f>
        <v>4.93</v>
      </c>
      <c r="C59" s="22">
        <f t="shared" si="7"/>
        <v>4.93</v>
      </c>
      <c r="D59" s="22">
        <f t="shared" si="7"/>
        <v>63.23</v>
      </c>
      <c r="E59" s="22">
        <f t="shared" si="7"/>
        <v>104.91</v>
      </c>
      <c r="F59" s="22">
        <f t="shared" si="7"/>
        <v>63.23</v>
      </c>
      <c r="G59" s="22">
        <f t="shared" si="7"/>
        <v>104.91</v>
      </c>
      <c r="H59" s="22">
        <f t="shared" si="7"/>
        <v>63.23</v>
      </c>
      <c r="I59" s="22">
        <f t="shared" si="7"/>
        <v>104.91</v>
      </c>
      <c r="J59" s="22">
        <f t="shared" si="7"/>
        <v>63.23</v>
      </c>
      <c r="K59" s="22">
        <f t="shared" si="7"/>
        <v>104.91</v>
      </c>
      <c r="L59" s="22">
        <f t="shared" si="7"/>
        <v>63.23</v>
      </c>
      <c r="M59" s="22">
        <f t="shared" si="7"/>
        <v>104.91</v>
      </c>
      <c r="N59" s="22">
        <f t="shared" si="7"/>
        <v>63.23</v>
      </c>
      <c r="O59" s="22">
        <f t="shared" si="7"/>
        <v>104.91</v>
      </c>
      <c r="P59" s="5"/>
    </row>
    <row r="60" spans="1:16" ht="14.25" customHeight="1">
      <c r="A60" s="5" t="s">
        <v>7</v>
      </c>
      <c r="B60" s="6">
        <v>30.67</v>
      </c>
      <c r="C60" s="6">
        <v>30.67</v>
      </c>
      <c r="D60" s="6">
        <v>30.67</v>
      </c>
      <c r="E60" s="6">
        <v>30.67</v>
      </c>
      <c r="F60" s="6">
        <v>30.67</v>
      </c>
      <c r="G60" s="6">
        <v>30.67</v>
      </c>
      <c r="H60" s="6">
        <v>30.67</v>
      </c>
      <c r="I60" s="6">
        <v>30.67</v>
      </c>
      <c r="J60" s="6">
        <v>30.67</v>
      </c>
      <c r="K60" s="6">
        <v>30.67</v>
      </c>
      <c r="L60" s="6">
        <v>30.67</v>
      </c>
      <c r="M60" s="6">
        <v>30.67</v>
      </c>
      <c r="N60" s="6">
        <v>30.67</v>
      </c>
      <c r="O60" s="6">
        <v>30.67</v>
      </c>
      <c r="P60" s="5"/>
    </row>
    <row r="61" spans="1:16" ht="14.25" customHeight="1">
      <c r="A61" s="5" t="s">
        <v>38</v>
      </c>
      <c r="B61" s="6"/>
      <c r="C61" s="6"/>
      <c r="D61" s="6"/>
      <c r="E61" s="6">
        <v>7.71</v>
      </c>
      <c r="F61" s="6"/>
      <c r="G61" s="6">
        <v>7.71</v>
      </c>
      <c r="H61" s="6"/>
      <c r="I61" s="6">
        <v>7.71</v>
      </c>
      <c r="J61" s="6"/>
      <c r="K61" s="6">
        <v>7.71</v>
      </c>
      <c r="L61" s="6"/>
      <c r="M61" s="6">
        <v>7.71</v>
      </c>
      <c r="N61" s="6"/>
      <c r="O61" s="6">
        <v>7.71</v>
      </c>
      <c r="P61" s="5"/>
    </row>
    <row r="62" spans="1:16" ht="14.25" customHeight="1">
      <c r="A62" s="5" t="s">
        <v>39</v>
      </c>
      <c r="B62" s="6"/>
      <c r="C62" s="6"/>
      <c r="D62" s="6">
        <v>6.16</v>
      </c>
      <c r="E62" s="6">
        <v>6.16</v>
      </c>
      <c r="F62" s="6">
        <v>6.16</v>
      </c>
      <c r="G62" s="6">
        <v>6.16</v>
      </c>
      <c r="H62" s="6">
        <v>6.16</v>
      </c>
      <c r="I62" s="6">
        <v>6.16</v>
      </c>
      <c r="J62" s="6">
        <v>6.16</v>
      </c>
      <c r="K62" s="6">
        <v>6.16</v>
      </c>
      <c r="L62" s="6">
        <v>6.16</v>
      </c>
      <c r="M62" s="6">
        <v>6.16</v>
      </c>
      <c r="N62" s="6">
        <v>6.16</v>
      </c>
      <c r="O62" s="6">
        <v>6.16</v>
      </c>
      <c r="P62" s="5"/>
    </row>
    <row r="63" spans="1:16" ht="14.25" customHeight="1">
      <c r="A63" s="5" t="s">
        <v>40</v>
      </c>
      <c r="B63" s="6"/>
      <c r="C63" s="6"/>
      <c r="D63" s="6">
        <v>6.62</v>
      </c>
      <c r="E63" s="6">
        <v>6.62</v>
      </c>
      <c r="F63" s="6">
        <v>6.62</v>
      </c>
      <c r="G63" s="6">
        <v>6.62</v>
      </c>
      <c r="H63" s="6">
        <v>6.62</v>
      </c>
      <c r="I63" s="6">
        <v>6.62</v>
      </c>
      <c r="J63" s="6">
        <v>6.62</v>
      </c>
      <c r="K63" s="6">
        <v>6.62</v>
      </c>
      <c r="L63" s="6">
        <v>6.62</v>
      </c>
      <c r="M63" s="6">
        <v>6.62</v>
      </c>
      <c r="N63" s="6">
        <v>6.62</v>
      </c>
      <c r="O63" s="6">
        <v>6.62</v>
      </c>
      <c r="P63" s="5"/>
    </row>
    <row r="64" spans="1:16" ht="14.25" customHeight="1">
      <c r="A64" s="5" t="s">
        <v>41</v>
      </c>
      <c r="B64" s="6"/>
      <c r="C64" s="6"/>
      <c r="D64" s="6"/>
      <c r="E64" s="6"/>
      <c r="F64" s="6"/>
      <c r="G64" s="6"/>
      <c r="H64" s="6">
        <v>17.73</v>
      </c>
      <c r="I64" s="6"/>
      <c r="J64" s="6"/>
      <c r="K64" s="6"/>
      <c r="L64" s="6"/>
      <c r="M64" s="6">
        <v>17.73</v>
      </c>
      <c r="N64" s="6"/>
      <c r="O64" s="6"/>
      <c r="P64" s="5"/>
    </row>
    <row r="65" spans="1:16" ht="14.25" customHeight="1">
      <c r="A65" s="5" t="s">
        <v>42</v>
      </c>
      <c r="B65" s="6"/>
      <c r="C65" s="6"/>
      <c r="D65" s="6"/>
      <c r="E65" s="6"/>
      <c r="F65" s="6"/>
      <c r="G65" s="6"/>
      <c r="H65" s="6">
        <v>28.22</v>
      </c>
      <c r="I65" s="6"/>
      <c r="J65" s="6"/>
      <c r="K65" s="6"/>
      <c r="L65" s="6"/>
      <c r="M65" s="6">
        <v>28.22</v>
      </c>
      <c r="N65" s="6"/>
      <c r="O65" s="6"/>
      <c r="P65" s="5"/>
    </row>
    <row r="66" spans="1:16" ht="14.25" customHeight="1">
      <c r="A66" s="5" t="s">
        <v>44</v>
      </c>
      <c r="B66" s="6">
        <v>3.5</v>
      </c>
      <c r="C66" s="6">
        <v>3.5</v>
      </c>
      <c r="D66" s="6">
        <v>3.5</v>
      </c>
      <c r="E66" s="6">
        <v>3.5</v>
      </c>
      <c r="F66" s="6">
        <v>3.5</v>
      </c>
      <c r="G66" s="6">
        <v>3.5</v>
      </c>
      <c r="H66" s="6">
        <v>3.5</v>
      </c>
      <c r="I66" s="6">
        <v>3.5</v>
      </c>
      <c r="J66" s="6">
        <v>3.5</v>
      </c>
      <c r="K66" s="6">
        <v>3.5</v>
      </c>
      <c r="L66" s="6">
        <v>3.5</v>
      </c>
      <c r="M66" s="6">
        <v>3.5</v>
      </c>
      <c r="N66" s="6">
        <v>3.5</v>
      </c>
      <c r="O66" s="6">
        <v>3.5</v>
      </c>
      <c r="P66" s="5"/>
    </row>
    <row r="67" spans="1:16" ht="14.25" customHeight="1">
      <c r="A67" s="5" t="s">
        <v>79</v>
      </c>
      <c r="B67" s="6">
        <v>0</v>
      </c>
      <c r="C67" s="6"/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5"/>
    </row>
    <row r="68" spans="1:16" ht="14.25" customHeight="1">
      <c r="A68" s="5" t="s">
        <v>46</v>
      </c>
      <c r="B68" s="6"/>
      <c r="C68" s="6"/>
      <c r="D68" s="6"/>
      <c r="E68" s="6">
        <v>3.59</v>
      </c>
      <c r="F68" s="6"/>
      <c r="G68" s="6">
        <v>3.59</v>
      </c>
      <c r="H68" s="6"/>
      <c r="I68" s="6">
        <v>3.59</v>
      </c>
      <c r="J68" s="6"/>
      <c r="K68" s="6">
        <v>3.59</v>
      </c>
      <c r="L68" s="6"/>
      <c r="M68" s="6">
        <v>3.59</v>
      </c>
      <c r="N68" s="6"/>
      <c r="O68" s="6">
        <v>3.59</v>
      </c>
      <c r="P68" s="5"/>
    </row>
    <row r="69" spans="1:16" ht="14.25" customHeight="1">
      <c r="A69" s="1" t="s">
        <v>65</v>
      </c>
      <c r="B69" s="22">
        <f t="shared" ref="B69:O69" si="8">SUM(B60:B68)</f>
        <v>34.17</v>
      </c>
      <c r="C69" s="22">
        <f t="shared" si="8"/>
        <v>34.17</v>
      </c>
      <c r="D69" s="22">
        <f t="shared" si="8"/>
        <v>46.949999999999996</v>
      </c>
      <c r="E69" s="22">
        <f t="shared" si="8"/>
        <v>58.25</v>
      </c>
      <c r="F69" s="22">
        <f t="shared" si="8"/>
        <v>46.949999999999996</v>
      </c>
      <c r="G69" s="22">
        <f t="shared" si="8"/>
        <v>58.25</v>
      </c>
      <c r="H69" s="22">
        <f t="shared" si="8"/>
        <v>92.899999999999991</v>
      </c>
      <c r="I69" s="22">
        <f t="shared" si="8"/>
        <v>58.25</v>
      </c>
      <c r="J69" s="22">
        <f t="shared" si="8"/>
        <v>46.949999999999996</v>
      </c>
      <c r="K69" s="22">
        <f t="shared" si="8"/>
        <v>58.25</v>
      </c>
      <c r="L69" s="22">
        <f t="shared" si="8"/>
        <v>46.949999999999996</v>
      </c>
      <c r="M69" s="22">
        <f t="shared" si="8"/>
        <v>104.2</v>
      </c>
      <c r="N69" s="22">
        <f t="shared" si="8"/>
        <v>46.949999999999996</v>
      </c>
      <c r="O69" s="22">
        <f t="shared" si="8"/>
        <v>58.25</v>
      </c>
      <c r="P69" s="5"/>
    </row>
    <row r="70" spans="1:16" ht="14.25" customHeight="1">
      <c r="A70" s="5" t="s">
        <v>49</v>
      </c>
      <c r="B70" s="6">
        <v>6.6000000000000005</v>
      </c>
      <c r="C70" s="6">
        <v>13.200000000000001</v>
      </c>
      <c r="D70" s="6">
        <v>110.55</v>
      </c>
      <c r="E70" s="6">
        <v>117.14999999999999</v>
      </c>
      <c r="F70" s="6">
        <v>128.69999999999999</v>
      </c>
      <c r="G70" s="6">
        <v>132</v>
      </c>
      <c r="H70" s="6">
        <v>125.39999999999999</v>
      </c>
      <c r="I70" s="6">
        <v>128.69999999999999</v>
      </c>
      <c r="J70" s="6">
        <v>105.60000000000001</v>
      </c>
      <c r="K70" s="6">
        <v>128.69999999999999</v>
      </c>
      <c r="L70" s="6">
        <v>132</v>
      </c>
      <c r="M70" s="6">
        <v>135.29999999999998</v>
      </c>
      <c r="N70" s="6">
        <v>110.55</v>
      </c>
      <c r="O70" s="6">
        <v>128.69999999999999</v>
      </c>
      <c r="P70" s="5"/>
    </row>
    <row r="71" spans="1:16" ht="14.25" customHeight="1">
      <c r="A71" s="5" t="s">
        <v>50</v>
      </c>
      <c r="B71" s="6">
        <v>0</v>
      </c>
      <c r="C71" s="6">
        <v>0</v>
      </c>
      <c r="D71" s="6">
        <v>33</v>
      </c>
      <c r="E71" s="6">
        <v>33</v>
      </c>
      <c r="F71" s="6">
        <v>33</v>
      </c>
      <c r="G71" s="6">
        <v>33</v>
      </c>
      <c r="H71" s="6">
        <v>33</v>
      </c>
      <c r="I71" s="6">
        <v>33</v>
      </c>
      <c r="J71" s="6">
        <v>33</v>
      </c>
      <c r="K71" s="6">
        <v>33</v>
      </c>
      <c r="L71" s="6">
        <v>33</v>
      </c>
      <c r="M71" s="6">
        <v>33</v>
      </c>
      <c r="N71" s="6">
        <v>33</v>
      </c>
      <c r="O71" s="6">
        <v>33</v>
      </c>
      <c r="P71" s="5"/>
    </row>
    <row r="72" spans="1:16" ht="14.25" customHeight="1">
      <c r="A72" s="5" t="s">
        <v>51</v>
      </c>
      <c r="B72" s="6">
        <v>0</v>
      </c>
      <c r="C72" s="6">
        <v>0</v>
      </c>
      <c r="D72" s="6">
        <v>16.5</v>
      </c>
      <c r="E72" s="6">
        <v>16.5</v>
      </c>
      <c r="F72" s="6">
        <v>16.5</v>
      </c>
      <c r="G72" s="6">
        <v>16.5</v>
      </c>
      <c r="H72" s="6">
        <v>16.5</v>
      </c>
      <c r="I72" s="6">
        <v>16.5</v>
      </c>
      <c r="J72" s="6">
        <v>16.5</v>
      </c>
      <c r="K72" s="6">
        <v>16.5</v>
      </c>
      <c r="L72" s="6">
        <v>16.5</v>
      </c>
      <c r="M72" s="6">
        <v>16.5</v>
      </c>
      <c r="N72" s="6">
        <v>16.5</v>
      </c>
      <c r="O72" s="6">
        <v>16.5</v>
      </c>
      <c r="P72" s="5"/>
    </row>
    <row r="73" spans="1:16" ht="14.25" customHeight="1">
      <c r="A73" s="5" t="s">
        <v>67</v>
      </c>
      <c r="B73" s="6"/>
      <c r="C73" s="6"/>
      <c r="D73" s="6">
        <v>9.9</v>
      </c>
      <c r="E73" s="6">
        <v>9.9</v>
      </c>
      <c r="F73" s="6">
        <v>9.9</v>
      </c>
      <c r="G73" s="6">
        <v>9.9</v>
      </c>
      <c r="H73" s="6">
        <v>9.9</v>
      </c>
      <c r="I73" s="6">
        <v>9.9</v>
      </c>
      <c r="J73" s="6">
        <v>9.9</v>
      </c>
      <c r="K73" s="6">
        <v>9.9</v>
      </c>
      <c r="L73" s="6">
        <v>9.9</v>
      </c>
      <c r="M73" s="6">
        <v>9.9</v>
      </c>
      <c r="N73" s="6">
        <v>9.9</v>
      </c>
      <c r="O73" s="6">
        <v>9.9</v>
      </c>
      <c r="P73" s="5"/>
    </row>
    <row r="74" spans="1:16" ht="14.25" customHeight="1">
      <c r="A74" s="1" t="s">
        <v>53</v>
      </c>
      <c r="B74" s="22">
        <f t="shared" ref="B74:O74" si="9">SUM(B70:B73)</f>
        <v>6.6000000000000005</v>
      </c>
      <c r="C74" s="22">
        <f t="shared" si="9"/>
        <v>13.200000000000001</v>
      </c>
      <c r="D74" s="22">
        <f t="shared" si="9"/>
        <v>169.95000000000002</v>
      </c>
      <c r="E74" s="22">
        <f t="shared" si="9"/>
        <v>176.54999999999998</v>
      </c>
      <c r="F74" s="22">
        <f t="shared" si="9"/>
        <v>188.1</v>
      </c>
      <c r="G74" s="22">
        <f t="shared" si="9"/>
        <v>191.4</v>
      </c>
      <c r="H74" s="22">
        <f t="shared" si="9"/>
        <v>184.79999999999998</v>
      </c>
      <c r="I74" s="22">
        <f t="shared" si="9"/>
        <v>188.1</v>
      </c>
      <c r="J74" s="22">
        <f t="shared" si="9"/>
        <v>165.00000000000003</v>
      </c>
      <c r="K74" s="22">
        <f t="shared" si="9"/>
        <v>188.1</v>
      </c>
      <c r="L74" s="22">
        <f t="shared" si="9"/>
        <v>191.4</v>
      </c>
      <c r="M74" s="22">
        <f t="shared" si="9"/>
        <v>194.7</v>
      </c>
      <c r="N74" s="22">
        <f t="shared" si="9"/>
        <v>169.95000000000002</v>
      </c>
      <c r="O74" s="22">
        <f t="shared" si="9"/>
        <v>188.1</v>
      </c>
      <c r="P74" s="5"/>
    </row>
    <row r="75" spans="1:16" ht="14.25" customHeight="1">
      <c r="A75" s="1" t="s">
        <v>54</v>
      </c>
      <c r="B75" s="22">
        <f t="shared" ref="B75:O75" si="10">+B59+B69+B80</f>
        <v>46.690000000000005</v>
      </c>
      <c r="C75" s="22">
        <f t="shared" si="10"/>
        <v>54.28</v>
      </c>
      <c r="D75" s="22">
        <f t="shared" si="10"/>
        <v>305.87</v>
      </c>
      <c r="E75" s="22">
        <f t="shared" si="10"/>
        <v>366.44</v>
      </c>
      <c r="F75" s="22">
        <f t="shared" si="10"/>
        <v>326.65999999999997</v>
      </c>
      <c r="G75" s="22">
        <f t="shared" si="10"/>
        <v>383.27</v>
      </c>
      <c r="H75" s="22">
        <f t="shared" si="10"/>
        <v>368.65</v>
      </c>
      <c r="I75" s="22">
        <f t="shared" si="10"/>
        <v>379.64</v>
      </c>
      <c r="J75" s="22">
        <f t="shared" si="10"/>
        <v>299.93</v>
      </c>
      <c r="K75" s="22">
        <f t="shared" si="10"/>
        <v>379.64</v>
      </c>
      <c r="L75" s="22">
        <f t="shared" si="10"/>
        <v>330.28999999999996</v>
      </c>
      <c r="M75" s="22">
        <f t="shared" si="10"/>
        <v>433.18</v>
      </c>
      <c r="N75" s="22">
        <f t="shared" si="10"/>
        <v>305.87</v>
      </c>
      <c r="O75" s="22">
        <f t="shared" si="10"/>
        <v>379.64</v>
      </c>
      <c r="P75" s="5"/>
    </row>
    <row r="76" spans="1:16" ht="14.25" customHeight="1">
      <c r="A76" s="5"/>
      <c r="B76" s="6">
        <v>33</v>
      </c>
      <c r="C76" s="6">
        <v>33</v>
      </c>
      <c r="D76" s="6">
        <v>33</v>
      </c>
      <c r="E76" s="6">
        <v>33</v>
      </c>
      <c r="F76" s="6">
        <v>33</v>
      </c>
      <c r="G76" s="6">
        <v>33</v>
      </c>
      <c r="H76" s="6">
        <v>33</v>
      </c>
      <c r="I76" s="6">
        <v>33</v>
      </c>
      <c r="J76" s="6">
        <v>33</v>
      </c>
      <c r="K76" s="6">
        <v>33</v>
      </c>
      <c r="L76" s="6">
        <v>33</v>
      </c>
      <c r="M76" s="6">
        <v>33</v>
      </c>
      <c r="N76" s="6">
        <v>33</v>
      </c>
      <c r="O76" s="6">
        <v>33</v>
      </c>
      <c r="P76" s="5"/>
    </row>
    <row r="77" spans="1:16" ht="14.25" customHeight="1">
      <c r="A77" s="5"/>
      <c r="B77" s="46">
        <f t="shared" ref="B77:O77" si="11">+B74/B76</f>
        <v>0.2</v>
      </c>
      <c r="C77" s="46">
        <f t="shared" si="11"/>
        <v>0.4</v>
      </c>
      <c r="D77" s="46">
        <f t="shared" si="11"/>
        <v>5.15</v>
      </c>
      <c r="E77" s="46">
        <f t="shared" si="11"/>
        <v>5.35</v>
      </c>
      <c r="F77" s="46">
        <f t="shared" si="11"/>
        <v>5.7</v>
      </c>
      <c r="G77" s="46">
        <f t="shared" si="11"/>
        <v>5.8</v>
      </c>
      <c r="H77" s="46">
        <f t="shared" si="11"/>
        <v>5.6</v>
      </c>
      <c r="I77" s="46">
        <f t="shared" si="11"/>
        <v>5.7</v>
      </c>
      <c r="J77" s="46">
        <f t="shared" si="11"/>
        <v>5.0000000000000009</v>
      </c>
      <c r="K77" s="46">
        <f t="shared" si="11"/>
        <v>5.7</v>
      </c>
      <c r="L77" s="46">
        <f t="shared" si="11"/>
        <v>5.8</v>
      </c>
      <c r="M77" s="46">
        <f t="shared" si="11"/>
        <v>5.8999999999999995</v>
      </c>
      <c r="N77" s="46">
        <f t="shared" si="11"/>
        <v>5.15</v>
      </c>
      <c r="O77" s="46">
        <f t="shared" si="11"/>
        <v>5.7</v>
      </c>
      <c r="P77" s="5"/>
    </row>
    <row r="78" spans="1:16" ht="14.25" customHeight="1">
      <c r="A78" s="5"/>
      <c r="B78" s="49">
        <f t="shared" ref="B78:O78" si="12">+B77*1.15</f>
        <v>0.22999999999999998</v>
      </c>
      <c r="C78" s="49">
        <f t="shared" si="12"/>
        <v>0.45999999999999996</v>
      </c>
      <c r="D78" s="49">
        <f t="shared" si="12"/>
        <v>5.9225000000000003</v>
      </c>
      <c r="E78" s="49">
        <f t="shared" si="12"/>
        <v>6.152499999999999</v>
      </c>
      <c r="F78" s="49">
        <f t="shared" si="12"/>
        <v>6.5549999999999997</v>
      </c>
      <c r="G78" s="49">
        <f t="shared" si="12"/>
        <v>6.669999999999999</v>
      </c>
      <c r="H78" s="49">
        <f t="shared" si="12"/>
        <v>6.4399999999999995</v>
      </c>
      <c r="I78" s="49">
        <f t="shared" si="12"/>
        <v>6.5549999999999997</v>
      </c>
      <c r="J78" s="49">
        <f t="shared" si="12"/>
        <v>5.7500000000000009</v>
      </c>
      <c r="K78" s="49">
        <f t="shared" si="12"/>
        <v>6.5549999999999997</v>
      </c>
      <c r="L78" s="49">
        <f t="shared" si="12"/>
        <v>6.669999999999999</v>
      </c>
      <c r="M78" s="49">
        <f t="shared" si="12"/>
        <v>6.7849999999999993</v>
      </c>
      <c r="N78" s="49">
        <f t="shared" si="12"/>
        <v>5.9225000000000003</v>
      </c>
      <c r="O78" s="49">
        <f t="shared" si="12"/>
        <v>6.5549999999999997</v>
      </c>
      <c r="P78" s="5"/>
    </row>
    <row r="79" spans="1:16" ht="14.25" customHeight="1">
      <c r="A79" s="5"/>
      <c r="B79" s="5">
        <v>0.23</v>
      </c>
      <c r="C79" s="5">
        <v>0.46</v>
      </c>
      <c r="D79" s="5">
        <v>5.93</v>
      </c>
      <c r="E79" s="5">
        <v>6.16</v>
      </c>
      <c r="F79" s="5">
        <v>6.56</v>
      </c>
      <c r="G79" s="5">
        <v>6.67</v>
      </c>
      <c r="H79" s="5">
        <v>6.44</v>
      </c>
      <c r="I79" s="5">
        <v>6.56</v>
      </c>
      <c r="J79" s="5">
        <v>5.75</v>
      </c>
      <c r="K79" s="5">
        <v>6.56</v>
      </c>
      <c r="L79" s="5">
        <v>6.67</v>
      </c>
      <c r="M79" s="5">
        <v>6.79</v>
      </c>
      <c r="N79" s="5">
        <v>5.93</v>
      </c>
      <c r="O79" s="5">
        <v>6.56</v>
      </c>
      <c r="P79" s="5"/>
    </row>
    <row r="80" spans="1:16" ht="14.25" customHeight="1">
      <c r="A80" s="5"/>
      <c r="B80" s="6">
        <f t="shared" ref="B80:O80" si="13">+B79*B76</f>
        <v>7.5900000000000007</v>
      </c>
      <c r="C80" s="6">
        <f t="shared" si="13"/>
        <v>15.180000000000001</v>
      </c>
      <c r="D80" s="6">
        <f t="shared" si="13"/>
        <v>195.69</v>
      </c>
      <c r="E80" s="6">
        <f t="shared" si="13"/>
        <v>203.28</v>
      </c>
      <c r="F80" s="6">
        <f t="shared" si="13"/>
        <v>216.48</v>
      </c>
      <c r="G80" s="6">
        <f t="shared" si="13"/>
        <v>220.10999999999999</v>
      </c>
      <c r="H80" s="6">
        <f t="shared" si="13"/>
        <v>212.52</v>
      </c>
      <c r="I80" s="6">
        <f t="shared" si="13"/>
        <v>216.48</v>
      </c>
      <c r="J80" s="6">
        <f t="shared" si="13"/>
        <v>189.75</v>
      </c>
      <c r="K80" s="6">
        <f t="shared" si="13"/>
        <v>216.48</v>
      </c>
      <c r="L80" s="6">
        <f t="shared" si="13"/>
        <v>220.10999999999999</v>
      </c>
      <c r="M80" s="6">
        <f t="shared" si="13"/>
        <v>224.07</v>
      </c>
      <c r="N80" s="6">
        <f t="shared" si="13"/>
        <v>195.69</v>
      </c>
      <c r="O80" s="6">
        <f t="shared" si="13"/>
        <v>216.48</v>
      </c>
      <c r="P80" s="5"/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4140625" defaultRowHeight="15" customHeight="1"/>
  <cols>
    <col min="1" max="1" width="36" customWidth="1"/>
    <col min="2" max="26" width="10.6640625" customWidth="1"/>
  </cols>
  <sheetData>
    <row r="1" spans="1:26" ht="14.25" customHeight="1">
      <c r="A1" s="78" t="s">
        <v>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4.25" customHeight="1">
      <c r="A2" s="8" t="s">
        <v>4</v>
      </c>
      <c r="B2" s="8" t="s">
        <v>3</v>
      </c>
      <c r="C2" s="8" t="s">
        <v>6</v>
      </c>
      <c r="D2" s="8" t="s">
        <v>8</v>
      </c>
      <c r="E2" s="8" t="s">
        <v>9</v>
      </c>
      <c r="F2" s="8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8" t="s">
        <v>16</v>
      </c>
      <c r="M2" s="8" t="s">
        <v>18</v>
      </c>
      <c r="N2" s="8" t="s">
        <v>19</v>
      </c>
      <c r="O2" s="8" t="s">
        <v>20</v>
      </c>
      <c r="P2" s="8" t="s">
        <v>21</v>
      </c>
      <c r="Q2" s="8" t="s">
        <v>22</v>
      </c>
      <c r="R2" s="8" t="s">
        <v>24</v>
      </c>
      <c r="S2" s="8" t="s">
        <v>25</v>
      </c>
      <c r="T2" s="8" t="s">
        <v>26</v>
      </c>
      <c r="U2" s="8" t="s">
        <v>27</v>
      </c>
      <c r="V2" s="8" t="s">
        <v>28</v>
      </c>
      <c r="W2" s="8" t="s">
        <v>29</v>
      </c>
      <c r="X2" s="8" t="s">
        <v>30</v>
      </c>
      <c r="Y2" s="8" t="s">
        <v>31</v>
      </c>
      <c r="Z2" s="8" t="s">
        <v>32</v>
      </c>
    </row>
    <row r="3" spans="1:26" ht="14.25" customHeight="1">
      <c r="A3" s="11" t="s">
        <v>17</v>
      </c>
      <c r="B3" s="12" t="s">
        <v>36</v>
      </c>
      <c r="C3" s="12">
        <v>11.84</v>
      </c>
      <c r="D3" s="12">
        <v>11.84</v>
      </c>
      <c r="E3" s="12">
        <v>11.84</v>
      </c>
      <c r="F3" s="12">
        <v>11.84</v>
      </c>
      <c r="G3" s="12">
        <v>11.84</v>
      </c>
      <c r="H3" s="12">
        <v>11.84</v>
      </c>
      <c r="I3" s="12">
        <v>11.84</v>
      </c>
      <c r="J3" s="12">
        <v>11.84</v>
      </c>
      <c r="K3" s="12">
        <v>11.84</v>
      </c>
      <c r="L3" s="12">
        <v>11.84</v>
      </c>
      <c r="M3" s="12">
        <v>11.84</v>
      </c>
      <c r="N3" s="12">
        <v>11.84</v>
      </c>
      <c r="O3" s="12">
        <v>11.84</v>
      </c>
      <c r="P3" s="12">
        <v>11.84</v>
      </c>
      <c r="Q3" s="12">
        <v>11.84</v>
      </c>
      <c r="R3" s="12">
        <v>11.84</v>
      </c>
      <c r="S3" s="12">
        <v>11.84</v>
      </c>
      <c r="T3" s="12">
        <v>11.84</v>
      </c>
      <c r="U3" s="12">
        <v>11.84</v>
      </c>
      <c r="V3" s="12">
        <v>11.84</v>
      </c>
      <c r="W3" s="12">
        <v>11.84</v>
      </c>
      <c r="X3" s="12">
        <v>11.84</v>
      </c>
      <c r="Y3" s="12">
        <v>11.84</v>
      </c>
      <c r="Z3" s="16">
        <v>11.84</v>
      </c>
    </row>
    <row r="4" spans="1:26" ht="14.25" customHeight="1">
      <c r="A4" s="18" t="s">
        <v>37</v>
      </c>
      <c r="B4" s="19">
        <v>32.76</v>
      </c>
      <c r="C4" s="19">
        <v>32.76</v>
      </c>
      <c r="D4" s="19">
        <v>32.76</v>
      </c>
      <c r="E4" s="19">
        <v>32.76</v>
      </c>
      <c r="F4" s="19">
        <v>32.76</v>
      </c>
      <c r="G4" s="19">
        <v>32.76</v>
      </c>
      <c r="H4" s="19">
        <v>32.76</v>
      </c>
      <c r="I4" s="19">
        <v>32.76</v>
      </c>
      <c r="J4" s="19">
        <v>32.76</v>
      </c>
      <c r="K4" s="19">
        <v>32.76</v>
      </c>
      <c r="L4" s="19">
        <v>32.76</v>
      </c>
      <c r="M4" s="19">
        <v>32.76</v>
      </c>
      <c r="N4" s="19">
        <v>32.76</v>
      </c>
      <c r="O4" s="19">
        <v>32.76</v>
      </c>
      <c r="P4" s="19">
        <v>32.76</v>
      </c>
      <c r="Q4" s="19">
        <v>32.76</v>
      </c>
      <c r="R4" s="19">
        <v>32.76</v>
      </c>
      <c r="S4" s="19">
        <v>32.76</v>
      </c>
      <c r="T4" s="19">
        <v>32.76</v>
      </c>
      <c r="U4" s="19">
        <v>32.76</v>
      </c>
      <c r="V4" s="19">
        <v>32.76</v>
      </c>
      <c r="W4" s="19">
        <v>32.76</v>
      </c>
      <c r="X4" s="19">
        <v>32.76</v>
      </c>
      <c r="Y4" s="19">
        <v>32.76</v>
      </c>
      <c r="Z4" s="20">
        <v>32.76</v>
      </c>
    </row>
    <row r="5" spans="1:26" ht="14.25" customHeight="1">
      <c r="A5" s="18" t="s">
        <v>33</v>
      </c>
      <c r="B5" s="19"/>
      <c r="C5" s="19"/>
      <c r="D5" s="19">
        <v>20.99</v>
      </c>
      <c r="E5" s="19"/>
      <c r="F5" s="19">
        <v>20.99</v>
      </c>
      <c r="G5" s="19"/>
      <c r="H5" s="19">
        <v>20.99</v>
      </c>
      <c r="I5" s="19"/>
      <c r="J5" s="19">
        <v>20.99</v>
      </c>
      <c r="K5" s="19"/>
      <c r="L5" s="19">
        <v>20.99</v>
      </c>
      <c r="M5" s="19"/>
      <c r="N5" s="19">
        <v>20.99</v>
      </c>
      <c r="O5" s="19"/>
      <c r="P5" s="19">
        <v>20.99</v>
      </c>
      <c r="Q5" s="19"/>
      <c r="R5" s="19">
        <v>20.99</v>
      </c>
      <c r="S5" s="19"/>
      <c r="T5" s="19">
        <v>20.99</v>
      </c>
      <c r="U5" s="19"/>
      <c r="V5" s="19">
        <v>20.99</v>
      </c>
      <c r="W5" s="19"/>
      <c r="X5" s="19">
        <v>20.99</v>
      </c>
      <c r="Y5" s="19"/>
      <c r="Z5" s="20">
        <v>20.99</v>
      </c>
    </row>
    <row r="6" spans="1:26" ht="14.25" customHeight="1">
      <c r="A6" s="18" t="s">
        <v>34</v>
      </c>
      <c r="B6" s="19"/>
      <c r="C6" s="19"/>
      <c r="D6" s="19"/>
      <c r="E6" s="19"/>
      <c r="F6" s="19">
        <v>76.09</v>
      </c>
      <c r="G6" s="19"/>
      <c r="H6" s="19">
        <v>76.09</v>
      </c>
      <c r="I6" s="19"/>
      <c r="J6" s="19">
        <v>76.09</v>
      </c>
      <c r="K6" s="19"/>
      <c r="L6" s="19">
        <v>76.09</v>
      </c>
      <c r="M6" s="19"/>
      <c r="N6" s="19">
        <v>76.09</v>
      </c>
      <c r="O6" s="19"/>
      <c r="P6" s="19">
        <v>76.09</v>
      </c>
      <c r="Q6" s="19"/>
      <c r="R6" s="19">
        <v>76.09</v>
      </c>
      <c r="S6" s="19"/>
      <c r="T6" s="19">
        <v>76.09</v>
      </c>
      <c r="U6" s="19"/>
      <c r="V6" s="19">
        <v>76.09</v>
      </c>
      <c r="W6" s="19"/>
      <c r="X6" s="19"/>
      <c r="Y6" s="19"/>
      <c r="Z6" s="20">
        <v>76.09</v>
      </c>
    </row>
    <row r="7" spans="1:26" ht="14.25" customHeight="1">
      <c r="A7" s="23" t="s">
        <v>35</v>
      </c>
      <c r="B7" s="24"/>
      <c r="C7" s="24"/>
      <c r="D7" s="24">
        <v>0</v>
      </c>
      <c r="E7" s="24"/>
      <c r="F7" s="24">
        <v>55.85</v>
      </c>
      <c r="G7" s="24"/>
      <c r="H7" s="24"/>
      <c r="I7" s="24"/>
      <c r="J7" s="24">
        <v>55.85</v>
      </c>
      <c r="K7" s="24"/>
      <c r="L7" s="24"/>
      <c r="M7" s="24"/>
      <c r="N7" s="24">
        <v>55.85</v>
      </c>
      <c r="O7" s="24"/>
      <c r="P7" s="24"/>
      <c r="Q7" s="24"/>
      <c r="R7" s="24">
        <v>55.85</v>
      </c>
      <c r="S7" s="24"/>
      <c r="T7" s="24"/>
      <c r="U7" s="24"/>
      <c r="V7" s="24">
        <v>55.85</v>
      </c>
      <c r="W7" s="24"/>
      <c r="X7" s="24">
        <v>0</v>
      </c>
      <c r="Y7" s="24"/>
      <c r="Z7" s="26">
        <v>55.85</v>
      </c>
    </row>
    <row r="8" spans="1:26" ht="14.25" customHeight="1">
      <c r="A8" s="27" t="s">
        <v>47</v>
      </c>
      <c r="B8" s="28">
        <f t="shared" ref="B8:Z8" si="0">SUM(B3:B7)</f>
        <v>32.76</v>
      </c>
      <c r="C8" s="28">
        <f t="shared" si="0"/>
        <v>44.599999999999994</v>
      </c>
      <c r="D8" s="28">
        <f t="shared" si="0"/>
        <v>65.589999999999989</v>
      </c>
      <c r="E8" s="28">
        <f t="shared" si="0"/>
        <v>44.599999999999994</v>
      </c>
      <c r="F8" s="28">
        <f t="shared" si="0"/>
        <v>197.53</v>
      </c>
      <c r="G8" s="28">
        <f t="shared" si="0"/>
        <v>44.599999999999994</v>
      </c>
      <c r="H8" s="28">
        <f t="shared" si="0"/>
        <v>141.68</v>
      </c>
      <c r="I8" s="28">
        <f t="shared" si="0"/>
        <v>44.599999999999994</v>
      </c>
      <c r="J8" s="28">
        <f t="shared" si="0"/>
        <v>197.53</v>
      </c>
      <c r="K8" s="28">
        <f t="shared" si="0"/>
        <v>44.599999999999994</v>
      </c>
      <c r="L8" s="28">
        <f t="shared" si="0"/>
        <v>141.68</v>
      </c>
      <c r="M8" s="28">
        <f t="shared" si="0"/>
        <v>44.599999999999994</v>
      </c>
      <c r="N8" s="28">
        <f t="shared" si="0"/>
        <v>197.53</v>
      </c>
      <c r="O8" s="28">
        <f t="shared" si="0"/>
        <v>44.599999999999994</v>
      </c>
      <c r="P8" s="28">
        <f t="shared" si="0"/>
        <v>141.68</v>
      </c>
      <c r="Q8" s="28">
        <f t="shared" si="0"/>
        <v>44.599999999999994</v>
      </c>
      <c r="R8" s="28">
        <f t="shared" si="0"/>
        <v>197.53</v>
      </c>
      <c r="S8" s="28">
        <f t="shared" si="0"/>
        <v>44.599999999999994</v>
      </c>
      <c r="T8" s="28">
        <f t="shared" si="0"/>
        <v>141.68</v>
      </c>
      <c r="U8" s="28">
        <f t="shared" si="0"/>
        <v>44.599999999999994</v>
      </c>
      <c r="V8" s="28">
        <f t="shared" si="0"/>
        <v>197.53</v>
      </c>
      <c r="W8" s="28">
        <f t="shared" si="0"/>
        <v>44.599999999999994</v>
      </c>
      <c r="X8" s="28">
        <f t="shared" si="0"/>
        <v>65.589999999999989</v>
      </c>
      <c r="Y8" s="28">
        <f t="shared" si="0"/>
        <v>44.599999999999994</v>
      </c>
      <c r="Z8" s="30">
        <f t="shared" si="0"/>
        <v>197.53</v>
      </c>
    </row>
    <row r="9" spans="1:26" ht="14.25" customHeight="1">
      <c r="A9" s="11" t="s">
        <v>7</v>
      </c>
      <c r="B9" s="12">
        <v>40.32</v>
      </c>
      <c r="C9" s="12">
        <v>40.32</v>
      </c>
      <c r="D9" s="12">
        <v>40.32</v>
      </c>
      <c r="E9" s="12">
        <v>40.32</v>
      </c>
      <c r="F9" s="12">
        <v>40.32</v>
      </c>
      <c r="G9" s="12">
        <v>40.32</v>
      </c>
      <c r="H9" s="12">
        <v>40.32</v>
      </c>
      <c r="I9" s="12">
        <v>40.32</v>
      </c>
      <c r="J9" s="12">
        <v>40.32</v>
      </c>
      <c r="K9" s="12">
        <v>40.32</v>
      </c>
      <c r="L9" s="12">
        <v>40.32</v>
      </c>
      <c r="M9" s="12">
        <v>40.32</v>
      </c>
      <c r="N9" s="12">
        <v>40.32</v>
      </c>
      <c r="O9" s="12">
        <v>40.32</v>
      </c>
      <c r="P9" s="12">
        <v>40.32</v>
      </c>
      <c r="Q9" s="12">
        <v>40.32</v>
      </c>
      <c r="R9" s="12">
        <v>40.32</v>
      </c>
      <c r="S9" s="12">
        <v>40.32</v>
      </c>
      <c r="T9" s="12">
        <v>40.32</v>
      </c>
      <c r="U9" s="12">
        <v>40.32</v>
      </c>
      <c r="V9" s="12">
        <v>40.32</v>
      </c>
      <c r="W9" s="12">
        <v>40.32</v>
      </c>
      <c r="X9" s="12">
        <v>40.32</v>
      </c>
      <c r="Y9" s="12">
        <v>40.32</v>
      </c>
      <c r="Z9" s="16">
        <v>40.32</v>
      </c>
    </row>
    <row r="10" spans="1:26" ht="14.25" customHeight="1">
      <c r="A10" s="18" t="s">
        <v>38</v>
      </c>
      <c r="B10" s="19"/>
      <c r="C10" s="19"/>
      <c r="D10" s="19"/>
      <c r="E10" s="19"/>
      <c r="F10" s="19">
        <v>7.71</v>
      </c>
      <c r="G10" s="19"/>
      <c r="H10" s="19"/>
      <c r="I10" s="19"/>
      <c r="J10" s="19">
        <v>7.71</v>
      </c>
      <c r="K10" s="19"/>
      <c r="L10" s="19"/>
      <c r="M10" s="19"/>
      <c r="N10" s="19">
        <v>7.71</v>
      </c>
      <c r="O10" s="19"/>
      <c r="P10" s="19"/>
      <c r="Q10" s="19"/>
      <c r="R10" s="19">
        <v>7.71</v>
      </c>
      <c r="S10" s="19"/>
      <c r="T10" s="19"/>
      <c r="U10" s="19"/>
      <c r="V10" s="19">
        <v>7.71</v>
      </c>
      <c r="W10" s="19"/>
      <c r="X10" s="19"/>
      <c r="Y10" s="19"/>
      <c r="Z10" s="20">
        <v>7.71</v>
      </c>
    </row>
    <row r="11" spans="1:26" ht="14.25" customHeight="1">
      <c r="A11" s="18" t="s">
        <v>39</v>
      </c>
      <c r="B11" s="19"/>
      <c r="C11" s="19"/>
      <c r="D11" s="19">
        <v>6.16</v>
      </c>
      <c r="E11" s="19"/>
      <c r="F11" s="19">
        <v>6.16</v>
      </c>
      <c r="G11" s="19"/>
      <c r="H11" s="19">
        <v>6.16</v>
      </c>
      <c r="I11" s="19"/>
      <c r="J11" s="19">
        <v>6.16</v>
      </c>
      <c r="K11" s="19"/>
      <c r="L11" s="19">
        <v>6.16</v>
      </c>
      <c r="M11" s="19"/>
      <c r="N11" s="19">
        <v>6.16</v>
      </c>
      <c r="O11" s="19"/>
      <c r="P11" s="19">
        <v>6.16</v>
      </c>
      <c r="Q11" s="19"/>
      <c r="R11" s="19">
        <v>6.16</v>
      </c>
      <c r="S11" s="19"/>
      <c r="T11" s="19">
        <v>6.16</v>
      </c>
      <c r="U11" s="19"/>
      <c r="V11" s="19">
        <v>6.16</v>
      </c>
      <c r="W11" s="19"/>
      <c r="X11" s="19">
        <v>6.16</v>
      </c>
      <c r="Y11" s="19"/>
      <c r="Z11" s="20">
        <v>6.16</v>
      </c>
    </row>
    <row r="12" spans="1:26" ht="14.25" customHeight="1">
      <c r="A12" s="18" t="s">
        <v>40</v>
      </c>
      <c r="B12" s="19"/>
      <c r="C12" s="19"/>
      <c r="D12" s="19">
        <v>6.62</v>
      </c>
      <c r="E12" s="19"/>
      <c r="F12" s="19">
        <v>6.62</v>
      </c>
      <c r="G12" s="19"/>
      <c r="H12" s="19">
        <v>6.62</v>
      </c>
      <c r="I12" s="19"/>
      <c r="J12" s="19">
        <v>6.62</v>
      </c>
      <c r="K12" s="19"/>
      <c r="L12" s="19">
        <v>6.62</v>
      </c>
      <c r="M12" s="19"/>
      <c r="N12" s="19">
        <v>6.62</v>
      </c>
      <c r="O12" s="19"/>
      <c r="P12" s="19">
        <v>6.62</v>
      </c>
      <c r="Q12" s="19"/>
      <c r="R12" s="19">
        <v>6.62</v>
      </c>
      <c r="S12" s="19"/>
      <c r="T12" s="19">
        <v>6.62</v>
      </c>
      <c r="U12" s="19"/>
      <c r="V12" s="19">
        <v>6.62</v>
      </c>
      <c r="W12" s="19"/>
      <c r="X12" s="19">
        <v>6.62</v>
      </c>
      <c r="Y12" s="19"/>
      <c r="Z12" s="20">
        <v>6.62</v>
      </c>
    </row>
    <row r="13" spans="1:26" ht="14.25" customHeight="1">
      <c r="A13" s="18" t="s">
        <v>41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>
        <v>17.73</v>
      </c>
      <c r="M13" s="19"/>
      <c r="N13" s="19"/>
      <c r="O13" s="19"/>
      <c r="P13" s="19"/>
      <c r="Q13" s="19"/>
      <c r="R13" s="19"/>
      <c r="S13" s="19"/>
      <c r="T13" s="19"/>
      <c r="U13" s="19"/>
      <c r="V13" s="19">
        <v>17.73</v>
      </c>
      <c r="W13" s="19"/>
      <c r="X13" s="19"/>
      <c r="Y13" s="19"/>
      <c r="Z13" s="20"/>
    </row>
    <row r="14" spans="1:26" ht="14.25" customHeight="1">
      <c r="A14" s="36" t="s">
        <v>42</v>
      </c>
      <c r="B14" s="19"/>
      <c r="C14" s="19">
        <v>54.81</v>
      </c>
      <c r="D14" s="19"/>
      <c r="E14" s="19"/>
      <c r="F14" s="19"/>
      <c r="G14" s="19"/>
      <c r="H14" s="19"/>
      <c r="I14" s="19"/>
      <c r="J14" s="19"/>
      <c r="K14" s="19"/>
      <c r="L14" s="19">
        <v>54.81</v>
      </c>
      <c r="M14" s="19"/>
      <c r="N14" s="19"/>
      <c r="O14" s="19"/>
      <c r="P14" s="19"/>
      <c r="Q14" s="19"/>
      <c r="R14" s="19"/>
      <c r="S14" s="19"/>
      <c r="T14" s="19"/>
      <c r="U14" s="19"/>
      <c r="V14" s="19">
        <v>54.81</v>
      </c>
      <c r="W14" s="19"/>
      <c r="X14" s="19"/>
      <c r="Y14" s="19"/>
      <c r="Z14" s="20"/>
    </row>
    <row r="15" spans="1:26" ht="14.25" customHeight="1">
      <c r="A15" s="18" t="s">
        <v>44</v>
      </c>
      <c r="B15" s="19">
        <v>3.5</v>
      </c>
      <c r="C15" s="19">
        <v>3.5</v>
      </c>
      <c r="D15" s="19">
        <v>3.5</v>
      </c>
      <c r="E15" s="19">
        <v>3.5</v>
      </c>
      <c r="F15" s="19">
        <v>3.5</v>
      </c>
      <c r="G15" s="19">
        <v>3.5</v>
      </c>
      <c r="H15" s="19">
        <v>3.5</v>
      </c>
      <c r="I15" s="19">
        <v>3.5</v>
      </c>
      <c r="J15" s="19">
        <v>3.5</v>
      </c>
      <c r="K15" s="19">
        <v>3.5</v>
      </c>
      <c r="L15" s="19">
        <v>3.5</v>
      </c>
      <c r="M15" s="19">
        <v>3.5</v>
      </c>
      <c r="N15" s="19">
        <v>3.5</v>
      </c>
      <c r="O15" s="19">
        <v>3.5</v>
      </c>
      <c r="P15" s="19">
        <v>3.5</v>
      </c>
      <c r="Q15" s="19">
        <v>3.5</v>
      </c>
      <c r="R15" s="19">
        <v>3.5</v>
      </c>
      <c r="S15" s="19">
        <v>3.5</v>
      </c>
      <c r="T15" s="19">
        <v>3.5</v>
      </c>
      <c r="U15" s="19">
        <v>3.5</v>
      </c>
      <c r="V15" s="19">
        <v>3.5</v>
      </c>
      <c r="W15" s="19">
        <v>3.5</v>
      </c>
      <c r="X15" s="19">
        <v>3.5</v>
      </c>
      <c r="Y15" s="19">
        <v>3.5</v>
      </c>
      <c r="Z15" s="20">
        <v>3.5</v>
      </c>
    </row>
    <row r="16" spans="1:26" ht="14.25" customHeight="1">
      <c r="A16" s="23" t="s">
        <v>46</v>
      </c>
      <c r="B16" s="24"/>
      <c r="C16" s="24"/>
      <c r="D16" s="24"/>
      <c r="E16" s="24"/>
      <c r="F16" s="24">
        <v>3.59</v>
      </c>
      <c r="G16" s="24"/>
      <c r="H16" s="24"/>
      <c r="I16" s="24"/>
      <c r="J16" s="24">
        <v>3.59</v>
      </c>
      <c r="K16" s="24"/>
      <c r="L16" s="24"/>
      <c r="M16" s="24"/>
      <c r="N16" s="24">
        <v>3.59</v>
      </c>
      <c r="O16" s="24"/>
      <c r="P16" s="24"/>
      <c r="Q16" s="24"/>
      <c r="R16" s="24">
        <v>3.59</v>
      </c>
      <c r="S16" s="24"/>
      <c r="T16" s="24"/>
      <c r="U16" s="24"/>
      <c r="V16" s="24">
        <v>3.59</v>
      </c>
      <c r="W16" s="24"/>
      <c r="X16" s="24"/>
      <c r="Y16" s="24"/>
      <c r="Z16" s="26">
        <v>3.59</v>
      </c>
    </row>
    <row r="17" spans="1:26" ht="14.25" customHeight="1">
      <c r="A17" s="40" t="s">
        <v>72</v>
      </c>
      <c r="B17" s="41">
        <f t="shared" ref="B17:Z17" si="1">SUM(B9:B16)</f>
        <v>43.82</v>
      </c>
      <c r="C17" s="41">
        <f t="shared" si="1"/>
        <v>98.63</v>
      </c>
      <c r="D17" s="41">
        <f t="shared" si="1"/>
        <v>56.6</v>
      </c>
      <c r="E17" s="41">
        <f t="shared" si="1"/>
        <v>43.82</v>
      </c>
      <c r="F17" s="41">
        <f t="shared" si="1"/>
        <v>67.900000000000006</v>
      </c>
      <c r="G17" s="41">
        <f t="shared" si="1"/>
        <v>43.82</v>
      </c>
      <c r="H17" s="41">
        <f t="shared" si="1"/>
        <v>56.6</v>
      </c>
      <c r="I17" s="41">
        <f t="shared" si="1"/>
        <v>43.82</v>
      </c>
      <c r="J17" s="41">
        <f t="shared" si="1"/>
        <v>67.900000000000006</v>
      </c>
      <c r="K17" s="41">
        <f t="shared" si="1"/>
        <v>43.82</v>
      </c>
      <c r="L17" s="41">
        <f t="shared" si="1"/>
        <v>129.13999999999999</v>
      </c>
      <c r="M17" s="41">
        <f t="shared" si="1"/>
        <v>43.82</v>
      </c>
      <c r="N17" s="41">
        <f t="shared" si="1"/>
        <v>67.900000000000006</v>
      </c>
      <c r="O17" s="41">
        <f t="shared" si="1"/>
        <v>43.82</v>
      </c>
      <c r="P17" s="41">
        <f t="shared" si="1"/>
        <v>56.6</v>
      </c>
      <c r="Q17" s="41">
        <f t="shared" si="1"/>
        <v>43.82</v>
      </c>
      <c r="R17" s="41">
        <f t="shared" si="1"/>
        <v>67.900000000000006</v>
      </c>
      <c r="S17" s="41">
        <f t="shared" si="1"/>
        <v>43.82</v>
      </c>
      <c r="T17" s="41">
        <f t="shared" si="1"/>
        <v>56.6</v>
      </c>
      <c r="U17" s="41">
        <f t="shared" si="1"/>
        <v>43.82</v>
      </c>
      <c r="V17" s="41">
        <f t="shared" si="1"/>
        <v>140.44</v>
      </c>
      <c r="W17" s="41">
        <f t="shared" si="1"/>
        <v>43.82</v>
      </c>
      <c r="X17" s="41">
        <f t="shared" si="1"/>
        <v>56.6</v>
      </c>
      <c r="Y17" s="41">
        <f t="shared" si="1"/>
        <v>43.82</v>
      </c>
      <c r="Z17" s="42">
        <f t="shared" si="1"/>
        <v>67.900000000000006</v>
      </c>
    </row>
    <row r="18" spans="1:26" ht="14.25" customHeight="1">
      <c r="A18" s="11" t="s">
        <v>49</v>
      </c>
      <c r="B18" s="12">
        <v>15.18</v>
      </c>
      <c r="C18" s="12">
        <v>20.79</v>
      </c>
      <c r="D18" s="12">
        <v>137.28</v>
      </c>
      <c r="E18" s="12">
        <v>15.18</v>
      </c>
      <c r="F18" s="12">
        <v>146.19</v>
      </c>
      <c r="G18" s="12">
        <v>15.18</v>
      </c>
      <c r="H18" s="12">
        <v>157.08000000000001</v>
      </c>
      <c r="I18" s="12">
        <v>15.18</v>
      </c>
      <c r="J18" s="12">
        <v>181.5</v>
      </c>
      <c r="K18" s="12">
        <v>15.18</v>
      </c>
      <c r="L18" s="12">
        <v>150.81</v>
      </c>
      <c r="M18" s="12">
        <v>15.18</v>
      </c>
      <c r="N18" s="12">
        <v>163.35</v>
      </c>
      <c r="O18" s="12">
        <v>15.18</v>
      </c>
      <c r="P18" s="12">
        <v>128.04</v>
      </c>
      <c r="Q18" s="12">
        <v>15.18</v>
      </c>
      <c r="R18" s="12">
        <v>147.51</v>
      </c>
      <c r="S18" s="12">
        <v>15.18</v>
      </c>
      <c r="T18" s="12">
        <v>161.04</v>
      </c>
      <c r="U18" s="12">
        <v>15.18</v>
      </c>
      <c r="V18" s="12">
        <v>289.74</v>
      </c>
      <c r="W18" s="12">
        <v>15.18</v>
      </c>
      <c r="X18" s="12">
        <v>137.28</v>
      </c>
      <c r="Y18" s="12">
        <v>15.18</v>
      </c>
      <c r="Z18" s="16">
        <v>163.35</v>
      </c>
    </row>
    <row r="19" spans="1:26" ht="14.25" customHeight="1">
      <c r="A19" s="18" t="s">
        <v>50</v>
      </c>
      <c r="B19" s="19">
        <v>0</v>
      </c>
      <c r="C19" s="19">
        <v>0</v>
      </c>
      <c r="D19" s="19">
        <v>17.16</v>
      </c>
      <c r="E19" s="19">
        <v>0</v>
      </c>
      <c r="F19" s="19">
        <v>17.16</v>
      </c>
      <c r="G19" s="19">
        <v>0</v>
      </c>
      <c r="H19" s="19">
        <v>17.16</v>
      </c>
      <c r="I19" s="19">
        <v>0</v>
      </c>
      <c r="J19" s="19">
        <v>17.16</v>
      </c>
      <c r="K19" s="19">
        <v>0</v>
      </c>
      <c r="L19" s="19">
        <v>17.16</v>
      </c>
      <c r="M19" s="19">
        <v>0</v>
      </c>
      <c r="N19" s="19">
        <v>17.16</v>
      </c>
      <c r="O19" s="19">
        <v>0</v>
      </c>
      <c r="P19" s="19">
        <v>17.16</v>
      </c>
      <c r="Q19" s="19">
        <v>0</v>
      </c>
      <c r="R19" s="19">
        <v>17.16</v>
      </c>
      <c r="S19" s="19">
        <v>0</v>
      </c>
      <c r="T19" s="19">
        <v>17.16</v>
      </c>
      <c r="U19" s="19">
        <v>0</v>
      </c>
      <c r="V19" s="19">
        <v>17.16</v>
      </c>
      <c r="W19" s="19">
        <v>0</v>
      </c>
      <c r="X19" s="19">
        <v>17.16</v>
      </c>
      <c r="Y19" s="19">
        <v>0</v>
      </c>
      <c r="Z19" s="19">
        <v>17.16</v>
      </c>
    </row>
    <row r="20" spans="1:26" ht="14.25" customHeight="1">
      <c r="A20" s="18" t="s">
        <v>78</v>
      </c>
      <c r="B20" s="19"/>
      <c r="C20" s="19"/>
      <c r="D20" s="19">
        <v>15.84</v>
      </c>
      <c r="E20" s="19"/>
      <c r="F20" s="19">
        <v>15.84</v>
      </c>
      <c r="G20" s="19"/>
      <c r="H20" s="19">
        <v>15.84</v>
      </c>
      <c r="I20" s="19"/>
      <c r="J20" s="19">
        <v>15.84</v>
      </c>
      <c r="K20" s="19"/>
      <c r="L20" s="19">
        <v>15.84</v>
      </c>
      <c r="M20" s="19"/>
      <c r="N20" s="19">
        <v>15.84</v>
      </c>
      <c r="O20" s="19"/>
      <c r="P20" s="19">
        <v>15.84</v>
      </c>
      <c r="Q20" s="19"/>
      <c r="R20" s="19">
        <v>15.84</v>
      </c>
      <c r="S20" s="19"/>
      <c r="T20" s="19">
        <v>15.84</v>
      </c>
      <c r="U20" s="19"/>
      <c r="V20" s="19">
        <v>15.84</v>
      </c>
      <c r="W20" s="19"/>
      <c r="X20" s="19">
        <v>15.84</v>
      </c>
      <c r="Y20" s="19"/>
      <c r="Z20" s="19">
        <v>15.84</v>
      </c>
    </row>
    <row r="21" spans="1:26" ht="14.25" customHeight="1">
      <c r="A21" s="18" t="s">
        <v>51</v>
      </c>
      <c r="B21" s="19">
        <v>0</v>
      </c>
      <c r="C21" s="19">
        <v>0</v>
      </c>
      <c r="D21" s="19">
        <v>0</v>
      </c>
      <c r="E21" s="19">
        <v>0</v>
      </c>
      <c r="F21" s="19">
        <v>16.5</v>
      </c>
      <c r="G21" s="19">
        <v>0</v>
      </c>
      <c r="H21" s="19">
        <v>0</v>
      </c>
      <c r="I21" s="19">
        <v>0</v>
      </c>
      <c r="J21" s="19">
        <v>16.5</v>
      </c>
      <c r="K21" s="19">
        <v>0</v>
      </c>
      <c r="L21" s="19">
        <v>0</v>
      </c>
      <c r="M21" s="19">
        <v>0</v>
      </c>
      <c r="N21" s="19">
        <v>16.5</v>
      </c>
      <c r="O21" s="19">
        <v>0</v>
      </c>
      <c r="P21" s="19">
        <v>0</v>
      </c>
      <c r="Q21" s="19">
        <v>0</v>
      </c>
      <c r="R21" s="19">
        <v>16.5</v>
      </c>
      <c r="S21" s="19">
        <v>0</v>
      </c>
      <c r="T21" s="19">
        <v>0</v>
      </c>
      <c r="U21" s="19">
        <v>0</v>
      </c>
      <c r="V21" s="19">
        <v>16.5</v>
      </c>
      <c r="W21" s="19">
        <v>0</v>
      </c>
      <c r="X21" s="19">
        <v>0</v>
      </c>
      <c r="Y21" s="19">
        <v>0</v>
      </c>
      <c r="Z21" s="20">
        <v>16.5</v>
      </c>
    </row>
    <row r="22" spans="1:26" ht="14.25" customHeight="1">
      <c r="A22" s="23" t="s">
        <v>67</v>
      </c>
      <c r="B22" s="24"/>
      <c r="C22" s="24"/>
      <c r="D22" s="24">
        <v>9.9</v>
      </c>
      <c r="E22" s="24"/>
      <c r="F22" s="24">
        <v>9.9</v>
      </c>
      <c r="G22" s="24"/>
      <c r="H22" s="24">
        <v>9.9</v>
      </c>
      <c r="I22" s="24"/>
      <c r="J22" s="24">
        <v>9.9</v>
      </c>
      <c r="K22" s="24"/>
      <c r="L22" s="24">
        <v>9.9</v>
      </c>
      <c r="M22" s="24"/>
      <c r="N22" s="24">
        <v>9.9</v>
      </c>
      <c r="O22" s="24"/>
      <c r="P22" s="24">
        <v>9.9</v>
      </c>
      <c r="Q22" s="24"/>
      <c r="R22" s="24">
        <v>9.9</v>
      </c>
      <c r="S22" s="24"/>
      <c r="T22" s="24">
        <v>9.9</v>
      </c>
      <c r="U22" s="24"/>
      <c r="V22" s="24">
        <v>9.9</v>
      </c>
      <c r="W22" s="24"/>
      <c r="X22" s="24">
        <v>9.9</v>
      </c>
      <c r="Y22" s="24"/>
      <c r="Z22" s="26">
        <v>9.9</v>
      </c>
    </row>
    <row r="23" spans="1:26" ht="14.25" customHeight="1">
      <c r="A23" s="43" t="s">
        <v>53</v>
      </c>
      <c r="B23" s="44">
        <f t="shared" ref="B23:Z23" si="2">SUM(B18:B22)</f>
        <v>15.18</v>
      </c>
      <c r="C23" s="44">
        <f t="shared" si="2"/>
        <v>20.79</v>
      </c>
      <c r="D23" s="44">
        <f t="shared" si="2"/>
        <v>180.18</v>
      </c>
      <c r="E23" s="44">
        <f t="shared" si="2"/>
        <v>15.18</v>
      </c>
      <c r="F23" s="44">
        <f t="shared" si="2"/>
        <v>205.59</v>
      </c>
      <c r="G23" s="44">
        <f t="shared" si="2"/>
        <v>15.18</v>
      </c>
      <c r="H23" s="44">
        <f t="shared" si="2"/>
        <v>199.98000000000002</v>
      </c>
      <c r="I23" s="44">
        <f t="shared" si="2"/>
        <v>15.18</v>
      </c>
      <c r="J23" s="44">
        <f t="shared" si="2"/>
        <v>240.9</v>
      </c>
      <c r="K23" s="44">
        <f t="shared" si="2"/>
        <v>15.18</v>
      </c>
      <c r="L23" s="44">
        <f t="shared" si="2"/>
        <v>193.71</v>
      </c>
      <c r="M23" s="44">
        <f t="shared" si="2"/>
        <v>15.18</v>
      </c>
      <c r="N23" s="44">
        <f t="shared" si="2"/>
        <v>222.75</v>
      </c>
      <c r="O23" s="44">
        <f t="shared" si="2"/>
        <v>15.18</v>
      </c>
      <c r="P23" s="44">
        <f t="shared" si="2"/>
        <v>170.94</v>
      </c>
      <c r="Q23" s="44">
        <f t="shared" si="2"/>
        <v>15.18</v>
      </c>
      <c r="R23" s="44">
        <f t="shared" si="2"/>
        <v>206.91</v>
      </c>
      <c r="S23" s="44">
        <f t="shared" si="2"/>
        <v>15.18</v>
      </c>
      <c r="T23" s="44">
        <f t="shared" si="2"/>
        <v>203.94</v>
      </c>
      <c r="U23" s="44">
        <f t="shared" si="2"/>
        <v>15.18</v>
      </c>
      <c r="V23" s="44">
        <f t="shared" si="2"/>
        <v>349.14</v>
      </c>
      <c r="W23" s="44">
        <f t="shared" si="2"/>
        <v>15.18</v>
      </c>
      <c r="X23" s="44">
        <f t="shared" si="2"/>
        <v>180.18</v>
      </c>
      <c r="Y23" s="44">
        <f t="shared" si="2"/>
        <v>15.18</v>
      </c>
      <c r="Z23" s="45">
        <f t="shared" si="2"/>
        <v>222.75</v>
      </c>
    </row>
    <row r="24" spans="1:26" ht="14.25" customHeight="1">
      <c r="A24" s="47" t="s">
        <v>82</v>
      </c>
      <c r="B24" s="48">
        <f t="shared" ref="B24:Z24" si="3">+B8+B17+B23</f>
        <v>91.759999999999991</v>
      </c>
      <c r="C24" s="48">
        <f t="shared" si="3"/>
        <v>164.01999999999998</v>
      </c>
      <c r="D24" s="48">
        <f t="shared" si="3"/>
        <v>302.37</v>
      </c>
      <c r="E24" s="48">
        <f t="shared" si="3"/>
        <v>103.6</v>
      </c>
      <c r="F24" s="48">
        <f t="shared" si="3"/>
        <v>471.02</v>
      </c>
      <c r="G24" s="48">
        <f t="shared" si="3"/>
        <v>103.6</v>
      </c>
      <c r="H24" s="48">
        <f t="shared" si="3"/>
        <v>398.26</v>
      </c>
      <c r="I24" s="48">
        <f t="shared" si="3"/>
        <v>103.6</v>
      </c>
      <c r="J24" s="48">
        <f t="shared" si="3"/>
        <v>506.33000000000004</v>
      </c>
      <c r="K24" s="48">
        <f t="shared" si="3"/>
        <v>103.6</v>
      </c>
      <c r="L24" s="48">
        <f t="shared" si="3"/>
        <v>464.53</v>
      </c>
      <c r="M24" s="48">
        <f t="shared" si="3"/>
        <v>103.6</v>
      </c>
      <c r="N24" s="48">
        <f t="shared" si="3"/>
        <v>488.18</v>
      </c>
      <c r="O24" s="48">
        <f t="shared" si="3"/>
        <v>103.6</v>
      </c>
      <c r="P24" s="48">
        <f t="shared" si="3"/>
        <v>369.22</v>
      </c>
      <c r="Q24" s="48">
        <f t="shared" si="3"/>
        <v>103.6</v>
      </c>
      <c r="R24" s="48">
        <f t="shared" si="3"/>
        <v>472.34000000000003</v>
      </c>
      <c r="S24" s="48">
        <f t="shared" si="3"/>
        <v>103.6</v>
      </c>
      <c r="T24" s="48">
        <f t="shared" si="3"/>
        <v>402.22</v>
      </c>
      <c r="U24" s="48">
        <f t="shared" si="3"/>
        <v>103.6</v>
      </c>
      <c r="V24" s="48">
        <f t="shared" si="3"/>
        <v>687.11</v>
      </c>
      <c r="W24" s="48">
        <f t="shared" si="3"/>
        <v>103.6</v>
      </c>
      <c r="X24" s="48">
        <f t="shared" si="3"/>
        <v>302.37</v>
      </c>
      <c r="Y24" s="48">
        <f t="shared" si="3"/>
        <v>103.6</v>
      </c>
      <c r="Z24" s="48">
        <f t="shared" si="3"/>
        <v>488.18</v>
      </c>
    </row>
    <row r="25" spans="1:26" ht="14.25" customHeight="1"/>
    <row r="26" spans="1:26" ht="14.25" customHeight="1"/>
    <row r="27" spans="1:26" ht="14.25" customHeight="1"/>
    <row r="28" spans="1:26" ht="14.25" customHeight="1"/>
    <row r="29" spans="1:26" ht="14.25" customHeight="1"/>
    <row r="30" spans="1:26" ht="14.25" customHeight="1"/>
    <row r="31" spans="1:26" ht="14.25" customHeight="1"/>
    <row r="32" spans="1:2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Z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4140625" defaultRowHeight="15" customHeight="1"/>
  <cols>
    <col min="1" max="1" width="38.33203125" customWidth="1"/>
    <col min="2" max="2" width="1.88671875" hidden="1" customWidth="1"/>
    <col min="3" max="30" width="10.6640625" customWidth="1"/>
  </cols>
  <sheetData>
    <row r="1" spans="1:27" ht="14.25" customHeight="1">
      <c r="A1" s="80" t="s">
        <v>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7" ht="14.25" customHeight="1">
      <c r="A2" s="3" t="s">
        <v>4</v>
      </c>
      <c r="B2" s="4" t="s">
        <v>3</v>
      </c>
      <c r="C2" s="4" t="s">
        <v>6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24</v>
      </c>
      <c r="S2" s="4" t="s">
        <v>25</v>
      </c>
      <c r="T2" s="4" t="s">
        <v>26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10" t="s">
        <v>32</v>
      </c>
    </row>
    <row r="3" spans="1:27" ht="14.25" customHeight="1">
      <c r="A3" s="11" t="s">
        <v>17</v>
      </c>
      <c r="B3" s="12">
        <v>11.84</v>
      </c>
      <c r="C3" s="12">
        <v>11.84</v>
      </c>
      <c r="D3" s="12">
        <v>11.84</v>
      </c>
      <c r="E3" s="12">
        <v>11.84</v>
      </c>
      <c r="F3" s="12">
        <v>11.84</v>
      </c>
      <c r="G3" s="12">
        <v>11.84</v>
      </c>
      <c r="H3" s="12">
        <v>11.84</v>
      </c>
      <c r="I3" s="12">
        <v>11.84</v>
      </c>
      <c r="J3" s="12">
        <v>11.84</v>
      </c>
      <c r="K3" s="12">
        <v>11.84</v>
      </c>
      <c r="L3" s="12">
        <v>11.84</v>
      </c>
      <c r="M3" s="12">
        <v>11.84</v>
      </c>
      <c r="N3" s="12">
        <v>11.84</v>
      </c>
      <c r="O3" s="12">
        <v>11.84</v>
      </c>
      <c r="P3" s="12">
        <v>11.84</v>
      </c>
      <c r="Q3" s="12">
        <v>11.84</v>
      </c>
      <c r="R3" s="12">
        <v>11.84</v>
      </c>
      <c r="S3" s="12">
        <v>11.84</v>
      </c>
      <c r="T3" s="12">
        <v>11.84</v>
      </c>
      <c r="U3" s="12">
        <v>11.84</v>
      </c>
      <c r="V3" s="12">
        <v>11.84</v>
      </c>
      <c r="W3" s="12">
        <v>11.84</v>
      </c>
      <c r="X3" s="12">
        <v>11.84</v>
      </c>
      <c r="Y3" s="12">
        <v>11.84</v>
      </c>
      <c r="Z3" s="16">
        <v>11.84</v>
      </c>
    </row>
    <row r="4" spans="1:27" ht="14.25" customHeight="1">
      <c r="A4" s="18" t="s">
        <v>37</v>
      </c>
      <c r="B4" s="19">
        <v>32.76</v>
      </c>
      <c r="C4" s="19">
        <v>32.76</v>
      </c>
      <c r="D4" s="19">
        <v>32.76</v>
      </c>
      <c r="E4" s="19">
        <v>32.76</v>
      </c>
      <c r="F4" s="19">
        <v>32.76</v>
      </c>
      <c r="G4" s="19">
        <v>32.76</v>
      </c>
      <c r="H4" s="19">
        <v>32.76</v>
      </c>
      <c r="I4" s="19">
        <v>32.76</v>
      </c>
      <c r="J4" s="19">
        <v>32.76</v>
      </c>
      <c r="K4" s="19">
        <v>32.76</v>
      </c>
      <c r="L4" s="19">
        <v>32.76</v>
      </c>
      <c r="M4" s="19">
        <v>32.76</v>
      </c>
      <c r="N4" s="19">
        <v>32.76</v>
      </c>
      <c r="O4" s="19">
        <v>32.76</v>
      </c>
      <c r="P4" s="19">
        <v>32.76</v>
      </c>
      <c r="Q4" s="19">
        <v>32.76</v>
      </c>
      <c r="R4" s="19">
        <v>32.76</v>
      </c>
      <c r="S4" s="19">
        <v>32.76</v>
      </c>
      <c r="T4" s="19">
        <v>32.76</v>
      </c>
      <c r="U4" s="19">
        <v>32.76</v>
      </c>
      <c r="V4" s="19">
        <v>32.76</v>
      </c>
      <c r="W4" s="19">
        <v>32.76</v>
      </c>
      <c r="X4" s="19">
        <v>32.76</v>
      </c>
      <c r="Y4" s="19">
        <v>32.76</v>
      </c>
      <c r="Z4" s="20">
        <v>32.76</v>
      </c>
    </row>
    <row r="5" spans="1:27" ht="14.25" customHeight="1">
      <c r="A5" s="18" t="s">
        <v>33</v>
      </c>
      <c r="B5" s="19"/>
      <c r="C5" s="19"/>
      <c r="D5" s="19">
        <v>20.99</v>
      </c>
      <c r="E5" s="19"/>
      <c r="F5" s="19">
        <v>20.99</v>
      </c>
      <c r="G5" s="19"/>
      <c r="H5" s="19">
        <v>20.99</v>
      </c>
      <c r="I5" s="19"/>
      <c r="J5" s="19">
        <v>20.99</v>
      </c>
      <c r="K5" s="19"/>
      <c r="L5" s="19">
        <v>20.99</v>
      </c>
      <c r="M5" s="19"/>
      <c r="N5" s="19">
        <v>20.99</v>
      </c>
      <c r="O5" s="19"/>
      <c r="P5" s="19">
        <v>20.99</v>
      </c>
      <c r="Q5" s="19"/>
      <c r="R5" s="19">
        <v>20.99</v>
      </c>
      <c r="S5" s="19"/>
      <c r="T5" s="19">
        <v>20.99</v>
      </c>
      <c r="U5" s="19"/>
      <c r="V5" s="19">
        <v>20.99</v>
      </c>
      <c r="W5" s="19"/>
      <c r="X5" s="19">
        <v>20.99</v>
      </c>
      <c r="Y5" s="19"/>
      <c r="Z5" s="20">
        <v>20.99</v>
      </c>
    </row>
    <row r="6" spans="1:27" ht="14.25" customHeight="1">
      <c r="A6" s="18" t="s">
        <v>34</v>
      </c>
      <c r="B6" s="19"/>
      <c r="C6" s="19"/>
      <c r="D6" s="19">
        <v>76.09</v>
      </c>
      <c r="E6" s="19"/>
      <c r="F6" s="19">
        <v>76.09</v>
      </c>
      <c r="G6" s="19"/>
      <c r="H6" s="19">
        <v>76.09</v>
      </c>
      <c r="I6" s="19"/>
      <c r="J6" s="19">
        <v>76.09</v>
      </c>
      <c r="K6" s="19"/>
      <c r="L6" s="19">
        <v>76.09</v>
      </c>
      <c r="M6" s="19"/>
      <c r="N6" s="19">
        <v>76.09</v>
      </c>
      <c r="O6" s="19"/>
      <c r="P6" s="19">
        <v>76.09</v>
      </c>
      <c r="Q6" s="19"/>
      <c r="R6" s="19">
        <v>76.09</v>
      </c>
      <c r="S6" s="19"/>
      <c r="T6" s="19">
        <v>76.09</v>
      </c>
      <c r="U6" s="19"/>
      <c r="V6" s="19">
        <v>76.09</v>
      </c>
      <c r="W6" s="19"/>
      <c r="X6" s="19">
        <v>76.09</v>
      </c>
      <c r="Y6" s="19"/>
      <c r="Z6" s="20">
        <v>76.09</v>
      </c>
    </row>
    <row r="7" spans="1:27" ht="14.25" customHeight="1">
      <c r="A7" s="18" t="s">
        <v>35</v>
      </c>
      <c r="B7" s="19"/>
      <c r="C7" s="19"/>
      <c r="D7" s="19"/>
      <c r="E7" s="19"/>
      <c r="F7" s="19">
        <v>55.85</v>
      </c>
      <c r="G7" s="19"/>
      <c r="H7" s="19"/>
      <c r="I7" s="19"/>
      <c r="J7" s="19">
        <v>55.85</v>
      </c>
      <c r="K7" s="19"/>
      <c r="L7" s="19"/>
      <c r="M7" s="19"/>
      <c r="N7" s="19">
        <v>55.85</v>
      </c>
      <c r="O7" s="19"/>
      <c r="P7" s="19"/>
      <c r="Q7" s="19"/>
      <c r="R7" s="19">
        <v>55.85</v>
      </c>
      <c r="S7" s="19"/>
      <c r="T7" s="19"/>
      <c r="U7" s="19"/>
      <c r="V7" s="19">
        <v>55.85</v>
      </c>
      <c r="W7" s="19"/>
      <c r="X7" s="19"/>
      <c r="Y7" s="19"/>
      <c r="Z7" s="20">
        <v>55.85</v>
      </c>
    </row>
    <row r="8" spans="1:27" ht="14.25" customHeight="1">
      <c r="A8" s="18" t="s">
        <v>48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>
        <v>79.87</v>
      </c>
      <c r="S8" s="19"/>
      <c r="T8" s="19"/>
      <c r="U8" s="19"/>
      <c r="V8" s="19"/>
      <c r="W8" s="19"/>
      <c r="X8" s="19"/>
      <c r="Y8" s="19"/>
      <c r="Z8" s="20"/>
    </row>
    <row r="9" spans="1:27" ht="14.25" customHeight="1">
      <c r="A9" s="18" t="s">
        <v>52</v>
      </c>
      <c r="B9" s="19"/>
      <c r="C9" s="19"/>
      <c r="D9" s="19">
        <v>21.25</v>
      </c>
      <c r="E9" s="19"/>
      <c r="F9" s="19">
        <v>21.25</v>
      </c>
      <c r="G9" s="19"/>
      <c r="H9" s="19">
        <v>21.25</v>
      </c>
      <c r="I9" s="19"/>
      <c r="J9" s="19">
        <v>21.25</v>
      </c>
      <c r="K9" s="19"/>
      <c r="L9" s="19">
        <v>21.25</v>
      </c>
      <c r="M9" s="19"/>
      <c r="N9" s="19">
        <v>21.25</v>
      </c>
      <c r="O9" s="19"/>
      <c r="P9" s="19">
        <v>21.25</v>
      </c>
      <c r="Q9" s="19"/>
      <c r="R9" s="19">
        <v>21.25</v>
      </c>
      <c r="S9" s="19"/>
      <c r="T9" s="19">
        <v>21.25</v>
      </c>
      <c r="U9" s="19"/>
      <c r="V9" s="19">
        <v>21.25</v>
      </c>
      <c r="W9" s="19"/>
      <c r="X9" s="19">
        <v>21.25</v>
      </c>
      <c r="Y9" s="19"/>
      <c r="Z9" s="20">
        <v>21.25</v>
      </c>
    </row>
    <row r="10" spans="1:27" ht="14.25" customHeight="1">
      <c r="A10" s="18" t="s">
        <v>55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>
        <v>23.71</v>
      </c>
      <c r="M10" s="19"/>
      <c r="N10" s="19"/>
      <c r="O10" s="19"/>
      <c r="P10" s="19"/>
      <c r="Q10" s="19"/>
      <c r="R10" s="19"/>
      <c r="S10" s="19"/>
      <c r="T10" s="19"/>
      <c r="U10" s="19"/>
      <c r="V10" s="19">
        <v>23.71</v>
      </c>
      <c r="W10" s="19"/>
      <c r="X10" s="19"/>
      <c r="Y10" s="19"/>
      <c r="Z10" s="20"/>
    </row>
    <row r="11" spans="1:27" ht="14.25" customHeight="1">
      <c r="A11" s="25" t="s">
        <v>57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>
        <v>163.9</v>
      </c>
      <c r="W11" s="19"/>
      <c r="X11" s="19"/>
      <c r="Y11" s="19"/>
      <c r="Z11" s="19"/>
    </row>
    <row r="12" spans="1:27" ht="14.25" customHeight="1">
      <c r="A12" s="25" t="s">
        <v>59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>
        <v>88.84</v>
      </c>
      <c r="W12" s="19"/>
      <c r="X12" s="19"/>
      <c r="Y12" s="19"/>
      <c r="Z12" s="19"/>
    </row>
    <row r="13" spans="1:27" ht="14.25" customHeight="1">
      <c r="A13" s="25" t="s">
        <v>61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>
        <v>71.41</v>
      </c>
      <c r="W13" s="19"/>
      <c r="X13" s="19"/>
      <c r="Y13" s="19"/>
      <c r="Z13" s="19"/>
    </row>
    <row r="14" spans="1:27" ht="14.25" customHeight="1">
      <c r="A14" s="31" t="s">
        <v>63</v>
      </c>
      <c r="B14" s="32"/>
      <c r="C14" s="32">
        <v>7.5</v>
      </c>
      <c r="D14" s="32">
        <v>7.5</v>
      </c>
      <c r="E14" s="32">
        <v>7.5</v>
      </c>
      <c r="F14" s="32">
        <v>7.5</v>
      </c>
      <c r="G14" s="32">
        <v>7.5</v>
      </c>
      <c r="H14" s="32">
        <v>7.5</v>
      </c>
      <c r="I14" s="32">
        <v>7.5</v>
      </c>
      <c r="J14" s="32">
        <v>7.5</v>
      </c>
      <c r="K14" s="32">
        <v>7.5</v>
      </c>
      <c r="L14" s="32">
        <v>7.5</v>
      </c>
      <c r="M14" s="32">
        <v>7.5</v>
      </c>
      <c r="N14" s="32">
        <v>7.5</v>
      </c>
      <c r="O14" s="32">
        <v>7.5</v>
      </c>
      <c r="P14" s="32">
        <v>7.5</v>
      </c>
      <c r="Q14" s="32">
        <v>7.5</v>
      </c>
      <c r="R14" s="32">
        <v>7.5</v>
      </c>
      <c r="S14" s="32">
        <v>7.5</v>
      </c>
      <c r="T14" s="32">
        <v>7.5</v>
      </c>
      <c r="U14" s="32">
        <v>7.5</v>
      </c>
      <c r="V14" s="32">
        <v>7.5</v>
      </c>
      <c r="W14" s="32">
        <v>7.5</v>
      </c>
      <c r="X14" s="32">
        <v>7.5</v>
      </c>
      <c r="Y14" s="32">
        <v>7.5</v>
      </c>
      <c r="Z14" s="33">
        <v>7.5</v>
      </c>
    </row>
    <row r="15" spans="1:27" ht="14.25" customHeight="1">
      <c r="A15" s="27" t="s">
        <v>47</v>
      </c>
      <c r="B15" s="28">
        <f>SUM(B3:B7)</f>
        <v>44.599999999999994</v>
      </c>
      <c r="C15" s="28">
        <f t="shared" ref="C15:Z15" si="0">SUM(C3:C14)</f>
        <v>52.099999999999994</v>
      </c>
      <c r="D15" s="28">
        <f t="shared" si="0"/>
        <v>170.43</v>
      </c>
      <c r="E15" s="28">
        <f t="shared" si="0"/>
        <v>52.099999999999994</v>
      </c>
      <c r="F15" s="28">
        <f t="shared" si="0"/>
        <v>226.28</v>
      </c>
      <c r="G15" s="28">
        <f t="shared" si="0"/>
        <v>52.099999999999994</v>
      </c>
      <c r="H15" s="28">
        <f t="shared" si="0"/>
        <v>170.43</v>
      </c>
      <c r="I15" s="28">
        <f t="shared" si="0"/>
        <v>52.099999999999994</v>
      </c>
      <c r="J15" s="28">
        <f t="shared" si="0"/>
        <v>226.28</v>
      </c>
      <c r="K15" s="28">
        <f t="shared" si="0"/>
        <v>52.099999999999994</v>
      </c>
      <c r="L15" s="28">
        <f t="shared" si="0"/>
        <v>194.14000000000001</v>
      </c>
      <c r="M15" s="28">
        <f t="shared" si="0"/>
        <v>52.099999999999994</v>
      </c>
      <c r="N15" s="28">
        <f t="shared" si="0"/>
        <v>226.28</v>
      </c>
      <c r="O15" s="28">
        <f t="shared" si="0"/>
        <v>52.099999999999994</v>
      </c>
      <c r="P15" s="28">
        <f t="shared" si="0"/>
        <v>170.43</v>
      </c>
      <c r="Q15" s="28">
        <f t="shared" si="0"/>
        <v>52.099999999999994</v>
      </c>
      <c r="R15" s="28">
        <f t="shared" si="0"/>
        <v>306.14999999999998</v>
      </c>
      <c r="S15" s="28">
        <f t="shared" si="0"/>
        <v>52.099999999999994</v>
      </c>
      <c r="T15" s="28">
        <f t="shared" si="0"/>
        <v>170.43</v>
      </c>
      <c r="U15" s="28">
        <f t="shared" si="0"/>
        <v>52.099999999999994</v>
      </c>
      <c r="V15" s="28">
        <f t="shared" si="0"/>
        <v>574.14</v>
      </c>
      <c r="W15" s="28">
        <f t="shared" si="0"/>
        <v>52.099999999999994</v>
      </c>
      <c r="X15" s="28">
        <f t="shared" si="0"/>
        <v>170.43</v>
      </c>
      <c r="Y15" s="28">
        <f t="shared" si="0"/>
        <v>52.099999999999994</v>
      </c>
      <c r="Z15" s="30">
        <f t="shared" si="0"/>
        <v>226.28</v>
      </c>
      <c r="AA15" s="34">
        <f>SUM(C15:Z15)</f>
        <v>3456.8999999999992</v>
      </c>
    </row>
    <row r="16" spans="1:27" ht="14.25" customHeight="1">
      <c r="A16" s="11" t="s">
        <v>66</v>
      </c>
      <c r="B16" s="12">
        <v>40.32</v>
      </c>
      <c r="C16" s="12">
        <v>46.2</v>
      </c>
      <c r="D16" s="12">
        <v>46.2</v>
      </c>
      <c r="E16" s="12">
        <v>46.2</v>
      </c>
      <c r="F16" s="12">
        <v>46.2</v>
      </c>
      <c r="G16" s="12">
        <v>46.2</v>
      </c>
      <c r="H16" s="12">
        <v>46.2</v>
      </c>
      <c r="I16" s="12">
        <v>46.2</v>
      </c>
      <c r="J16" s="12">
        <v>46.2</v>
      </c>
      <c r="K16" s="12">
        <v>46.2</v>
      </c>
      <c r="L16" s="12">
        <v>46.2</v>
      </c>
      <c r="M16" s="12">
        <v>46.2</v>
      </c>
      <c r="N16" s="12">
        <v>46.2</v>
      </c>
      <c r="O16" s="12">
        <v>46.2</v>
      </c>
      <c r="P16" s="12">
        <v>46.2</v>
      </c>
      <c r="Q16" s="12">
        <v>46.2</v>
      </c>
      <c r="R16" s="12">
        <v>46.2</v>
      </c>
      <c r="S16" s="12">
        <v>46.2</v>
      </c>
      <c r="T16" s="12">
        <v>46.2</v>
      </c>
      <c r="U16" s="12">
        <v>46.2</v>
      </c>
      <c r="V16" s="12">
        <v>46.2</v>
      </c>
      <c r="W16" s="12">
        <v>46.2</v>
      </c>
      <c r="X16" s="12">
        <v>46.2</v>
      </c>
      <c r="Y16" s="12">
        <v>46.2</v>
      </c>
      <c r="Z16" s="12">
        <v>46.2</v>
      </c>
      <c r="AA16" s="34"/>
    </row>
    <row r="17" spans="1:30" ht="14.25" customHeight="1">
      <c r="A17" s="18" t="s">
        <v>38</v>
      </c>
      <c r="B17" s="19"/>
      <c r="C17" s="19"/>
      <c r="D17" s="19"/>
      <c r="E17" s="19"/>
      <c r="F17" s="19">
        <v>7.71</v>
      </c>
      <c r="G17" s="19"/>
      <c r="H17" s="19"/>
      <c r="I17" s="19"/>
      <c r="J17" s="19">
        <v>7.71</v>
      </c>
      <c r="K17" s="19"/>
      <c r="L17" s="19"/>
      <c r="M17" s="19"/>
      <c r="N17" s="19">
        <v>7.71</v>
      </c>
      <c r="O17" s="19"/>
      <c r="P17" s="19"/>
      <c r="Q17" s="19"/>
      <c r="R17" s="19">
        <v>7.71</v>
      </c>
      <c r="S17" s="19"/>
      <c r="T17" s="19"/>
      <c r="U17" s="19"/>
      <c r="V17" s="19">
        <v>7.71</v>
      </c>
      <c r="W17" s="19"/>
      <c r="X17" s="19"/>
      <c r="Y17" s="19"/>
      <c r="Z17" s="20">
        <v>7.71</v>
      </c>
      <c r="AA17" s="34"/>
    </row>
    <row r="18" spans="1:30" ht="14.25" customHeight="1">
      <c r="A18" s="18" t="s">
        <v>39</v>
      </c>
      <c r="B18" s="19"/>
      <c r="C18" s="19"/>
      <c r="D18" s="19">
        <v>6.16</v>
      </c>
      <c r="E18" s="19"/>
      <c r="F18" s="19">
        <v>6.16</v>
      </c>
      <c r="G18" s="19"/>
      <c r="H18" s="19">
        <v>6.16</v>
      </c>
      <c r="I18" s="19"/>
      <c r="J18" s="19">
        <v>6.16</v>
      </c>
      <c r="K18" s="19"/>
      <c r="L18" s="19">
        <v>6.16</v>
      </c>
      <c r="M18" s="19"/>
      <c r="N18" s="19">
        <v>6.16</v>
      </c>
      <c r="O18" s="19"/>
      <c r="P18" s="19">
        <v>6.16</v>
      </c>
      <c r="Q18" s="19"/>
      <c r="R18" s="19">
        <v>6.16</v>
      </c>
      <c r="S18" s="19"/>
      <c r="T18" s="19">
        <v>6.16</v>
      </c>
      <c r="U18" s="19"/>
      <c r="V18" s="19">
        <v>6.16</v>
      </c>
      <c r="W18" s="19"/>
      <c r="X18" s="19">
        <v>6.16</v>
      </c>
      <c r="Y18" s="19"/>
      <c r="Z18" s="20">
        <v>6.16</v>
      </c>
      <c r="AA18" s="34"/>
    </row>
    <row r="19" spans="1:30" ht="14.25" customHeight="1">
      <c r="A19" s="18" t="s">
        <v>40</v>
      </c>
      <c r="B19" s="19"/>
      <c r="C19" s="19"/>
      <c r="D19" s="19">
        <v>6.62</v>
      </c>
      <c r="E19" s="19"/>
      <c r="F19" s="19">
        <v>6.62</v>
      </c>
      <c r="G19" s="19"/>
      <c r="H19" s="19">
        <v>6.62</v>
      </c>
      <c r="I19" s="19"/>
      <c r="J19" s="19">
        <v>6.62</v>
      </c>
      <c r="K19" s="19"/>
      <c r="L19" s="19">
        <v>6.62</v>
      </c>
      <c r="M19" s="19"/>
      <c r="N19" s="19">
        <v>6.62</v>
      </c>
      <c r="O19" s="19"/>
      <c r="P19" s="19">
        <v>6.62</v>
      </c>
      <c r="Q19" s="19"/>
      <c r="R19" s="19">
        <v>6.62</v>
      </c>
      <c r="S19" s="19"/>
      <c r="T19" s="19">
        <v>6.62</v>
      </c>
      <c r="U19" s="19"/>
      <c r="V19" s="19">
        <v>6.62</v>
      </c>
      <c r="W19" s="19"/>
      <c r="X19" s="19">
        <v>6.62</v>
      </c>
      <c r="Y19" s="19"/>
      <c r="Z19" s="20">
        <v>6.62</v>
      </c>
      <c r="AA19" s="34"/>
    </row>
    <row r="20" spans="1:30" ht="14.25" customHeight="1">
      <c r="A20" s="18" t="s">
        <v>68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>
        <v>35.44</v>
      </c>
      <c r="M20" s="19"/>
      <c r="N20" s="19"/>
      <c r="O20" s="19"/>
      <c r="P20" s="19"/>
      <c r="Q20" s="19"/>
      <c r="R20" s="19"/>
      <c r="S20" s="19"/>
      <c r="T20" s="19"/>
      <c r="U20" s="19"/>
      <c r="V20" s="19">
        <v>35.44</v>
      </c>
      <c r="W20" s="19"/>
      <c r="X20" s="19"/>
      <c r="Y20" s="19"/>
      <c r="Z20" s="20"/>
      <c r="AA20" s="34"/>
    </row>
    <row r="21" spans="1:30" ht="14.25" customHeight="1">
      <c r="A21" s="36" t="s">
        <v>69</v>
      </c>
      <c r="B21" s="19"/>
      <c r="C21" s="19">
        <v>28.23</v>
      </c>
      <c r="D21" s="19"/>
      <c r="E21" s="19"/>
      <c r="F21" s="19"/>
      <c r="G21" s="19"/>
      <c r="H21" s="19"/>
      <c r="I21" s="19"/>
      <c r="J21" s="19"/>
      <c r="K21" s="19"/>
      <c r="L21" s="19">
        <v>28.23</v>
      </c>
      <c r="M21" s="19"/>
      <c r="N21" s="19"/>
      <c r="O21" s="19"/>
      <c r="P21" s="19"/>
      <c r="Q21" s="19"/>
      <c r="R21" s="19"/>
      <c r="S21" s="19"/>
      <c r="T21" s="19"/>
      <c r="U21" s="19"/>
      <c r="V21" s="19">
        <v>28.23</v>
      </c>
      <c r="W21" s="19"/>
      <c r="X21" s="19"/>
      <c r="Y21" s="19"/>
      <c r="Z21" s="20"/>
      <c r="AA21" s="34"/>
    </row>
    <row r="22" spans="1:30" ht="14.25" customHeight="1">
      <c r="A22" s="36" t="s">
        <v>71</v>
      </c>
      <c r="B22" s="19"/>
      <c r="C22" s="19">
        <v>26.61</v>
      </c>
      <c r="D22" s="19"/>
      <c r="E22" s="19"/>
      <c r="F22" s="19"/>
      <c r="G22" s="19"/>
      <c r="H22" s="19"/>
      <c r="I22" s="19"/>
      <c r="J22" s="19"/>
      <c r="K22" s="19"/>
      <c r="L22" s="19">
        <v>26.61</v>
      </c>
      <c r="M22" s="19"/>
      <c r="N22" s="19"/>
      <c r="O22" s="19"/>
      <c r="P22" s="19"/>
      <c r="Q22" s="19"/>
      <c r="R22" s="19"/>
      <c r="S22" s="19"/>
      <c r="T22" s="19"/>
      <c r="U22" s="19"/>
      <c r="V22" s="19">
        <v>26.61</v>
      </c>
      <c r="W22" s="19"/>
      <c r="X22" s="19"/>
      <c r="Y22" s="19"/>
      <c r="Z22" s="20"/>
      <c r="AA22" s="34"/>
    </row>
    <row r="23" spans="1:30" ht="14.25" customHeight="1">
      <c r="A23" s="36" t="s">
        <v>73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>
        <v>8.7100000000000009</v>
      </c>
      <c r="M23" s="19"/>
      <c r="N23" s="19"/>
      <c r="O23" s="19"/>
      <c r="P23" s="19"/>
      <c r="Q23" s="19"/>
      <c r="R23" s="19"/>
      <c r="S23" s="19"/>
      <c r="T23" s="19"/>
      <c r="U23" s="19"/>
      <c r="V23" s="19">
        <v>8.7100000000000009</v>
      </c>
      <c r="W23" s="19"/>
      <c r="X23" s="19"/>
      <c r="Y23" s="19"/>
      <c r="Z23" s="20"/>
      <c r="AA23" s="34"/>
      <c r="AD23" s="34"/>
    </row>
    <row r="24" spans="1:30" ht="14.25" customHeight="1">
      <c r="A24" s="18" t="s">
        <v>44</v>
      </c>
      <c r="B24" s="19">
        <v>3.5</v>
      </c>
      <c r="C24" s="19">
        <v>5</v>
      </c>
      <c r="D24" s="19">
        <v>5</v>
      </c>
      <c r="E24" s="19">
        <v>5</v>
      </c>
      <c r="F24" s="19">
        <v>5</v>
      </c>
      <c r="G24" s="19">
        <v>5</v>
      </c>
      <c r="H24" s="19">
        <v>5</v>
      </c>
      <c r="I24" s="19">
        <v>5</v>
      </c>
      <c r="J24" s="19">
        <v>5</v>
      </c>
      <c r="K24" s="19">
        <v>5</v>
      </c>
      <c r="L24" s="19">
        <v>5</v>
      </c>
      <c r="M24" s="19">
        <v>5</v>
      </c>
      <c r="N24" s="19">
        <v>5</v>
      </c>
      <c r="O24" s="19">
        <v>5</v>
      </c>
      <c r="P24" s="19">
        <v>5</v>
      </c>
      <c r="Q24" s="19">
        <v>5</v>
      </c>
      <c r="R24" s="19">
        <v>5</v>
      </c>
      <c r="S24" s="19">
        <v>5</v>
      </c>
      <c r="T24" s="19">
        <v>5</v>
      </c>
      <c r="U24" s="19">
        <v>5</v>
      </c>
      <c r="V24" s="19">
        <v>5</v>
      </c>
      <c r="W24" s="19">
        <v>5</v>
      </c>
      <c r="X24" s="19">
        <v>5</v>
      </c>
      <c r="Y24" s="19">
        <v>5</v>
      </c>
      <c r="Z24" s="20">
        <v>5</v>
      </c>
      <c r="AA24" s="34"/>
    </row>
    <row r="25" spans="1:30" ht="14.25" customHeight="1">
      <c r="A25" s="18" t="s">
        <v>75</v>
      </c>
      <c r="B25" s="19"/>
      <c r="C25" s="19"/>
      <c r="D25" s="19"/>
      <c r="E25" s="19"/>
      <c r="F25" s="19">
        <v>15</v>
      </c>
      <c r="G25" s="19"/>
      <c r="H25" s="19"/>
      <c r="I25" s="19"/>
      <c r="J25" s="19">
        <v>15</v>
      </c>
      <c r="K25" s="19"/>
      <c r="L25" s="19"/>
      <c r="M25" s="19"/>
      <c r="N25" s="19">
        <v>15</v>
      </c>
      <c r="O25" s="19"/>
      <c r="P25" s="19"/>
      <c r="Q25" s="19"/>
      <c r="R25" s="19">
        <v>15</v>
      </c>
      <c r="S25" s="19"/>
      <c r="T25" s="19"/>
      <c r="U25" s="19"/>
      <c r="V25" s="19">
        <v>15</v>
      </c>
      <c r="W25" s="19"/>
      <c r="X25" s="19"/>
      <c r="Y25" s="19"/>
      <c r="Z25" s="20">
        <v>15</v>
      </c>
      <c r="AA25" s="34"/>
    </row>
    <row r="26" spans="1:30" ht="14.25" hidden="1" customHeight="1">
      <c r="A26" s="31" t="s">
        <v>77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3"/>
      <c r="AA26" s="34">
        <f t="shared" ref="AA26:AA27" si="1">SUM(C26:Z26)</f>
        <v>0</v>
      </c>
    </row>
    <row r="27" spans="1:30" ht="14.25" customHeight="1">
      <c r="A27" s="40" t="s">
        <v>72</v>
      </c>
      <c r="B27" s="41">
        <f>SUM(B16:B25)</f>
        <v>43.82</v>
      </c>
      <c r="C27" s="41">
        <f t="shared" ref="C27:Z27" si="2">SUM(C16:C26)</f>
        <v>106.04</v>
      </c>
      <c r="D27" s="41">
        <f t="shared" si="2"/>
        <v>63.98</v>
      </c>
      <c r="E27" s="41">
        <f t="shared" si="2"/>
        <v>51.2</v>
      </c>
      <c r="F27" s="41">
        <f t="shared" si="2"/>
        <v>86.690000000000012</v>
      </c>
      <c r="G27" s="41">
        <f t="shared" si="2"/>
        <v>51.2</v>
      </c>
      <c r="H27" s="41">
        <f t="shared" si="2"/>
        <v>63.98</v>
      </c>
      <c r="I27" s="41">
        <f t="shared" si="2"/>
        <v>51.2</v>
      </c>
      <c r="J27" s="41">
        <f t="shared" si="2"/>
        <v>86.690000000000012</v>
      </c>
      <c r="K27" s="41">
        <f t="shared" si="2"/>
        <v>51.2</v>
      </c>
      <c r="L27" s="41">
        <f t="shared" si="2"/>
        <v>162.97</v>
      </c>
      <c r="M27" s="41">
        <f t="shared" si="2"/>
        <v>51.2</v>
      </c>
      <c r="N27" s="41">
        <f t="shared" si="2"/>
        <v>86.690000000000012</v>
      </c>
      <c r="O27" s="41">
        <f t="shared" si="2"/>
        <v>51.2</v>
      </c>
      <c r="P27" s="41">
        <f t="shared" si="2"/>
        <v>63.98</v>
      </c>
      <c r="Q27" s="41">
        <f t="shared" si="2"/>
        <v>51.2</v>
      </c>
      <c r="R27" s="41">
        <f t="shared" si="2"/>
        <v>86.690000000000012</v>
      </c>
      <c r="S27" s="41">
        <f t="shared" si="2"/>
        <v>51.2</v>
      </c>
      <c r="T27" s="41">
        <f t="shared" si="2"/>
        <v>63.98</v>
      </c>
      <c r="U27" s="41">
        <f t="shared" si="2"/>
        <v>51.2</v>
      </c>
      <c r="V27" s="41">
        <f t="shared" si="2"/>
        <v>185.68000000000004</v>
      </c>
      <c r="W27" s="41">
        <f t="shared" si="2"/>
        <v>51.2</v>
      </c>
      <c r="X27" s="41">
        <f t="shared" si="2"/>
        <v>63.98</v>
      </c>
      <c r="Y27" s="41">
        <f t="shared" si="2"/>
        <v>51.2</v>
      </c>
      <c r="Z27" s="42">
        <f t="shared" si="2"/>
        <v>86.690000000000012</v>
      </c>
      <c r="AA27" s="34">
        <f t="shared" si="1"/>
        <v>1771.2400000000007</v>
      </c>
    </row>
    <row r="28" spans="1:30" ht="14.25" customHeight="1">
      <c r="A28" s="11" t="s">
        <v>49</v>
      </c>
      <c r="B28" s="12">
        <v>15.18</v>
      </c>
      <c r="C28" s="12">
        <v>20.79</v>
      </c>
      <c r="D28" s="12">
        <v>137.28</v>
      </c>
      <c r="E28" s="12">
        <v>15.18</v>
      </c>
      <c r="F28" s="12">
        <v>146.19</v>
      </c>
      <c r="G28" s="12">
        <v>15.18</v>
      </c>
      <c r="H28" s="12">
        <v>157.08000000000001</v>
      </c>
      <c r="I28" s="12">
        <v>15.18</v>
      </c>
      <c r="J28" s="12">
        <v>181.5</v>
      </c>
      <c r="K28" s="12">
        <v>15.18</v>
      </c>
      <c r="L28" s="12">
        <v>150.81</v>
      </c>
      <c r="M28" s="12">
        <v>15.18</v>
      </c>
      <c r="N28" s="12">
        <v>163.35</v>
      </c>
      <c r="O28" s="12">
        <v>15.18</v>
      </c>
      <c r="P28" s="12">
        <v>128.04</v>
      </c>
      <c r="Q28" s="12">
        <v>15.18</v>
      </c>
      <c r="R28" s="12">
        <v>147.51</v>
      </c>
      <c r="S28" s="12">
        <v>15.18</v>
      </c>
      <c r="T28" s="12">
        <v>161.04</v>
      </c>
      <c r="U28" s="12">
        <v>15.18</v>
      </c>
      <c r="V28" s="12">
        <v>289.74</v>
      </c>
      <c r="W28" s="12">
        <v>15.18</v>
      </c>
      <c r="X28" s="12">
        <v>137.28</v>
      </c>
      <c r="Y28" s="12">
        <v>15.18</v>
      </c>
      <c r="Z28" s="16">
        <v>163.35</v>
      </c>
      <c r="AA28" s="34"/>
    </row>
    <row r="29" spans="1:30" ht="14.25" customHeight="1">
      <c r="A29" s="18" t="s">
        <v>81</v>
      </c>
      <c r="B29" s="19">
        <v>0</v>
      </c>
      <c r="C29" s="19"/>
      <c r="D29" s="19">
        <v>17.16</v>
      </c>
      <c r="E29" s="19"/>
      <c r="F29" s="19">
        <v>17.16</v>
      </c>
      <c r="G29" s="19"/>
      <c r="H29" s="19">
        <v>17.16</v>
      </c>
      <c r="I29" s="19"/>
      <c r="J29" s="19">
        <v>17.16</v>
      </c>
      <c r="K29" s="19"/>
      <c r="L29" s="19">
        <v>17.16</v>
      </c>
      <c r="M29" s="19"/>
      <c r="N29" s="19">
        <v>17.16</v>
      </c>
      <c r="O29" s="19"/>
      <c r="P29" s="19">
        <v>17.16</v>
      </c>
      <c r="Q29" s="19"/>
      <c r="R29" s="19">
        <v>17.16</v>
      </c>
      <c r="S29" s="19"/>
      <c r="T29" s="19">
        <v>17.16</v>
      </c>
      <c r="U29" s="19"/>
      <c r="V29" s="19">
        <v>17.16</v>
      </c>
      <c r="W29" s="19"/>
      <c r="X29" s="19">
        <v>17.16</v>
      </c>
      <c r="Y29" s="19"/>
      <c r="Z29" s="20">
        <v>17.16</v>
      </c>
      <c r="AA29" s="34"/>
    </row>
    <row r="30" spans="1:30" ht="14.25" customHeight="1">
      <c r="A30" s="18" t="s">
        <v>78</v>
      </c>
      <c r="B30" s="19"/>
      <c r="C30" s="19"/>
      <c r="D30" s="19">
        <v>15.84</v>
      </c>
      <c r="E30" s="19"/>
      <c r="F30" s="19">
        <v>15.84</v>
      </c>
      <c r="G30" s="19"/>
      <c r="H30" s="19">
        <v>15.84</v>
      </c>
      <c r="I30" s="19"/>
      <c r="J30" s="19">
        <v>15.84</v>
      </c>
      <c r="K30" s="19"/>
      <c r="L30" s="19">
        <v>15.84</v>
      </c>
      <c r="M30" s="19"/>
      <c r="N30" s="19">
        <v>15.84</v>
      </c>
      <c r="O30" s="19"/>
      <c r="P30" s="19">
        <v>15.84</v>
      </c>
      <c r="Q30" s="19"/>
      <c r="R30" s="19">
        <v>15.84</v>
      </c>
      <c r="S30" s="19"/>
      <c r="T30" s="19">
        <v>15.84</v>
      </c>
      <c r="U30" s="19"/>
      <c r="V30" s="19">
        <v>15.84</v>
      </c>
      <c r="W30" s="19"/>
      <c r="X30" s="19">
        <v>15.84</v>
      </c>
      <c r="Y30" s="19"/>
      <c r="Z30" s="20">
        <v>15.84</v>
      </c>
      <c r="AA30" s="34"/>
    </row>
    <row r="31" spans="1:30" ht="14.25" customHeight="1">
      <c r="A31" s="18" t="s">
        <v>51</v>
      </c>
      <c r="B31" s="19">
        <v>0</v>
      </c>
      <c r="C31" s="19"/>
      <c r="D31" s="19"/>
      <c r="E31" s="19"/>
      <c r="F31" s="19">
        <v>16.5</v>
      </c>
      <c r="G31" s="19"/>
      <c r="H31" s="19"/>
      <c r="I31" s="19"/>
      <c r="J31" s="19">
        <v>16.5</v>
      </c>
      <c r="K31" s="19"/>
      <c r="L31" s="19"/>
      <c r="M31" s="19"/>
      <c r="N31" s="19">
        <v>16.5</v>
      </c>
      <c r="O31" s="19"/>
      <c r="P31" s="19"/>
      <c r="Q31" s="19"/>
      <c r="R31" s="19">
        <v>16.5</v>
      </c>
      <c r="S31" s="19"/>
      <c r="T31" s="19"/>
      <c r="U31" s="19"/>
      <c r="V31" s="19">
        <v>16.5</v>
      </c>
      <c r="W31" s="19"/>
      <c r="X31" s="19"/>
      <c r="Y31" s="19"/>
      <c r="Z31" s="20">
        <v>16.5</v>
      </c>
      <c r="AA31" s="34"/>
    </row>
    <row r="32" spans="1:30" ht="14.25" customHeight="1">
      <c r="A32" s="23" t="s">
        <v>83</v>
      </c>
      <c r="B32" s="24"/>
      <c r="C32" s="24"/>
      <c r="D32" s="24"/>
      <c r="E32" s="24"/>
      <c r="F32" s="24">
        <v>33</v>
      </c>
      <c r="G32" s="24"/>
      <c r="H32" s="24"/>
      <c r="I32" s="24"/>
      <c r="J32" s="24">
        <v>33</v>
      </c>
      <c r="K32" s="24"/>
      <c r="L32" s="24"/>
      <c r="M32" s="24"/>
      <c r="N32" s="24">
        <v>33</v>
      </c>
      <c r="O32" s="24"/>
      <c r="P32" s="24"/>
      <c r="Q32" s="24"/>
      <c r="R32" s="24">
        <v>33</v>
      </c>
      <c r="S32" s="24"/>
      <c r="T32" s="24"/>
      <c r="U32" s="24"/>
      <c r="V32" s="24">
        <v>33</v>
      </c>
      <c r="W32" s="24"/>
      <c r="X32" s="24"/>
      <c r="Y32" s="24"/>
      <c r="Z32" s="24">
        <v>33</v>
      </c>
      <c r="AA32" s="34"/>
    </row>
    <row r="33" spans="1:27" ht="14.25" customHeight="1">
      <c r="A33" s="23" t="s">
        <v>84</v>
      </c>
      <c r="B33" s="24"/>
      <c r="C33" s="24"/>
      <c r="D33" s="24"/>
      <c r="E33" s="24"/>
      <c r="F33" s="24">
        <v>66</v>
      </c>
      <c r="G33" s="24"/>
      <c r="H33" s="24"/>
      <c r="I33" s="24"/>
      <c r="J33" s="24">
        <v>66</v>
      </c>
      <c r="K33" s="24"/>
      <c r="L33" s="24"/>
      <c r="M33" s="24"/>
      <c r="N33" s="24">
        <v>66</v>
      </c>
      <c r="O33" s="24"/>
      <c r="P33" s="24"/>
      <c r="Q33" s="24"/>
      <c r="R33" s="24">
        <v>66</v>
      </c>
      <c r="S33" s="24"/>
      <c r="T33" s="24"/>
      <c r="U33" s="24"/>
      <c r="V33" s="24">
        <v>66</v>
      </c>
      <c r="W33" s="24"/>
      <c r="X33" s="24"/>
      <c r="Y33" s="24"/>
      <c r="Z33" s="24">
        <v>66</v>
      </c>
      <c r="AA33" s="34"/>
    </row>
    <row r="34" spans="1:27" ht="14.25" customHeight="1">
      <c r="A34" s="23" t="s">
        <v>67</v>
      </c>
      <c r="B34" s="24"/>
      <c r="C34" s="24"/>
      <c r="D34" s="24">
        <v>9.9</v>
      </c>
      <c r="E34" s="24"/>
      <c r="F34" s="24">
        <v>9.9</v>
      </c>
      <c r="G34" s="24"/>
      <c r="H34" s="24">
        <v>9.9</v>
      </c>
      <c r="I34" s="24"/>
      <c r="J34" s="24">
        <v>9.9</v>
      </c>
      <c r="K34" s="24"/>
      <c r="L34" s="24">
        <v>9.9</v>
      </c>
      <c r="M34" s="24"/>
      <c r="N34" s="24">
        <v>9.9</v>
      </c>
      <c r="O34" s="24"/>
      <c r="P34" s="24">
        <v>9.9</v>
      </c>
      <c r="Q34" s="24"/>
      <c r="R34" s="24">
        <v>9.9</v>
      </c>
      <c r="S34" s="24"/>
      <c r="T34" s="24">
        <v>9.9</v>
      </c>
      <c r="U34" s="24"/>
      <c r="V34" s="24">
        <v>9.9</v>
      </c>
      <c r="W34" s="24"/>
      <c r="X34" s="24">
        <v>9.9</v>
      </c>
      <c r="Y34" s="24"/>
      <c r="Z34" s="26">
        <v>9.9</v>
      </c>
      <c r="AA34" s="34"/>
    </row>
    <row r="35" spans="1:27" ht="14.25" hidden="1" customHeight="1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3"/>
      <c r="AA35" s="34">
        <f t="shared" ref="AA35:AA37" si="3">SUM(C35:Z35)</f>
        <v>0</v>
      </c>
    </row>
    <row r="36" spans="1:27" ht="14.25" customHeight="1">
      <c r="A36" s="43" t="s">
        <v>53</v>
      </c>
      <c r="B36" s="44">
        <f>SUM(B28:B34)</f>
        <v>15.18</v>
      </c>
      <c r="C36" s="44">
        <f t="shared" ref="C36:Z36" si="4">SUM(C28:C35)</f>
        <v>20.79</v>
      </c>
      <c r="D36" s="44">
        <f t="shared" si="4"/>
        <v>180.18</v>
      </c>
      <c r="E36" s="44">
        <f t="shared" si="4"/>
        <v>15.18</v>
      </c>
      <c r="F36" s="44">
        <f t="shared" si="4"/>
        <v>304.58999999999997</v>
      </c>
      <c r="G36" s="44">
        <f t="shared" si="4"/>
        <v>15.18</v>
      </c>
      <c r="H36" s="44">
        <f t="shared" si="4"/>
        <v>199.98000000000002</v>
      </c>
      <c r="I36" s="44">
        <f t="shared" si="4"/>
        <v>15.18</v>
      </c>
      <c r="J36" s="44">
        <f t="shared" si="4"/>
        <v>339.9</v>
      </c>
      <c r="K36" s="44">
        <f t="shared" si="4"/>
        <v>15.18</v>
      </c>
      <c r="L36" s="44">
        <f t="shared" si="4"/>
        <v>193.71</v>
      </c>
      <c r="M36" s="44">
        <f t="shared" si="4"/>
        <v>15.18</v>
      </c>
      <c r="N36" s="44">
        <f t="shared" si="4"/>
        <v>321.75</v>
      </c>
      <c r="O36" s="44">
        <f t="shared" si="4"/>
        <v>15.18</v>
      </c>
      <c r="P36" s="44">
        <f t="shared" si="4"/>
        <v>170.94</v>
      </c>
      <c r="Q36" s="44">
        <f t="shared" si="4"/>
        <v>15.18</v>
      </c>
      <c r="R36" s="44">
        <f t="shared" si="4"/>
        <v>305.90999999999997</v>
      </c>
      <c r="S36" s="44">
        <f t="shared" si="4"/>
        <v>15.18</v>
      </c>
      <c r="T36" s="44">
        <f t="shared" si="4"/>
        <v>203.94</v>
      </c>
      <c r="U36" s="44">
        <f t="shared" si="4"/>
        <v>15.18</v>
      </c>
      <c r="V36" s="44">
        <f t="shared" si="4"/>
        <v>448.14</v>
      </c>
      <c r="W36" s="44">
        <f t="shared" si="4"/>
        <v>15.18</v>
      </c>
      <c r="X36" s="44">
        <f t="shared" si="4"/>
        <v>180.18</v>
      </c>
      <c r="Y36" s="44">
        <f t="shared" si="4"/>
        <v>15.18</v>
      </c>
      <c r="Z36" s="45">
        <f t="shared" si="4"/>
        <v>321.75</v>
      </c>
      <c r="AA36" s="34">
        <f t="shared" si="3"/>
        <v>3358.7399999999993</v>
      </c>
    </row>
    <row r="37" spans="1:27" ht="14.25" customHeight="1">
      <c r="A37" s="50" t="s">
        <v>82</v>
      </c>
      <c r="B37" s="51">
        <f t="shared" ref="B37:Z37" si="5">+B15+B27+B36</f>
        <v>103.6</v>
      </c>
      <c r="C37" s="51">
        <f t="shared" si="5"/>
        <v>178.92999999999998</v>
      </c>
      <c r="D37" s="51">
        <f t="shared" si="5"/>
        <v>414.59000000000003</v>
      </c>
      <c r="E37" s="51">
        <f t="shared" si="5"/>
        <v>118.47999999999999</v>
      </c>
      <c r="F37" s="51">
        <f t="shared" si="5"/>
        <v>617.55999999999995</v>
      </c>
      <c r="G37" s="51">
        <f t="shared" si="5"/>
        <v>118.47999999999999</v>
      </c>
      <c r="H37" s="51">
        <f t="shared" si="5"/>
        <v>434.39</v>
      </c>
      <c r="I37" s="51">
        <f t="shared" si="5"/>
        <v>118.47999999999999</v>
      </c>
      <c r="J37" s="51">
        <f t="shared" si="5"/>
        <v>652.87</v>
      </c>
      <c r="K37" s="51">
        <f t="shared" si="5"/>
        <v>118.47999999999999</v>
      </c>
      <c r="L37" s="51">
        <f t="shared" si="5"/>
        <v>550.82000000000005</v>
      </c>
      <c r="M37" s="51">
        <f t="shared" si="5"/>
        <v>118.47999999999999</v>
      </c>
      <c r="N37" s="51">
        <f t="shared" si="5"/>
        <v>634.72</v>
      </c>
      <c r="O37" s="51">
        <f t="shared" si="5"/>
        <v>118.47999999999999</v>
      </c>
      <c r="P37" s="51">
        <f t="shared" si="5"/>
        <v>405.35</v>
      </c>
      <c r="Q37" s="51">
        <f t="shared" si="5"/>
        <v>118.47999999999999</v>
      </c>
      <c r="R37" s="51">
        <f t="shared" si="5"/>
        <v>698.75</v>
      </c>
      <c r="S37" s="51">
        <f t="shared" si="5"/>
        <v>118.47999999999999</v>
      </c>
      <c r="T37" s="51">
        <f t="shared" si="5"/>
        <v>438.35</v>
      </c>
      <c r="U37" s="51">
        <f t="shared" si="5"/>
        <v>118.47999999999999</v>
      </c>
      <c r="V37" s="51">
        <f t="shared" si="5"/>
        <v>1207.96</v>
      </c>
      <c r="W37" s="51">
        <f t="shared" si="5"/>
        <v>118.47999999999999</v>
      </c>
      <c r="X37" s="51">
        <f t="shared" si="5"/>
        <v>414.59000000000003</v>
      </c>
      <c r="Y37" s="51">
        <f t="shared" si="5"/>
        <v>118.47999999999999</v>
      </c>
      <c r="Z37" s="51">
        <f t="shared" si="5"/>
        <v>634.72</v>
      </c>
      <c r="AA37" s="34">
        <f t="shared" si="3"/>
        <v>8586.8799999999974</v>
      </c>
    </row>
    <row r="38" spans="1:27" ht="14.25" customHeight="1"/>
    <row r="39" spans="1:27" ht="14.25" customHeight="1"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7" ht="14.25" customHeight="1"/>
    <row r="41" spans="1:27" ht="14.25" customHeight="1"/>
    <row r="42" spans="1:27" ht="14.25" customHeight="1"/>
    <row r="43" spans="1:27" ht="14.25" customHeight="1"/>
    <row r="44" spans="1:27" ht="14.25" customHeight="1"/>
    <row r="45" spans="1:27" ht="14.25" customHeight="1"/>
    <row r="46" spans="1:27" ht="14.25" customHeight="1"/>
    <row r="47" spans="1:27" ht="14.25" customHeight="1"/>
    <row r="48" spans="1:2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Z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99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9" sqref="H9"/>
    </sheetView>
  </sheetViews>
  <sheetFormatPr baseColWidth="10" defaultColWidth="14.44140625" defaultRowHeight="15" customHeight="1"/>
  <cols>
    <col min="1" max="1" width="42.44140625" customWidth="1"/>
    <col min="2" max="2" width="10.6640625" customWidth="1"/>
    <col min="3" max="20" width="11.5546875" customWidth="1"/>
    <col min="21" max="25" width="11.6640625" customWidth="1"/>
    <col min="26" max="26" width="11.5546875" customWidth="1"/>
  </cols>
  <sheetData>
    <row r="1" spans="1:26" ht="14.25" customHeight="1">
      <c r="A1" s="80" t="s">
        <v>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</row>
    <row r="2" spans="1:26" ht="14.25" customHeight="1">
      <c r="A2" s="7" t="s">
        <v>4</v>
      </c>
      <c r="B2" s="9" t="s">
        <v>6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24</v>
      </c>
      <c r="R2" s="9" t="s">
        <v>25</v>
      </c>
      <c r="S2" s="9" t="s">
        <v>26</v>
      </c>
      <c r="T2" s="9" t="s">
        <v>27</v>
      </c>
      <c r="U2" s="9" t="s">
        <v>28</v>
      </c>
      <c r="V2" s="9" t="s">
        <v>29</v>
      </c>
      <c r="W2" s="9" t="s">
        <v>30</v>
      </c>
      <c r="X2" s="9" t="s">
        <v>31</v>
      </c>
      <c r="Y2" s="13" t="s">
        <v>32</v>
      </c>
      <c r="Z2" s="14"/>
    </row>
    <row r="3" spans="1:26" ht="14.25" customHeight="1">
      <c r="A3" s="15" t="s">
        <v>17</v>
      </c>
      <c r="B3" s="17">
        <v>14.34</v>
      </c>
      <c r="C3" s="17">
        <v>14.34</v>
      </c>
      <c r="D3" s="17">
        <v>14.34</v>
      </c>
      <c r="E3" s="17">
        <v>14.34</v>
      </c>
      <c r="F3" s="17">
        <v>14.34</v>
      </c>
      <c r="G3" s="17">
        <v>14.34</v>
      </c>
      <c r="H3" s="17">
        <v>14.34</v>
      </c>
      <c r="I3" s="17">
        <v>14.34</v>
      </c>
      <c r="J3" s="17">
        <v>14.34</v>
      </c>
      <c r="K3" s="17">
        <v>14.34</v>
      </c>
      <c r="L3" s="17">
        <v>14.34</v>
      </c>
      <c r="M3" s="17">
        <v>14.34</v>
      </c>
      <c r="N3" s="17">
        <v>14.34</v>
      </c>
      <c r="O3" s="17">
        <v>14.34</v>
      </c>
      <c r="P3" s="17">
        <v>14.34</v>
      </c>
      <c r="Q3" s="17">
        <v>14.34</v>
      </c>
      <c r="R3" s="17">
        <v>14.34</v>
      </c>
      <c r="S3" s="17">
        <v>14.34</v>
      </c>
      <c r="T3" s="17">
        <v>14.34</v>
      </c>
      <c r="U3" s="17">
        <v>14.34</v>
      </c>
      <c r="V3" s="17">
        <v>14.34</v>
      </c>
      <c r="W3" s="17">
        <v>14.34</v>
      </c>
      <c r="X3" s="17">
        <v>14.34</v>
      </c>
      <c r="Y3" s="17">
        <v>14.34</v>
      </c>
    </row>
    <row r="4" spans="1:26" ht="14.25" customHeight="1">
      <c r="A4" s="18" t="s">
        <v>37</v>
      </c>
      <c r="B4" s="19">
        <v>35.26</v>
      </c>
      <c r="C4" s="19">
        <v>35.26</v>
      </c>
      <c r="D4" s="19">
        <v>35.26</v>
      </c>
      <c r="E4" s="19">
        <v>35.26</v>
      </c>
      <c r="F4" s="19">
        <v>35.26</v>
      </c>
      <c r="G4" s="19">
        <v>35.26</v>
      </c>
      <c r="H4" s="19">
        <v>35.26</v>
      </c>
      <c r="I4" s="19">
        <v>35.26</v>
      </c>
      <c r="J4" s="19">
        <v>35.26</v>
      </c>
      <c r="K4" s="19">
        <v>35.26</v>
      </c>
      <c r="L4" s="19">
        <v>35.26</v>
      </c>
      <c r="M4" s="19">
        <v>35.26</v>
      </c>
      <c r="N4" s="19">
        <v>35.26</v>
      </c>
      <c r="O4" s="19">
        <v>35.26</v>
      </c>
      <c r="P4" s="19">
        <v>35.26</v>
      </c>
      <c r="Q4" s="19">
        <v>35.26</v>
      </c>
      <c r="R4" s="19">
        <v>35.26</v>
      </c>
      <c r="S4" s="19">
        <v>35.26</v>
      </c>
      <c r="T4" s="19">
        <v>35.26</v>
      </c>
      <c r="U4" s="19">
        <v>35.26</v>
      </c>
      <c r="V4" s="19">
        <v>35.26</v>
      </c>
      <c r="W4" s="19">
        <v>35.26</v>
      </c>
      <c r="X4" s="19">
        <v>35.26</v>
      </c>
      <c r="Y4" s="19">
        <v>35.26</v>
      </c>
    </row>
    <row r="5" spans="1:26" ht="14.25" customHeight="1">
      <c r="A5" s="18" t="s">
        <v>33</v>
      </c>
      <c r="B5" s="19"/>
      <c r="C5" s="19">
        <v>20.99</v>
      </c>
      <c r="D5" s="19"/>
      <c r="E5" s="19">
        <v>20.99</v>
      </c>
      <c r="F5" s="19"/>
      <c r="G5" s="19">
        <v>20.99</v>
      </c>
      <c r="H5" s="19"/>
      <c r="I5" s="19">
        <v>20.99</v>
      </c>
      <c r="J5" s="19"/>
      <c r="K5" s="19">
        <v>20.99</v>
      </c>
      <c r="L5" s="19"/>
      <c r="M5" s="19">
        <v>20.99</v>
      </c>
      <c r="N5" s="19"/>
      <c r="O5" s="19">
        <v>20.99</v>
      </c>
      <c r="P5" s="19"/>
      <c r="Q5" s="19">
        <v>20.99</v>
      </c>
      <c r="R5" s="19"/>
      <c r="S5" s="19">
        <v>20.99</v>
      </c>
      <c r="T5" s="19"/>
      <c r="U5" s="19">
        <v>20.99</v>
      </c>
      <c r="V5" s="19"/>
      <c r="W5" s="19">
        <v>20.99</v>
      </c>
      <c r="X5" s="19"/>
      <c r="Y5" s="20">
        <v>20.99</v>
      </c>
    </row>
    <row r="6" spans="1:26" ht="14.25" customHeight="1">
      <c r="A6" s="18" t="s">
        <v>34</v>
      </c>
      <c r="B6" s="19"/>
      <c r="C6" s="19">
        <v>76.09</v>
      </c>
      <c r="D6" s="19"/>
      <c r="E6" s="19">
        <v>76.09</v>
      </c>
      <c r="F6" s="19"/>
      <c r="G6" s="19">
        <v>76.09</v>
      </c>
      <c r="H6" s="19"/>
      <c r="I6" s="19">
        <v>76.09</v>
      </c>
      <c r="J6" s="19"/>
      <c r="K6" s="19">
        <v>76.09</v>
      </c>
      <c r="L6" s="19"/>
      <c r="M6" s="19">
        <v>76.09</v>
      </c>
      <c r="N6" s="19"/>
      <c r="O6" s="19">
        <v>76.09</v>
      </c>
      <c r="P6" s="19"/>
      <c r="Q6" s="19">
        <v>76.09</v>
      </c>
      <c r="R6" s="19"/>
      <c r="S6" s="19">
        <v>76.09</v>
      </c>
      <c r="T6" s="19"/>
      <c r="U6" s="19">
        <v>76.09</v>
      </c>
      <c r="V6" s="19"/>
      <c r="W6" s="19">
        <v>76.09</v>
      </c>
      <c r="X6" s="19"/>
      <c r="Y6" s="20">
        <v>76.09</v>
      </c>
    </row>
    <row r="7" spans="1:26" ht="14.25" customHeight="1">
      <c r="A7" s="18" t="s">
        <v>35</v>
      </c>
      <c r="B7" s="19"/>
      <c r="C7" s="19"/>
      <c r="D7" s="19"/>
      <c r="E7" s="19">
        <v>55.85</v>
      </c>
      <c r="F7" s="19"/>
      <c r="G7" s="19"/>
      <c r="H7" s="19"/>
      <c r="I7" s="19">
        <v>55.85</v>
      </c>
      <c r="J7" s="19"/>
      <c r="K7" s="19"/>
      <c r="L7" s="19"/>
      <c r="M7" s="19">
        <v>55.85</v>
      </c>
      <c r="N7" s="19"/>
      <c r="O7" s="19"/>
      <c r="P7" s="19"/>
      <c r="Q7" s="19">
        <v>55.85</v>
      </c>
      <c r="R7" s="19"/>
      <c r="S7" s="19"/>
      <c r="T7" s="19"/>
      <c r="U7" s="19">
        <v>55.85</v>
      </c>
      <c r="V7" s="19"/>
      <c r="W7" s="19"/>
      <c r="X7" s="19"/>
      <c r="Y7" s="20">
        <v>55.85</v>
      </c>
    </row>
    <row r="8" spans="1:26" ht="14.25" customHeight="1">
      <c r="A8" s="18" t="s">
        <v>56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>
        <v>79.87</v>
      </c>
      <c r="R8" s="19"/>
      <c r="S8" s="19"/>
      <c r="T8" s="19"/>
      <c r="U8" s="19"/>
      <c r="V8" s="19"/>
      <c r="W8" s="19"/>
      <c r="X8" s="19"/>
      <c r="Y8" s="20"/>
    </row>
    <row r="9" spans="1:26" ht="14.25" customHeight="1">
      <c r="A9" s="18" t="s">
        <v>52</v>
      </c>
      <c r="B9" s="19"/>
      <c r="C9" s="19">
        <v>21.25</v>
      </c>
      <c r="D9" s="19"/>
      <c r="E9" s="19">
        <v>21.25</v>
      </c>
      <c r="F9" s="19"/>
      <c r="G9" s="19">
        <v>21.25</v>
      </c>
      <c r="H9" s="19"/>
      <c r="I9" s="19">
        <v>21.25</v>
      </c>
      <c r="J9" s="19"/>
      <c r="K9" s="19">
        <v>21.25</v>
      </c>
      <c r="L9" s="19"/>
      <c r="M9" s="19">
        <v>21.25</v>
      </c>
      <c r="N9" s="19"/>
      <c r="O9" s="19">
        <v>21.25</v>
      </c>
      <c r="P9" s="19"/>
      <c r="Q9" s="19">
        <v>21.25</v>
      </c>
      <c r="R9" s="19"/>
      <c r="S9" s="19">
        <v>21.25</v>
      </c>
      <c r="T9" s="19"/>
      <c r="U9" s="19">
        <v>21.25</v>
      </c>
      <c r="V9" s="19"/>
      <c r="W9" s="19">
        <v>21.25</v>
      </c>
      <c r="X9" s="19"/>
      <c r="Y9" s="20">
        <v>21.25</v>
      </c>
    </row>
    <row r="10" spans="1:26" ht="14.25" customHeight="1">
      <c r="A10" s="18" t="s">
        <v>58</v>
      </c>
      <c r="B10" s="19"/>
      <c r="C10" s="19"/>
      <c r="D10" s="19"/>
      <c r="E10" s="19"/>
      <c r="F10" s="19"/>
      <c r="G10" s="19"/>
      <c r="H10" s="19"/>
      <c r="I10" s="19"/>
      <c r="J10" s="19"/>
      <c r="K10" s="19">
        <v>12.71</v>
      </c>
      <c r="L10" s="19"/>
      <c r="M10" s="19"/>
      <c r="N10" s="19"/>
      <c r="O10" s="19"/>
      <c r="P10" s="19"/>
      <c r="Q10" s="19"/>
      <c r="R10" s="19"/>
      <c r="S10" s="19"/>
      <c r="T10" s="19"/>
      <c r="U10" s="19">
        <v>12.71</v>
      </c>
      <c r="V10" s="19"/>
      <c r="W10" s="19"/>
      <c r="X10" s="19"/>
      <c r="Y10" s="29"/>
    </row>
    <row r="11" spans="1:26" ht="14.25" customHeight="1">
      <c r="A11" s="18" t="s">
        <v>60</v>
      </c>
      <c r="B11" s="19"/>
      <c r="C11" s="19"/>
      <c r="D11" s="19"/>
      <c r="E11" s="19"/>
      <c r="F11" s="19"/>
      <c r="G11" s="19"/>
      <c r="H11" s="19"/>
      <c r="I11" s="19"/>
      <c r="J11" s="19"/>
      <c r="K11" s="19">
        <v>11</v>
      </c>
      <c r="L11" s="19"/>
      <c r="M11" s="19"/>
      <c r="N11" s="19"/>
      <c r="O11" s="19"/>
      <c r="P11" s="19"/>
      <c r="Q11" s="19"/>
      <c r="R11" s="19"/>
      <c r="S11" s="19"/>
      <c r="T11" s="19"/>
      <c r="U11" s="19">
        <v>11</v>
      </c>
      <c r="V11" s="19"/>
      <c r="W11" s="19"/>
      <c r="X11" s="19"/>
      <c r="Y11" s="29"/>
    </row>
    <row r="12" spans="1:26" ht="14.25" customHeight="1">
      <c r="A12" s="18" t="s">
        <v>62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>
        <v>125.9</v>
      </c>
      <c r="V12" s="19"/>
      <c r="W12" s="19"/>
      <c r="X12" s="19"/>
      <c r="Y12" s="20"/>
    </row>
    <row r="13" spans="1:26" ht="14.25" customHeight="1">
      <c r="A13" s="18" t="s">
        <v>64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>
        <v>38</v>
      </c>
      <c r="V13" s="19"/>
      <c r="W13" s="19"/>
      <c r="X13" s="19"/>
      <c r="Y13" s="20"/>
    </row>
    <row r="14" spans="1:26" ht="14.25" customHeight="1">
      <c r="A14" s="18" t="s">
        <v>59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>
        <v>88.84</v>
      </c>
      <c r="V14" s="19"/>
      <c r="W14" s="19"/>
      <c r="X14" s="19"/>
      <c r="Y14" s="20"/>
    </row>
    <row r="15" spans="1:26" ht="14.25" customHeight="1">
      <c r="A15" s="18" t="s">
        <v>61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>
        <v>71.41</v>
      </c>
      <c r="V15" s="19"/>
      <c r="W15" s="19"/>
      <c r="X15" s="19"/>
      <c r="Y15" s="20"/>
    </row>
    <row r="16" spans="1:26" ht="14.25" customHeight="1">
      <c r="A16" s="31" t="s">
        <v>63</v>
      </c>
      <c r="B16" s="32">
        <v>7.5</v>
      </c>
      <c r="C16" s="32">
        <v>7.5</v>
      </c>
      <c r="D16" s="32">
        <v>7.5</v>
      </c>
      <c r="E16" s="32">
        <v>7.5</v>
      </c>
      <c r="F16" s="32">
        <v>7.5</v>
      </c>
      <c r="G16" s="32">
        <v>7.5</v>
      </c>
      <c r="H16" s="32">
        <v>7.5</v>
      </c>
      <c r="I16" s="32">
        <v>7.5</v>
      </c>
      <c r="J16" s="32">
        <v>7.5</v>
      </c>
      <c r="K16" s="32">
        <v>7.5</v>
      </c>
      <c r="L16" s="32">
        <v>7.5</v>
      </c>
      <c r="M16" s="32">
        <v>7.5</v>
      </c>
      <c r="N16" s="32">
        <v>7.5</v>
      </c>
      <c r="O16" s="32">
        <v>7.5</v>
      </c>
      <c r="P16" s="32">
        <v>7.5</v>
      </c>
      <c r="Q16" s="32">
        <v>7.5</v>
      </c>
      <c r="R16" s="32">
        <v>7.5</v>
      </c>
      <c r="S16" s="32">
        <v>7.5</v>
      </c>
      <c r="T16" s="32">
        <v>7.5</v>
      </c>
      <c r="U16" s="32">
        <v>7.5</v>
      </c>
      <c r="V16" s="32">
        <v>7.5</v>
      </c>
      <c r="W16" s="19">
        <v>7.5</v>
      </c>
      <c r="X16" s="19">
        <v>7.5</v>
      </c>
      <c r="Y16" s="20">
        <v>7.5</v>
      </c>
    </row>
    <row r="17" spans="1:26" ht="14.25" customHeight="1">
      <c r="A17" s="27" t="s">
        <v>47</v>
      </c>
      <c r="B17" s="28">
        <f t="shared" ref="B17:Y17" si="0">SUM(B3:B16)</f>
        <v>57.099999999999994</v>
      </c>
      <c r="C17" s="28">
        <f t="shared" si="0"/>
        <v>175.43</v>
      </c>
      <c r="D17" s="28">
        <f t="shared" si="0"/>
        <v>57.099999999999994</v>
      </c>
      <c r="E17" s="28">
        <f t="shared" si="0"/>
        <v>231.28</v>
      </c>
      <c r="F17" s="28">
        <f t="shared" si="0"/>
        <v>57.099999999999994</v>
      </c>
      <c r="G17" s="28">
        <f t="shared" si="0"/>
        <v>175.43</v>
      </c>
      <c r="H17" s="28">
        <f t="shared" si="0"/>
        <v>57.099999999999994</v>
      </c>
      <c r="I17" s="28">
        <f t="shared" si="0"/>
        <v>231.28</v>
      </c>
      <c r="J17" s="28">
        <f t="shared" si="0"/>
        <v>57.099999999999994</v>
      </c>
      <c r="K17" s="28">
        <f t="shared" si="0"/>
        <v>199.14000000000001</v>
      </c>
      <c r="L17" s="28">
        <f t="shared" si="0"/>
        <v>57.099999999999994</v>
      </c>
      <c r="M17" s="28">
        <f t="shared" si="0"/>
        <v>231.28</v>
      </c>
      <c r="N17" s="28">
        <f t="shared" si="0"/>
        <v>57.099999999999994</v>
      </c>
      <c r="O17" s="28">
        <f t="shared" si="0"/>
        <v>175.43</v>
      </c>
      <c r="P17" s="28">
        <f t="shared" si="0"/>
        <v>57.099999999999994</v>
      </c>
      <c r="Q17" s="28">
        <f t="shared" si="0"/>
        <v>311.14999999999998</v>
      </c>
      <c r="R17" s="28">
        <f t="shared" si="0"/>
        <v>57.099999999999994</v>
      </c>
      <c r="S17" s="28">
        <f t="shared" si="0"/>
        <v>175.43</v>
      </c>
      <c r="T17" s="28">
        <f t="shared" si="0"/>
        <v>57.099999999999994</v>
      </c>
      <c r="U17" s="28">
        <f t="shared" si="0"/>
        <v>579.14</v>
      </c>
      <c r="V17" s="28">
        <f t="shared" si="0"/>
        <v>57.099999999999994</v>
      </c>
      <c r="W17" s="35">
        <f t="shared" si="0"/>
        <v>175.43</v>
      </c>
      <c r="X17" s="35">
        <f t="shared" si="0"/>
        <v>57.099999999999994</v>
      </c>
      <c r="Y17" s="37">
        <f t="shared" si="0"/>
        <v>231.28</v>
      </c>
      <c r="Z17" s="34">
        <f>SUM(B17:Y17)</f>
        <v>3576.8999999999992</v>
      </c>
    </row>
    <row r="18" spans="1:26" ht="14.25" customHeight="1">
      <c r="A18" s="11" t="s">
        <v>66</v>
      </c>
      <c r="B18" s="12">
        <v>46.2</v>
      </c>
      <c r="C18" s="12">
        <v>46.2</v>
      </c>
      <c r="D18" s="12">
        <v>46.2</v>
      </c>
      <c r="E18" s="12">
        <v>46.2</v>
      </c>
      <c r="F18" s="12">
        <v>46.2</v>
      </c>
      <c r="G18" s="12">
        <v>46.2</v>
      </c>
      <c r="H18" s="12">
        <v>46.2</v>
      </c>
      <c r="I18" s="12">
        <v>46.2</v>
      </c>
      <c r="J18" s="12">
        <v>46.2</v>
      </c>
      <c r="K18" s="12">
        <v>46.2</v>
      </c>
      <c r="L18" s="12">
        <v>46.2</v>
      </c>
      <c r="M18" s="12">
        <v>46.2</v>
      </c>
      <c r="N18" s="12">
        <v>46.2</v>
      </c>
      <c r="O18" s="12">
        <v>46.2</v>
      </c>
      <c r="P18" s="12">
        <v>46.2</v>
      </c>
      <c r="Q18" s="12">
        <v>46.2</v>
      </c>
      <c r="R18" s="12">
        <v>46.2</v>
      </c>
      <c r="S18" s="12">
        <v>46.2</v>
      </c>
      <c r="T18" s="12">
        <v>46.2</v>
      </c>
      <c r="U18" s="12">
        <v>46.2</v>
      </c>
      <c r="V18" s="12">
        <v>46.2</v>
      </c>
      <c r="W18" s="12">
        <v>46.2</v>
      </c>
      <c r="X18" s="12">
        <v>46.2</v>
      </c>
      <c r="Y18" s="16">
        <v>46.2</v>
      </c>
      <c r="Z18" s="34"/>
    </row>
    <row r="19" spans="1:26" ht="14.25" customHeight="1">
      <c r="A19" s="18" t="s">
        <v>38</v>
      </c>
      <c r="B19" s="19"/>
      <c r="C19" s="19"/>
      <c r="D19" s="19"/>
      <c r="E19" s="19">
        <v>7.71</v>
      </c>
      <c r="F19" s="19"/>
      <c r="G19" s="19"/>
      <c r="H19" s="19"/>
      <c r="I19" s="19">
        <v>7.71</v>
      </c>
      <c r="J19" s="19"/>
      <c r="K19" s="19"/>
      <c r="L19" s="19"/>
      <c r="M19" s="19">
        <v>7.71</v>
      </c>
      <c r="N19" s="19"/>
      <c r="O19" s="19"/>
      <c r="P19" s="19"/>
      <c r="Q19" s="19">
        <v>7.71</v>
      </c>
      <c r="R19" s="19"/>
      <c r="S19" s="19"/>
      <c r="T19" s="19"/>
      <c r="U19" s="19">
        <v>7.71</v>
      </c>
      <c r="V19" s="19"/>
      <c r="W19" s="19"/>
      <c r="X19" s="19"/>
      <c r="Y19" s="20">
        <v>7.71</v>
      </c>
      <c r="Z19" s="34"/>
    </row>
    <row r="20" spans="1:26" ht="14.25" customHeight="1">
      <c r="A20" s="18" t="s">
        <v>39</v>
      </c>
      <c r="B20" s="19"/>
      <c r="C20" s="19">
        <v>6.16</v>
      </c>
      <c r="D20" s="19"/>
      <c r="E20" s="19">
        <v>6.16</v>
      </c>
      <c r="F20" s="19"/>
      <c r="G20" s="19">
        <v>6.16</v>
      </c>
      <c r="H20" s="19"/>
      <c r="I20" s="19">
        <v>6.16</v>
      </c>
      <c r="J20" s="19"/>
      <c r="K20" s="19">
        <v>6.16</v>
      </c>
      <c r="L20" s="19"/>
      <c r="M20" s="19">
        <v>6.16</v>
      </c>
      <c r="N20" s="19"/>
      <c r="O20" s="19">
        <v>6.16</v>
      </c>
      <c r="P20" s="19"/>
      <c r="Q20" s="19">
        <v>6.16</v>
      </c>
      <c r="R20" s="19"/>
      <c r="S20" s="19">
        <v>6.16</v>
      </c>
      <c r="T20" s="19"/>
      <c r="U20" s="19">
        <v>6.16</v>
      </c>
      <c r="V20" s="19"/>
      <c r="W20" s="19">
        <v>6.16</v>
      </c>
      <c r="X20" s="19"/>
      <c r="Y20" s="20">
        <v>6.16</v>
      </c>
      <c r="Z20" s="34"/>
    </row>
    <row r="21" spans="1:26" ht="14.25" customHeight="1">
      <c r="A21" s="18" t="s">
        <v>40</v>
      </c>
      <c r="B21" s="19"/>
      <c r="C21" s="19">
        <v>6.62</v>
      </c>
      <c r="D21" s="19"/>
      <c r="E21" s="19">
        <v>6.62</v>
      </c>
      <c r="F21" s="19"/>
      <c r="G21" s="19">
        <v>6.62</v>
      </c>
      <c r="H21" s="19"/>
      <c r="I21" s="19">
        <v>6.62</v>
      </c>
      <c r="J21" s="19"/>
      <c r="K21" s="19">
        <v>6.62</v>
      </c>
      <c r="L21" s="19"/>
      <c r="M21" s="19">
        <v>6.62</v>
      </c>
      <c r="N21" s="19"/>
      <c r="O21" s="19">
        <v>6.62</v>
      </c>
      <c r="P21" s="19"/>
      <c r="Q21" s="19">
        <v>6.62</v>
      </c>
      <c r="R21" s="19"/>
      <c r="S21" s="19">
        <v>6.62</v>
      </c>
      <c r="T21" s="19"/>
      <c r="U21" s="19">
        <v>6.62</v>
      </c>
      <c r="V21" s="19"/>
      <c r="W21" s="19">
        <v>6.62</v>
      </c>
      <c r="X21" s="19"/>
      <c r="Y21" s="20">
        <v>6.62</v>
      </c>
      <c r="Z21" s="34"/>
    </row>
    <row r="22" spans="1:26" ht="14.25" customHeight="1">
      <c r="A22" s="18" t="s">
        <v>68</v>
      </c>
      <c r="B22" s="19"/>
      <c r="C22" s="19"/>
      <c r="D22" s="19"/>
      <c r="E22" s="19"/>
      <c r="F22" s="19"/>
      <c r="G22" s="19"/>
      <c r="H22" s="19"/>
      <c r="I22" s="19"/>
      <c r="J22" s="19"/>
      <c r="K22" s="19">
        <v>35.44</v>
      </c>
      <c r="L22" s="19"/>
      <c r="M22" s="19"/>
      <c r="N22" s="19"/>
      <c r="O22" s="19"/>
      <c r="P22" s="19"/>
      <c r="Q22" s="19"/>
      <c r="R22" s="19"/>
      <c r="S22" s="19"/>
      <c r="T22" s="19"/>
      <c r="U22" s="19">
        <v>35.44</v>
      </c>
      <c r="V22" s="19"/>
      <c r="W22" s="19"/>
      <c r="X22" s="19"/>
      <c r="Y22" s="20"/>
      <c r="Z22" s="34"/>
    </row>
    <row r="23" spans="1:26" ht="14.25" customHeight="1">
      <c r="A23" s="36" t="s">
        <v>69</v>
      </c>
      <c r="B23" s="19">
        <v>28.23</v>
      </c>
      <c r="C23" s="19"/>
      <c r="D23" s="19"/>
      <c r="E23" s="19"/>
      <c r="F23" s="19"/>
      <c r="G23" s="19"/>
      <c r="H23" s="19"/>
      <c r="I23" s="19"/>
      <c r="J23" s="19"/>
      <c r="K23" s="19">
        <v>28.23</v>
      </c>
      <c r="L23" s="19"/>
      <c r="M23" s="19"/>
      <c r="N23" s="19"/>
      <c r="O23" s="19"/>
      <c r="P23" s="19"/>
      <c r="Q23" s="19"/>
      <c r="R23" s="19"/>
      <c r="S23" s="19"/>
      <c r="T23" s="19"/>
      <c r="U23" s="19">
        <v>28.23</v>
      </c>
      <c r="V23" s="19"/>
      <c r="W23" s="19"/>
      <c r="X23" s="19"/>
      <c r="Y23" s="20"/>
      <c r="Z23" s="34"/>
    </row>
    <row r="24" spans="1:26" ht="14.25" customHeight="1">
      <c r="A24" s="36" t="s">
        <v>76</v>
      </c>
      <c r="B24" s="19">
        <v>26.61</v>
      </c>
      <c r="C24" s="19"/>
      <c r="D24" s="19"/>
      <c r="E24" s="19"/>
      <c r="F24" s="19"/>
      <c r="G24" s="19"/>
      <c r="H24" s="19"/>
      <c r="I24" s="19"/>
      <c r="J24" s="19"/>
      <c r="K24" s="19">
        <v>26.61</v>
      </c>
      <c r="L24" s="19"/>
      <c r="M24" s="19"/>
      <c r="N24" s="19"/>
      <c r="O24" s="19"/>
      <c r="P24" s="19"/>
      <c r="Q24" s="19"/>
      <c r="R24" s="19"/>
      <c r="S24" s="19"/>
      <c r="T24" s="19"/>
      <c r="U24" s="19">
        <v>26.61</v>
      </c>
      <c r="V24" s="19"/>
      <c r="W24" s="19"/>
      <c r="X24" s="19"/>
      <c r="Y24" s="20"/>
      <c r="Z24" s="34"/>
    </row>
    <row r="25" spans="1:26" ht="14.25" customHeight="1">
      <c r="A25" s="36" t="s">
        <v>71</v>
      </c>
      <c r="B25" s="19">
        <v>26.61</v>
      </c>
      <c r="C25" s="19"/>
      <c r="D25" s="19"/>
      <c r="E25" s="19"/>
      <c r="F25" s="19"/>
      <c r="G25" s="19"/>
      <c r="H25" s="19"/>
      <c r="I25" s="19"/>
      <c r="J25" s="19"/>
      <c r="K25" s="19">
        <v>26.61</v>
      </c>
      <c r="L25" s="19"/>
      <c r="M25" s="19"/>
      <c r="N25" s="19"/>
      <c r="O25" s="19"/>
      <c r="P25" s="19"/>
      <c r="Q25" s="19"/>
      <c r="R25" s="19"/>
      <c r="S25" s="19"/>
      <c r="T25" s="19"/>
      <c r="U25" s="19">
        <v>26.61</v>
      </c>
      <c r="V25" s="19"/>
      <c r="W25" s="19"/>
      <c r="X25" s="19"/>
      <c r="Y25" s="20"/>
      <c r="Z25" s="34"/>
    </row>
    <row r="26" spans="1:26" ht="14.25" customHeight="1">
      <c r="A26" s="36" t="s">
        <v>80</v>
      </c>
      <c r="B26" s="19"/>
      <c r="C26" s="19"/>
      <c r="D26" s="19"/>
      <c r="E26" s="19"/>
      <c r="F26" s="19"/>
      <c r="G26" s="19"/>
      <c r="H26" s="19"/>
      <c r="I26" s="19"/>
      <c r="J26" s="19"/>
      <c r="K26" s="19">
        <v>17.420000000000002</v>
      </c>
      <c r="L26" s="19"/>
      <c r="M26" s="19"/>
      <c r="N26" s="19"/>
      <c r="O26" s="19"/>
      <c r="P26" s="19"/>
      <c r="Q26" s="19"/>
      <c r="R26" s="19"/>
      <c r="S26" s="19"/>
      <c r="T26" s="19"/>
      <c r="U26" s="19">
        <v>17.420000000000002</v>
      </c>
      <c r="V26" s="19"/>
      <c r="W26" s="19"/>
      <c r="X26" s="19"/>
      <c r="Y26" s="20"/>
      <c r="Z26" s="34"/>
    </row>
    <row r="27" spans="1:26" ht="14.25" customHeight="1">
      <c r="A27" s="36" t="s">
        <v>73</v>
      </c>
      <c r="B27" s="19"/>
      <c r="C27" s="19"/>
      <c r="D27" s="19"/>
      <c r="E27" s="19"/>
      <c r="F27" s="19"/>
      <c r="G27" s="19"/>
      <c r="H27" s="19"/>
      <c r="I27" s="19"/>
      <c r="J27" s="19"/>
      <c r="K27" s="19">
        <v>8.7100000000000009</v>
      </c>
      <c r="L27" s="19"/>
      <c r="M27" s="19"/>
      <c r="N27" s="19"/>
      <c r="O27" s="19"/>
      <c r="P27" s="19"/>
      <c r="Q27" s="19"/>
      <c r="R27" s="19"/>
      <c r="S27" s="19"/>
      <c r="T27" s="19"/>
      <c r="U27" s="19">
        <v>8.7100000000000009</v>
      </c>
      <c r="V27" s="19"/>
      <c r="W27" s="19"/>
      <c r="X27" s="19"/>
      <c r="Y27" s="20"/>
      <c r="Z27" s="34"/>
    </row>
    <row r="28" spans="1:26" ht="14.25" customHeight="1">
      <c r="A28" s="18" t="s">
        <v>75</v>
      </c>
      <c r="B28" s="19"/>
      <c r="C28" s="19"/>
      <c r="D28" s="19"/>
      <c r="E28" s="19">
        <v>15</v>
      </c>
      <c r="F28" s="19"/>
      <c r="G28" s="19"/>
      <c r="H28" s="19"/>
      <c r="I28" s="19">
        <v>15</v>
      </c>
      <c r="J28" s="19"/>
      <c r="K28" s="19"/>
      <c r="L28" s="19"/>
      <c r="M28" s="19">
        <v>15</v>
      </c>
      <c r="N28" s="19"/>
      <c r="O28" s="19"/>
      <c r="P28" s="19"/>
      <c r="Q28" s="19">
        <v>15</v>
      </c>
      <c r="R28" s="19"/>
      <c r="S28" s="19"/>
      <c r="T28" s="19"/>
      <c r="U28" s="19">
        <v>15</v>
      </c>
      <c r="V28" s="19"/>
      <c r="W28" s="19"/>
      <c r="X28" s="19"/>
      <c r="Y28" s="20">
        <v>15</v>
      </c>
      <c r="Z28" s="34"/>
    </row>
    <row r="29" spans="1:26" ht="14.25" hidden="1" customHeight="1">
      <c r="A29" s="31" t="s">
        <v>77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3"/>
      <c r="Z29" s="34">
        <f>SUM(B30:Y30)</f>
        <v>1765.9100000000005</v>
      </c>
    </row>
    <row r="30" spans="1:26" ht="14.25" customHeight="1">
      <c r="A30" s="40" t="s">
        <v>72</v>
      </c>
      <c r="B30" s="41">
        <f t="shared" ref="B30:Y30" si="1">SUM(B18:B29)</f>
        <v>127.65</v>
      </c>
      <c r="C30" s="41">
        <f t="shared" si="1"/>
        <v>58.98</v>
      </c>
      <c r="D30" s="41">
        <f t="shared" si="1"/>
        <v>46.2</v>
      </c>
      <c r="E30" s="41">
        <f t="shared" si="1"/>
        <v>81.690000000000012</v>
      </c>
      <c r="F30" s="41">
        <f t="shared" si="1"/>
        <v>46.2</v>
      </c>
      <c r="G30" s="41">
        <f t="shared" si="1"/>
        <v>58.98</v>
      </c>
      <c r="H30" s="41">
        <f t="shared" si="1"/>
        <v>46.2</v>
      </c>
      <c r="I30" s="41">
        <f t="shared" si="1"/>
        <v>81.690000000000012</v>
      </c>
      <c r="J30" s="41">
        <f t="shared" si="1"/>
        <v>46.2</v>
      </c>
      <c r="K30" s="41">
        <f t="shared" si="1"/>
        <v>202.00000000000003</v>
      </c>
      <c r="L30" s="41">
        <f t="shared" si="1"/>
        <v>46.2</v>
      </c>
      <c r="M30" s="41">
        <f t="shared" si="1"/>
        <v>81.690000000000012</v>
      </c>
      <c r="N30" s="41">
        <f t="shared" si="1"/>
        <v>46.2</v>
      </c>
      <c r="O30" s="41">
        <f t="shared" si="1"/>
        <v>58.98</v>
      </c>
      <c r="P30" s="41">
        <f t="shared" si="1"/>
        <v>46.2</v>
      </c>
      <c r="Q30" s="41">
        <f t="shared" si="1"/>
        <v>81.690000000000012</v>
      </c>
      <c r="R30" s="41">
        <f t="shared" si="1"/>
        <v>46.2</v>
      </c>
      <c r="S30" s="41">
        <f t="shared" si="1"/>
        <v>58.98</v>
      </c>
      <c r="T30" s="41">
        <f t="shared" si="1"/>
        <v>46.2</v>
      </c>
      <c r="U30" s="41">
        <f t="shared" si="1"/>
        <v>224.71000000000006</v>
      </c>
      <c r="V30" s="41">
        <f t="shared" si="1"/>
        <v>46.2</v>
      </c>
      <c r="W30" s="41">
        <f t="shared" si="1"/>
        <v>58.98</v>
      </c>
      <c r="X30" s="41">
        <f t="shared" si="1"/>
        <v>46.2</v>
      </c>
      <c r="Y30" s="41">
        <f t="shared" si="1"/>
        <v>81.690000000000012</v>
      </c>
      <c r="Z30" s="34">
        <f>SUM(B30:Y30)</f>
        <v>1765.9100000000005</v>
      </c>
    </row>
    <row r="31" spans="1:26" ht="14.25" customHeight="1">
      <c r="A31" s="11" t="s">
        <v>49</v>
      </c>
      <c r="B31" s="12">
        <v>20.79</v>
      </c>
      <c r="C31" s="12">
        <v>137.28</v>
      </c>
      <c r="D31" s="12">
        <v>15.18</v>
      </c>
      <c r="E31" s="12">
        <v>146.19</v>
      </c>
      <c r="F31" s="12">
        <v>15.18</v>
      </c>
      <c r="G31" s="12">
        <v>157.08000000000001</v>
      </c>
      <c r="H31" s="12">
        <v>15.18</v>
      </c>
      <c r="I31" s="12">
        <v>181.5</v>
      </c>
      <c r="J31" s="12">
        <v>15.18</v>
      </c>
      <c r="K31" s="12">
        <v>150.81</v>
      </c>
      <c r="L31" s="12">
        <v>15.18</v>
      </c>
      <c r="M31" s="12">
        <v>163.35</v>
      </c>
      <c r="N31" s="12">
        <v>15.18</v>
      </c>
      <c r="O31" s="12">
        <v>128.04</v>
      </c>
      <c r="P31" s="12">
        <v>15.18</v>
      </c>
      <c r="Q31" s="12">
        <v>147.51</v>
      </c>
      <c r="R31" s="12">
        <v>15.18</v>
      </c>
      <c r="S31" s="12">
        <v>161.04</v>
      </c>
      <c r="T31" s="12">
        <v>15.18</v>
      </c>
      <c r="U31" s="12">
        <v>289.74</v>
      </c>
      <c r="V31" s="12">
        <v>15.18</v>
      </c>
      <c r="W31" s="12">
        <v>137.28</v>
      </c>
      <c r="X31" s="12">
        <v>15.18</v>
      </c>
      <c r="Y31" s="16">
        <v>163.35</v>
      </c>
      <c r="Z31" s="34"/>
    </row>
    <row r="32" spans="1:26" ht="14.25" customHeight="1">
      <c r="A32" s="18" t="s">
        <v>85</v>
      </c>
      <c r="B32" s="19"/>
      <c r="C32" s="19">
        <v>17.16</v>
      </c>
      <c r="D32" s="19"/>
      <c r="E32" s="19">
        <v>17.16</v>
      </c>
      <c r="F32" s="19"/>
      <c r="G32" s="19">
        <v>17.16</v>
      </c>
      <c r="H32" s="19"/>
      <c r="I32" s="19">
        <v>17.16</v>
      </c>
      <c r="J32" s="19"/>
      <c r="K32" s="19">
        <v>17.16</v>
      </c>
      <c r="L32" s="19"/>
      <c r="M32" s="19">
        <v>17.16</v>
      </c>
      <c r="N32" s="19"/>
      <c r="O32" s="19">
        <v>17.16</v>
      </c>
      <c r="P32" s="19"/>
      <c r="Q32" s="19">
        <v>17.16</v>
      </c>
      <c r="R32" s="19"/>
      <c r="S32" s="19">
        <v>17.16</v>
      </c>
      <c r="T32" s="19"/>
      <c r="U32" s="19">
        <v>17.16</v>
      </c>
      <c r="V32" s="19"/>
      <c r="W32" s="19">
        <v>17.16</v>
      </c>
      <c r="X32" s="19"/>
      <c r="Y32" s="20">
        <v>17.16</v>
      </c>
      <c r="Z32" s="34"/>
    </row>
    <row r="33" spans="1:26" ht="14.25" customHeight="1">
      <c r="A33" s="18" t="s">
        <v>78</v>
      </c>
      <c r="B33" s="19"/>
      <c r="C33" s="19">
        <v>15.84</v>
      </c>
      <c r="D33" s="19"/>
      <c r="E33" s="19">
        <v>15.84</v>
      </c>
      <c r="F33" s="19"/>
      <c r="G33" s="19">
        <v>15.84</v>
      </c>
      <c r="H33" s="19"/>
      <c r="I33" s="19">
        <v>15.84</v>
      </c>
      <c r="J33" s="19"/>
      <c r="K33" s="19">
        <v>15.84</v>
      </c>
      <c r="L33" s="19"/>
      <c r="M33" s="19">
        <v>15.84</v>
      </c>
      <c r="N33" s="19"/>
      <c r="O33" s="19">
        <v>15.84</v>
      </c>
      <c r="P33" s="19"/>
      <c r="Q33" s="19">
        <v>15.84</v>
      </c>
      <c r="R33" s="19"/>
      <c r="S33" s="19">
        <v>15.84</v>
      </c>
      <c r="T33" s="19"/>
      <c r="U33" s="19">
        <v>15.84</v>
      </c>
      <c r="V33" s="19"/>
      <c r="W33" s="19">
        <v>15.84</v>
      </c>
      <c r="X33" s="19"/>
      <c r="Y33" s="20">
        <v>15.84</v>
      </c>
      <c r="Z33" s="34"/>
    </row>
    <row r="34" spans="1:26" ht="14.25" customHeight="1">
      <c r="A34" s="18" t="s">
        <v>51</v>
      </c>
      <c r="B34" s="19"/>
      <c r="C34" s="19"/>
      <c r="D34" s="19"/>
      <c r="E34" s="19">
        <v>16.5</v>
      </c>
      <c r="F34" s="19"/>
      <c r="G34" s="19"/>
      <c r="H34" s="19"/>
      <c r="I34" s="19">
        <v>16.5</v>
      </c>
      <c r="J34" s="19"/>
      <c r="K34" s="19"/>
      <c r="L34" s="19"/>
      <c r="M34" s="19">
        <v>16.5</v>
      </c>
      <c r="N34" s="19"/>
      <c r="O34" s="19"/>
      <c r="P34" s="19"/>
      <c r="Q34" s="19">
        <v>16.5</v>
      </c>
      <c r="R34" s="19"/>
      <c r="S34" s="19"/>
      <c r="T34" s="19"/>
      <c r="U34" s="19">
        <v>16.5</v>
      </c>
      <c r="V34" s="19"/>
      <c r="W34" s="19"/>
      <c r="X34" s="19"/>
      <c r="Y34" s="20">
        <v>16.5</v>
      </c>
      <c r="Z34" s="34"/>
    </row>
    <row r="35" spans="1:26" ht="14.25" customHeight="1">
      <c r="A35" s="23" t="s">
        <v>83</v>
      </c>
      <c r="B35" s="24"/>
      <c r="C35" s="24"/>
      <c r="D35" s="24"/>
      <c r="E35" s="24">
        <v>33</v>
      </c>
      <c r="F35" s="24"/>
      <c r="G35" s="24"/>
      <c r="H35" s="24"/>
      <c r="I35" s="24">
        <v>33</v>
      </c>
      <c r="J35" s="24"/>
      <c r="K35" s="24"/>
      <c r="L35" s="24"/>
      <c r="M35" s="24">
        <v>33</v>
      </c>
      <c r="N35" s="24"/>
      <c r="O35" s="24"/>
      <c r="P35" s="24"/>
      <c r="Q35" s="24">
        <v>33</v>
      </c>
      <c r="R35" s="24"/>
      <c r="S35" s="24"/>
      <c r="T35" s="24"/>
      <c r="U35" s="24">
        <v>33</v>
      </c>
      <c r="V35" s="24"/>
      <c r="W35" s="24"/>
      <c r="X35" s="24"/>
      <c r="Y35" s="26">
        <v>33</v>
      </c>
      <c r="Z35" s="34"/>
    </row>
    <row r="36" spans="1:26" ht="14.25" customHeight="1">
      <c r="A36" s="23" t="s">
        <v>84</v>
      </c>
      <c r="B36" s="24"/>
      <c r="C36" s="24"/>
      <c r="D36" s="24"/>
      <c r="E36" s="24">
        <v>66</v>
      </c>
      <c r="F36" s="24"/>
      <c r="G36" s="24"/>
      <c r="H36" s="24"/>
      <c r="I36" s="24">
        <v>66</v>
      </c>
      <c r="J36" s="24"/>
      <c r="K36" s="24"/>
      <c r="L36" s="24"/>
      <c r="M36" s="24">
        <v>66</v>
      </c>
      <c r="N36" s="24"/>
      <c r="O36" s="24"/>
      <c r="P36" s="24"/>
      <c r="Q36" s="24">
        <v>66</v>
      </c>
      <c r="R36" s="24"/>
      <c r="S36" s="24"/>
      <c r="T36" s="24"/>
      <c r="U36" s="24">
        <v>66</v>
      </c>
      <c r="V36" s="24"/>
      <c r="W36" s="24"/>
      <c r="X36" s="24"/>
      <c r="Y36" s="26">
        <v>66</v>
      </c>
      <c r="Z36" s="34"/>
    </row>
    <row r="37" spans="1:26" ht="14.25" customHeight="1">
      <c r="A37" s="23" t="s">
        <v>67</v>
      </c>
      <c r="B37" s="24"/>
      <c r="C37" s="24">
        <v>9.9</v>
      </c>
      <c r="D37" s="24"/>
      <c r="E37" s="24">
        <v>9.9</v>
      </c>
      <c r="F37" s="24"/>
      <c r="G37" s="24">
        <v>9.9</v>
      </c>
      <c r="H37" s="24"/>
      <c r="I37" s="24">
        <v>9.9</v>
      </c>
      <c r="J37" s="24"/>
      <c r="K37" s="24">
        <v>9.9</v>
      </c>
      <c r="L37" s="24"/>
      <c r="M37" s="24">
        <v>9.9</v>
      </c>
      <c r="N37" s="24"/>
      <c r="O37" s="24">
        <v>9.9</v>
      </c>
      <c r="P37" s="24"/>
      <c r="Q37" s="24">
        <v>9.9</v>
      </c>
      <c r="R37" s="24"/>
      <c r="S37" s="24">
        <v>9.9</v>
      </c>
      <c r="T37" s="24"/>
      <c r="U37" s="24">
        <v>9.9</v>
      </c>
      <c r="V37" s="24"/>
      <c r="W37" s="24">
        <v>9.9</v>
      </c>
      <c r="X37" s="24"/>
      <c r="Y37" s="26">
        <v>9.9</v>
      </c>
      <c r="Z37" s="34"/>
    </row>
    <row r="38" spans="1:26" ht="14.25" hidden="1" customHeight="1">
      <c r="A38" s="31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3"/>
      <c r="Z38" s="34">
        <f>SUM(B39:Y39)</f>
        <v>3358.7399999999993</v>
      </c>
    </row>
    <row r="39" spans="1:26" ht="14.25" customHeight="1">
      <c r="A39" s="43" t="s">
        <v>53</v>
      </c>
      <c r="B39" s="44">
        <f t="shared" ref="B39:Y39" si="2">SUM(B31:B38)</f>
        <v>20.79</v>
      </c>
      <c r="C39" s="44">
        <f t="shared" si="2"/>
        <v>180.18</v>
      </c>
      <c r="D39" s="44">
        <f t="shared" si="2"/>
        <v>15.18</v>
      </c>
      <c r="E39" s="44">
        <f t="shared" si="2"/>
        <v>304.58999999999997</v>
      </c>
      <c r="F39" s="44">
        <f t="shared" si="2"/>
        <v>15.18</v>
      </c>
      <c r="G39" s="44">
        <f t="shared" si="2"/>
        <v>199.98000000000002</v>
      </c>
      <c r="H39" s="44">
        <f t="shared" si="2"/>
        <v>15.18</v>
      </c>
      <c r="I39" s="44">
        <f t="shared" si="2"/>
        <v>339.9</v>
      </c>
      <c r="J39" s="44">
        <f t="shared" si="2"/>
        <v>15.18</v>
      </c>
      <c r="K39" s="44">
        <f t="shared" si="2"/>
        <v>193.71</v>
      </c>
      <c r="L39" s="44">
        <f t="shared" si="2"/>
        <v>15.18</v>
      </c>
      <c r="M39" s="44">
        <f t="shared" si="2"/>
        <v>321.75</v>
      </c>
      <c r="N39" s="44">
        <f t="shared" si="2"/>
        <v>15.18</v>
      </c>
      <c r="O39" s="44">
        <f t="shared" si="2"/>
        <v>170.94</v>
      </c>
      <c r="P39" s="44">
        <f t="shared" si="2"/>
        <v>15.18</v>
      </c>
      <c r="Q39" s="44">
        <f t="shared" si="2"/>
        <v>305.90999999999997</v>
      </c>
      <c r="R39" s="44">
        <f t="shared" si="2"/>
        <v>15.18</v>
      </c>
      <c r="S39" s="44">
        <f t="shared" si="2"/>
        <v>203.94</v>
      </c>
      <c r="T39" s="44">
        <f t="shared" si="2"/>
        <v>15.18</v>
      </c>
      <c r="U39" s="44">
        <f t="shared" si="2"/>
        <v>448.14</v>
      </c>
      <c r="V39" s="44">
        <f t="shared" si="2"/>
        <v>15.18</v>
      </c>
      <c r="W39" s="44">
        <f t="shared" si="2"/>
        <v>180.18</v>
      </c>
      <c r="X39" s="44">
        <f t="shared" si="2"/>
        <v>15.18</v>
      </c>
      <c r="Y39" s="44">
        <f t="shared" si="2"/>
        <v>321.75</v>
      </c>
      <c r="Z39" s="34">
        <f>SUM(B39:Y39)</f>
        <v>3358.7399999999993</v>
      </c>
    </row>
    <row r="40" spans="1:26" ht="14.25" customHeight="1">
      <c r="A40" s="50" t="s">
        <v>82</v>
      </c>
      <c r="B40" s="51">
        <f t="shared" ref="B40:Y40" si="3">+B17+B30+B39</f>
        <v>205.54</v>
      </c>
      <c r="C40" s="51">
        <f t="shared" si="3"/>
        <v>414.59000000000003</v>
      </c>
      <c r="D40" s="51">
        <f t="shared" si="3"/>
        <v>118.47999999999999</v>
      </c>
      <c r="E40" s="51">
        <f t="shared" si="3"/>
        <v>617.55999999999995</v>
      </c>
      <c r="F40" s="51">
        <f t="shared" si="3"/>
        <v>118.47999999999999</v>
      </c>
      <c r="G40" s="51">
        <f t="shared" si="3"/>
        <v>434.39</v>
      </c>
      <c r="H40" s="51">
        <f t="shared" si="3"/>
        <v>118.47999999999999</v>
      </c>
      <c r="I40" s="51">
        <f t="shared" si="3"/>
        <v>652.87</v>
      </c>
      <c r="J40" s="51">
        <f t="shared" si="3"/>
        <v>118.47999999999999</v>
      </c>
      <c r="K40" s="51">
        <f t="shared" si="3"/>
        <v>594.85</v>
      </c>
      <c r="L40" s="51">
        <f t="shared" si="3"/>
        <v>118.47999999999999</v>
      </c>
      <c r="M40" s="51">
        <f t="shared" si="3"/>
        <v>634.72</v>
      </c>
      <c r="N40" s="51">
        <f t="shared" si="3"/>
        <v>118.47999999999999</v>
      </c>
      <c r="O40" s="51">
        <f t="shared" si="3"/>
        <v>405.35</v>
      </c>
      <c r="P40" s="51">
        <f t="shared" si="3"/>
        <v>118.47999999999999</v>
      </c>
      <c r="Q40" s="51">
        <f t="shared" si="3"/>
        <v>698.75</v>
      </c>
      <c r="R40" s="51">
        <f t="shared" si="3"/>
        <v>118.47999999999999</v>
      </c>
      <c r="S40" s="51">
        <f t="shared" si="3"/>
        <v>438.35</v>
      </c>
      <c r="T40" s="51">
        <f t="shared" si="3"/>
        <v>118.47999999999999</v>
      </c>
      <c r="U40" s="51">
        <f t="shared" si="3"/>
        <v>1251.99</v>
      </c>
      <c r="V40" s="51">
        <f t="shared" si="3"/>
        <v>118.47999999999999</v>
      </c>
      <c r="W40" s="51">
        <f t="shared" si="3"/>
        <v>414.59000000000003</v>
      </c>
      <c r="X40" s="51">
        <f t="shared" si="3"/>
        <v>118.47999999999999</v>
      </c>
      <c r="Y40" s="51">
        <f t="shared" si="3"/>
        <v>634.72</v>
      </c>
    </row>
    <row r="41" spans="1:26" ht="14.25" customHeight="1">
      <c r="A41" s="2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</row>
    <row r="42" spans="1:26" ht="14.25" customHeight="1">
      <c r="A42" s="2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3" spans="1:26" ht="14.25" customHeight="1">
      <c r="A43" s="2"/>
      <c r="C43" s="34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</row>
    <row r="44" spans="1:26" ht="14.25" customHeight="1">
      <c r="A44" s="2"/>
      <c r="C44" s="34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</row>
    <row r="45" spans="1:26" ht="14.25" customHeight="1">
      <c r="A45" s="2"/>
      <c r="C45" s="34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</row>
    <row r="46" spans="1:26" ht="14.25" customHeight="1">
      <c r="A46" s="2"/>
      <c r="C46" s="34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</row>
    <row r="47" spans="1:26" ht="14.25" customHeight="1">
      <c r="A47" s="2"/>
      <c r="C47" s="34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</row>
    <row r="48" spans="1:26" ht="14.25" customHeight="1">
      <c r="A48" s="2"/>
      <c r="C48" s="34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</row>
    <row r="49" spans="1:25" ht="14.25" customHeight="1">
      <c r="A49" s="2"/>
      <c r="C49" s="34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</row>
    <row r="50" spans="1:25" ht="14.25" customHeight="1">
      <c r="A50" s="2"/>
      <c r="C50" s="34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</row>
    <row r="51" spans="1:25" ht="14.25" customHeight="1">
      <c r="A51" s="2"/>
      <c r="C51" s="34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</row>
    <row r="52" spans="1:25" ht="14.25" customHeight="1">
      <c r="A52" s="2"/>
      <c r="C52" s="34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</row>
    <row r="53" spans="1:25" ht="14.25" customHeight="1">
      <c r="A53" s="2"/>
      <c r="C53" s="34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</row>
    <row r="54" spans="1:25" ht="14.25" customHeight="1">
      <c r="A54" s="2"/>
      <c r="C54" s="34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</row>
    <row r="55" spans="1:25" ht="14.25" customHeight="1">
      <c r="A55" s="2"/>
      <c r="C55" s="34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</row>
    <row r="56" spans="1:25" ht="14.25" customHeight="1">
      <c r="A56" s="2"/>
      <c r="C56" s="34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</row>
    <row r="57" spans="1:25" ht="14.25" customHeight="1">
      <c r="A57" s="2"/>
      <c r="C57" s="34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</row>
    <row r="58" spans="1:25" ht="14.25" customHeight="1">
      <c r="A58" s="2"/>
      <c r="C58" s="34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</row>
    <row r="59" spans="1:25" ht="14.25" customHeight="1">
      <c r="A59" s="2"/>
      <c r="C59" s="34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5" ht="14.25" customHeight="1">
      <c r="A60" s="2"/>
      <c r="C60" s="34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</row>
    <row r="61" spans="1:25" ht="14.25" customHeight="1">
      <c r="A61" s="2"/>
      <c r="C61" s="34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</row>
    <row r="62" spans="1:25" ht="14.25" customHeight="1">
      <c r="A62" s="2"/>
      <c r="C62" s="34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</row>
    <row r="63" spans="1:25" ht="14.25" customHeight="1">
      <c r="A63" s="2"/>
      <c r="C63" s="34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</row>
    <row r="64" spans="1:25" ht="14.25" customHeight="1">
      <c r="A64" s="2"/>
      <c r="C64" s="34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ht="14.25" customHeight="1">
      <c r="A65" s="2"/>
      <c r="C65" s="34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</row>
    <row r="66" spans="1:25" ht="14.25" customHeight="1">
      <c r="A66" s="2"/>
      <c r="C66" s="34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</row>
    <row r="67" spans="1:25" ht="14.25" customHeight="1">
      <c r="A67" s="2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</row>
    <row r="68" spans="1:25" ht="14.25" customHeight="1">
      <c r="A68" s="2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</row>
    <row r="69" spans="1:25" ht="14.25" customHeight="1">
      <c r="A69" s="2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</row>
    <row r="70" spans="1:25" ht="14.25" customHeight="1">
      <c r="A70" s="2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</row>
    <row r="71" spans="1:25" ht="14.25" customHeight="1">
      <c r="A71" s="2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</row>
    <row r="72" spans="1:25" ht="14.25" customHeight="1">
      <c r="A72" s="2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</row>
    <row r="73" spans="1:25" ht="14.25" customHeight="1">
      <c r="A73" s="2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</row>
    <row r="74" spans="1:25" ht="14.25" customHeight="1">
      <c r="A74" s="2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</row>
    <row r="75" spans="1:25" ht="14.25" customHeight="1">
      <c r="A75" s="2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</row>
    <row r="76" spans="1:25" ht="14.25" customHeight="1">
      <c r="A76" s="2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</row>
    <row r="77" spans="1:25" ht="14.25" customHeight="1">
      <c r="A77" s="2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</row>
    <row r="78" spans="1:25" ht="14.25" customHeight="1">
      <c r="A78" s="2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</row>
    <row r="79" spans="1:25" ht="14.25" customHeight="1">
      <c r="A79" s="2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</row>
    <row r="80" spans="1:25" ht="14.25" customHeight="1">
      <c r="A80" s="2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</row>
    <row r="81" spans="1:25" ht="14.25" customHeight="1">
      <c r="A81" s="2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</row>
    <row r="82" spans="1:25" ht="14.25" customHeight="1">
      <c r="A82" s="2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</row>
    <row r="83" spans="1:25" ht="14.25" customHeight="1">
      <c r="A83" s="2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</row>
    <row r="84" spans="1:25" ht="14.25" customHeight="1"/>
    <row r="85" spans="1:25" ht="14.25" customHeight="1"/>
    <row r="86" spans="1:25" ht="14.25" customHeight="1"/>
    <row r="87" spans="1:25" ht="14.25" customHeight="1"/>
    <row r="88" spans="1:25" ht="14.25" customHeight="1"/>
    <row r="89" spans="1:25" ht="14.25" customHeight="1"/>
    <row r="90" spans="1:25" ht="14.25" customHeight="1"/>
    <row r="91" spans="1:25" ht="14.25" customHeight="1"/>
    <row r="92" spans="1:25" ht="14.25" customHeight="1"/>
    <row r="93" spans="1:25" ht="14.25" customHeight="1"/>
    <row r="94" spans="1:25" ht="14.25" customHeight="1"/>
    <row r="95" spans="1:25" ht="14.25" customHeight="1"/>
    <row r="96" spans="1:25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">
    <mergeCell ref="A1:Y1"/>
  </mergeCells>
  <pageMargins left="0.7" right="0.7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1000"/>
  <sheetViews>
    <sheetView workbookViewId="0"/>
  </sheetViews>
  <sheetFormatPr baseColWidth="10" defaultColWidth="14.44140625" defaultRowHeight="15" customHeight="1"/>
  <cols>
    <col min="1" max="1" width="10.6640625" customWidth="1"/>
    <col min="2" max="2" width="4.109375" customWidth="1"/>
    <col min="3" max="3" width="19.6640625" customWidth="1"/>
    <col min="4" max="4" width="25.33203125" customWidth="1"/>
    <col min="5" max="5" width="13.109375" customWidth="1"/>
    <col min="6" max="26" width="10.6640625" customWidth="1"/>
  </cols>
  <sheetData>
    <row r="1" spans="2:7" ht="14.25" customHeight="1"/>
    <row r="2" spans="2:7" ht="14.25" customHeight="1">
      <c r="B2" s="82" t="s">
        <v>86</v>
      </c>
      <c r="C2" s="83"/>
      <c r="D2" s="83"/>
      <c r="E2" s="84"/>
      <c r="G2" s="52" t="s">
        <v>87</v>
      </c>
    </row>
    <row r="3" spans="2:7" ht="14.25" customHeight="1">
      <c r="B3" s="53">
        <v>1</v>
      </c>
      <c r="C3" s="54" t="s">
        <v>88</v>
      </c>
      <c r="D3" s="85" t="s">
        <v>89</v>
      </c>
      <c r="E3" s="55">
        <f>'POER AC 2.0 CD 4X4 TM DIESEL'!Z17</f>
        <v>3576.8999999999992</v>
      </c>
      <c r="G3" s="52">
        <v>1</v>
      </c>
    </row>
    <row r="4" spans="2:7" ht="14.25" customHeight="1">
      <c r="B4" s="53">
        <v>2</v>
      </c>
      <c r="C4" s="54" t="s">
        <v>90</v>
      </c>
      <c r="D4" s="86"/>
      <c r="E4" s="55">
        <f>'POER AC 2.0 CD 4X4 TM DIESEL'!Z30</f>
        <v>1765.9100000000005</v>
      </c>
    </row>
    <row r="5" spans="2:7" ht="14.25" customHeight="1">
      <c r="B5" s="53">
        <v>3</v>
      </c>
      <c r="C5" s="54" t="s">
        <v>91</v>
      </c>
      <c r="D5" s="87"/>
      <c r="E5" s="55">
        <f>'POER AC 2.0 CD 4X4 TM DIESEL'!Z39</f>
        <v>3358.7399999999993</v>
      </c>
    </row>
    <row r="6" spans="2:7" ht="14.25" customHeight="1">
      <c r="B6" s="57">
        <v>4</v>
      </c>
      <c r="C6" s="58" t="s">
        <v>92</v>
      </c>
      <c r="D6" s="59" t="s">
        <v>93</v>
      </c>
      <c r="E6" s="60">
        <f>(E3+E4+E5)*0.3</f>
        <v>2610.4649999999997</v>
      </c>
    </row>
    <row r="7" spans="2:7" ht="14.25" customHeight="1">
      <c r="B7" s="88" t="s">
        <v>94</v>
      </c>
      <c r="C7" s="89"/>
      <c r="D7" s="90"/>
      <c r="E7" s="61">
        <f>SUM(E3:E6)</f>
        <v>11312.014999999999</v>
      </c>
    </row>
    <row r="8" spans="2:7" ht="14.25" customHeight="1">
      <c r="B8" s="91" t="s">
        <v>95</v>
      </c>
      <c r="C8" s="92"/>
      <c r="D8" s="92"/>
      <c r="E8" s="92"/>
    </row>
    <row r="9" spans="2:7" ht="14.25" customHeight="1"/>
    <row r="10" spans="2:7" ht="14.25" hidden="1" customHeight="1"/>
    <row r="11" spans="2:7" ht="14.25" hidden="1" customHeight="1">
      <c r="B11" s="82" t="s">
        <v>96</v>
      </c>
      <c r="C11" s="83"/>
      <c r="D11" s="83"/>
      <c r="E11" s="84"/>
      <c r="G11" s="52" t="s">
        <v>87</v>
      </c>
    </row>
    <row r="12" spans="2:7" ht="14.25" hidden="1" customHeight="1">
      <c r="B12" s="53">
        <v>1</v>
      </c>
      <c r="C12" s="54" t="s">
        <v>88</v>
      </c>
      <c r="D12" s="85" t="s">
        <v>89</v>
      </c>
      <c r="E12" s="55">
        <f>'POER AC 2.0 CD 4X2 TM DIESEL'!AA15*G12</f>
        <v>3456.8999999999992</v>
      </c>
      <c r="G12" s="52">
        <v>1</v>
      </c>
    </row>
    <row r="13" spans="2:7" ht="14.25" hidden="1" customHeight="1">
      <c r="B13" s="53">
        <v>2</v>
      </c>
      <c r="C13" s="54" t="s">
        <v>90</v>
      </c>
      <c r="D13" s="86"/>
      <c r="E13" s="55">
        <f>'POER AC 2.0 CD 4X2 TM DIESEL'!AA27*G12</f>
        <v>1771.2400000000007</v>
      </c>
    </row>
    <row r="14" spans="2:7" ht="14.25" hidden="1" customHeight="1">
      <c r="B14" s="53">
        <v>3</v>
      </c>
      <c r="C14" s="54" t="s">
        <v>91</v>
      </c>
      <c r="D14" s="87"/>
      <c r="E14" s="55">
        <f>'POER AC 2.0 CD 4X2 TM DIESEL'!AA36*G12</f>
        <v>3358.7399999999993</v>
      </c>
    </row>
    <row r="15" spans="2:7" ht="14.25" hidden="1" customHeight="1">
      <c r="B15" s="57">
        <v>4</v>
      </c>
      <c r="C15" s="58" t="s">
        <v>92</v>
      </c>
      <c r="D15" s="59" t="s">
        <v>93</v>
      </c>
      <c r="E15" s="60">
        <f>(E12+E13+E14)*0.3</f>
        <v>2576.0639999999999</v>
      </c>
    </row>
    <row r="16" spans="2:7" ht="14.25" hidden="1" customHeight="1">
      <c r="B16" s="88" t="s">
        <v>94</v>
      </c>
      <c r="C16" s="89"/>
      <c r="D16" s="90"/>
      <c r="E16" s="61">
        <f>SUM(E12:E15)</f>
        <v>11162.944</v>
      </c>
    </row>
    <row r="17" spans="2:5" ht="14.25" hidden="1" customHeight="1">
      <c r="B17" s="91" t="s">
        <v>95</v>
      </c>
      <c r="C17" s="92"/>
      <c r="D17" s="92"/>
      <c r="E17" s="92"/>
    </row>
    <row r="18" spans="2:5" ht="14.25" hidden="1" customHeight="1"/>
    <row r="19" spans="2:5" ht="14.25" customHeight="1"/>
    <row r="20" spans="2:5" ht="14.25" customHeight="1"/>
    <row r="21" spans="2:5" ht="14.25" customHeight="1"/>
    <row r="22" spans="2:5" ht="14.25" customHeight="1"/>
    <row r="23" spans="2:5" ht="14.25" customHeight="1"/>
    <row r="24" spans="2:5" ht="14.25" customHeight="1"/>
    <row r="25" spans="2:5" ht="14.25" customHeight="1"/>
    <row r="26" spans="2:5" ht="14.25" customHeight="1"/>
    <row r="27" spans="2:5" ht="14.25" customHeight="1"/>
    <row r="28" spans="2:5" ht="14.25" customHeight="1"/>
    <row r="29" spans="2:5" ht="14.25" customHeight="1"/>
    <row r="30" spans="2:5" ht="14.25" customHeight="1"/>
    <row r="31" spans="2:5" ht="14.25" customHeight="1"/>
    <row r="32" spans="2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D12:D14"/>
    <mergeCell ref="B16:D16"/>
    <mergeCell ref="B17:E17"/>
    <mergeCell ref="B2:E2"/>
    <mergeCell ref="D3:D5"/>
    <mergeCell ref="B7:D7"/>
    <mergeCell ref="B8:E8"/>
    <mergeCell ref="B11:E1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001"/>
  <sheetViews>
    <sheetView workbookViewId="0"/>
  </sheetViews>
  <sheetFormatPr baseColWidth="10" defaultColWidth="14.44140625" defaultRowHeight="15" customHeight="1"/>
  <cols>
    <col min="1" max="1" width="10.6640625" customWidth="1"/>
    <col min="2" max="2" width="48.88671875" customWidth="1"/>
    <col min="3" max="3" width="14.88671875" customWidth="1"/>
    <col min="4" max="4" width="10.6640625" customWidth="1"/>
    <col min="5" max="5" width="13.44140625" customWidth="1"/>
    <col min="6" max="6" width="10.6640625" customWidth="1"/>
    <col min="7" max="10" width="11.5546875" hidden="1" customWidth="1"/>
    <col min="11" max="26" width="10.6640625" customWidth="1"/>
  </cols>
  <sheetData>
    <row r="1" spans="1:10" ht="14.25" customHeight="1">
      <c r="A1" s="62" t="s">
        <v>97</v>
      </c>
      <c r="B1" s="95" t="s">
        <v>98</v>
      </c>
      <c r="C1" s="96"/>
      <c r="D1" s="96"/>
      <c r="E1" s="96"/>
      <c r="F1" s="96"/>
    </row>
    <row r="2" spans="1:10" ht="14.25" customHeight="1">
      <c r="A2" s="62" t="s">
        <v>99</v>
      </c>
      <c r="B2" s="63" t="s">
        <v>100</v>
      </c>
      <c r="C2" s="95" t="s">
        <v>101</v>
      </c>
      <c r="D2" s="96"/>
      <c r="E2" s="96"/>
      <c r="F2" s="97"/>
    </row>
    <row r="3" spans="1:10" ht="14.25" customHeight="1">
      <c r="A3" s="62" t="s">
        <v>102</v>
      </c>
      <c r="B3" s="62" t="s">
        <v>103</v>
      </c>
      <c r="C3" s="63" t="s">
        <v>47</v>
      </c>
      <c r="D3" s="62" t="s">
        <v>104</v>
      </c>
      <c r="E3" s="63" t="s">
        <v>72</v>
      </c>
      <c r="F3" s="62" t="s">
        <v>105</v>
      </c>
    </row>
    <row r="4" spans="1:10" ht="14.25" customHeight="1">
      <c r="A4" s="62">
        <v>1</v>
      </c>
      <c r="B4" s="64" t="s">
        <v>106</v>
      </c>
      <c r="C4" s="65">
        <f t="shared" ref="C4:C8" si="0">G4*1.1</f>
        <v>1172.952</v>
      </c>
      <c r="D4" s="65">
        <v>264</v>
      </c>
      <c r="E4" s="65"/>
      <c r="F4" s="65">
        <f t="shared" ref="F4:F8" si="1">C4+D4+E4</f>
        <v>1436.952</v>
      </c>
      <c r="G4" s="66">
        <v>1066.32</v>
      </c>
      <c r="H4" s="67">
        <v>72.599999999999994</v>
      </c>
      <c r="J4" s="52">
        <v>0.15</v>
      </c>
    </row>
    <row r="5" spans="1:10" ht="14.25" customHeight="1">
      <c r="A5" s="62">
        <v>2</v>
      </c>
      <c r="B5" s="64" t="s">
        <v>107</v>
      </c>
      <c r="C5" s="65">
        <f t="shared" si="0"/>
        <v>237.76500000000001</v>
      </c>
      <c r="D5" s="65">
        <v>165</v>
      </c>
      <c r="E5" s="68">
        <v>35.44</v>
      </c>
      <c r="F5" s="65">
        <f t="shared" si="1"/>
        <v>438.20499999999998</v>
      </c>
      <c r="G5" s="66">
        <v>216.15</v>
      </c>
      <c r="H5" s="67">
        <v>57.75</v>
      </c>
    </row>
    <row r="6" spans="1:10" ht="14.25" customHeight="1">
      <c r="A6" s="62">
        <v>3</v>
      </c>
      <c r="B6" s="64" t="s">
        <v>108</v>
      </c>
      <c r="C6" s="65">
        <f t="shared" si="0"/>
        <v>300.46499999999997</v>
      </c>
      <c r="D6" s="65">
        <v>132</v>
      </c>
      <c r="E6" s="68">
        <v>17.420000000000002</v>
      </c>
      <c r="F6" s="65">
        <f t="shared" si="1"/>
        <v>449.88499999999999</v>
      </c>
      <c r="G6" s="66">
        <v>273.14999999999998</v>
      </c>
      <c r="H6" s="67">
        <v>67.650000000000006</v>
      </c>
    </row>
    <row r="7" spans="1:10" ht="14.25" customHeight="1">
      <c r="A7" s="62">
        <v>4</v>
      </c>
      <c r="B7" s="64" t="s">
        <v>109</v>
      </c>
      <c r="C7" s="65">
        <f t="shared" si="0"/>
        <v>187.39600000000004</v>
      </c>
      <c r="D7" s="65">
        <v>49.5</v>
      </c>
      <c r="E7" s="65"/>
      <c r="F7" s="65">
        <f t="shared" si="1"/>
        <v>236.89600000000004</v>
      </c>
      <c r="G7" s="66">
        <v>170.36</v>
      </c>
      <c r="H7" s="67">
        <v>79.2</v>
      </c>
    </row>
    <row r="8" spans="1:10" ht="14.25" customHeight="1">
      <c r="A8" s="62">
        <v>5</v>
      </c>
      <c r="B8" s="64" t="s">
        <v>110</v>
      </c>
      <c r="C8" s="65">
        <f t="shared" si="0"/>
        <v>125.41100000000002</v>
      </c>
      <c r="D8" s="65">
        <v>49.5</v>
      </c>
      <c r="E8" s="65"/>
      <c r="F8" s="65">
        <f t="shared" si="1"/>
        <v>174.911</v>
      </c>
      <c r="G8" s="66">
        <v>114.01</v>
      </c>
      <c r="H8" s="67">
        <v>56.1</v>
      </c>
    </row>
    <row r="9" spans="1:10" ht="14.25" customHeight="1">
      <c r="A9" s="62">
        <v>6</v>
      </c>
      <c r="B9" s="64" t="s">
        <v>111</v>
      </c>
      <c r="C9" s="69">
        <v>350</v>
      </c>
      <c r="D9" s="93">
        <v>165</v>
      </c>
      <c r="E9" s="93"/>
      <c r="F9" s="94">
        <f>C10+C9+D9+C11</f>
        <v>575</v>
      </c>
    </row>
    <row r="10" spans="1:10" ht="14.25" customHeight="1">
      <c r="A10" s="62">
        <v>7</v>
      </c>
      <c r="B10" s="64" t="s">
        <v>112</v>
      </c>
      <c r="C10" s="69">
        <v>50</v>
      </c>
      <c r="D10" s="86"/>
      <c r="E10" s="86"/>
      <c r="F10" s="86"/>
    </row>
    <row r="11" spans="1:10" ht="14.25" customHeight="1">
      <c r="A11" s="62">
        <v>8</v>
      </c>
      <c r="B11" s="64" t="s">
        <v>113</v>
      </c>
      <c r="C11" s="65">
        <v>10</v>
      </c>
      <c r="D11" s="87"/>
      <c r="E11" s="87"/>
      <c r="F11" s="87"/>
      <c r="G11" s="70"/>
      <c r="H11" s="71"/>
    </row>
    <row r="12" spans="1:10" ht="14.25" customHeight="1">
      <c r="A12" s="62">
        <v>9</v>
      </c>
      <c r="B12" s="64" t="s">
        <v>114</v>
      </c>
      <c r="C12" s="65">
        <f t="shared" ref="C12:C14" si="2">G12*1.1</f>
        <v>89.617000000000004</v>
      </c>
      <c r="D12" s="65">
        <v>99</v>
      </c>
      <c r="E12" s="65"/>
      <c r="F12" s="65">
        <f t="shared" ref="F12:F21" si="3">C12+D12+E12</f>
        <v>188.61700000000002</v>
      </c>
      <c r="G12" s="66">
        <v>81.47</v>
      </c>
      <c r="H12" s="67">
        <v>61.05</v>
      </c>
    </row>
    <row r="13" spans="1:10" ht="14.25" customHeight="1">
      <c r="A13" s="62">
        <v>10</v>
      </c>
      <c r="B13" s="64" t="s">
        <v>115</v>
      </c>
      <c r="C13" s="65">
        <f t="shared" si="2"/>
        <v>141.66900000000001</v>
      </c>
      <c r="D13" s="65">
        <v>49.5</v>
      </c>
      <c r="E13" s="65"/>
      <c r="F13" s="65">
        <f t="shared" si="3"/>
        <v>191.16900000000001</v>
      </c>
      <c r="G13" s="66">
        <v>128.79</v>
      </c>
      <c r="H13" s="67">
        <v>16.5</v>
      </c>
    </row>
    <row r="14" spans="1:10" ht="14.25" customHeight="1">
      <c r="A14" s="62">
        <v>11</v>
      </c>
      <c r="B14" s="64" t="s">
        <v>116</v>
      </c>
      <c r="C14" s="65">
        <f t="shared" si="2"/>
        <v>103.53200000000001</v>
      </c>
      <c r="D14" s="65">
        <v>49.5</v>
      </c>
      <c r="E14" s="65"/>
      <c r="F14" s="65">
        <f t="shared" si="3"/>
        <v>153.03200000000001</v>
      </c>
      <c r="G14" s="66">
        <v>94.12</v>
      </c>
      <c r="H14" s="67">
        <v>16.5</v>
      </c>
    </row>
    <row r="15" spans="1:10" ht="14.25" customHeight="1">
      <c r="A15" s="62">
        <v>12</v>
      </c>
      <c r="B15" s="64" t="s">
        <v>117</v>
      </c>
      <c r="C15" s="65">
        <v>30</v>
      </c>
      <c r="D15" s="65">
        <v>82.5</v>
      </c>
      <c r="E15" s="65"/>
      <c r="F15" s="65">
        <f t="shared" si="3"/>
        <v>112.5</v>
      </c>
      <c r="G15" s="66">
        <v>189.85</v>
      </c>
      <c r="H15" s="67">
        <v>41.25</v>
      </c>
    </row>
    <row r="16" spans="1:10" ht="14.25" customHeight="1">
      <c r="A16" s="62">
        <v>13</v>
      </c>
      <c r="B16" s="64" t="s">
        <v>118</v>
      </c>
      <c r="C16" s="65">
        <v>230.24</v>
      </c>
      <c r="D16" s="65">
        <v>115.5</v>
      </c>
      <c r="E16" s="65"/>
      <c r="F16" s="65">
        <f t="shared" si="3"/>
        <v>345.74</v>
      </c>
      <c r="G16" s="66"/>
      <c r="H16" s="67"/>
    </row>
    <row r="17" spans="1:9" ht="14.25" customHeight="1">
      <c r="A17" s="62">
        <v>14</v>
      </c>
      <c r="B17" s="64" t="s">
        <v>119</v>
      </c>
      <c r="C17" s="65">
        <v>385.5</v>
      </c>
      <c r="D17" s="65">
        <v>66</v>
      </c>
      <c r="E17" s="65"/>
      <c r="F17" s="65">
        <f t="shared" si="3"/>
        <v>451.5</v>
      </c>
      <c r="G17" s="66">
        <v>35</v>
      </c>
      <c r="H17" s="67">
        <v>66</v>
      </c>
    </row>
    <row r="18" spans="1:9" ht="14.25" customHeight="1">
      <c r="A18" s="62">
        <v>15</v>
      </c>
      <c r="B18" s="64" t="s">
        <v>120</v>
      </c>
      <c r="C18" s="65">
        <f>G18*1.1</f>
        <v>199.49600000000004</v>
      </c>
      <c r="D18" s="65">
        <v>165</v>
      </c>
      <c r="E18" s="65">
        <v>15</v>
      </c>
      <c r="F18" s="65">
        <f t="shared" si="3"/>
        <v>379.49600000000004</v>
      </c>
      <c r="G18" s="66">
        <v>181.36</v>
      </c>
      <c r="H18" s="67">
        <v>41.25</v>
      </c>
    </row>
    <row r="19" spans="1:9" ht="14.25" customHeight="1">
      <c r="A19" s="62">
        <v>16</v>
      </c>
      <c r="B19" s="64" t="s">
        <v>121</v>
      </c>
      <c r="C19" s="65">
        <v>75</v>
      </c>
      <c r="D19" s="65">
        <v>66</v>
      </c>
      <c r="E19" s="65">
        <v>15</v>
      </c>
      <c r="F19" s="65">
        <f t="shared" si="3"/>
        <v>156</v>
      </c>
      <c r="G19" s="66">
        <v>58.05</v>
      </c>
      <c r="H19" s="67">
        <v>61.05</v>
      </c>
    </row>
    <row r="20" spans="1:9" ht="14.25" customHeight="1">
      <c r="A20" s="62">
        <v>17</v>
      </c>
      <c r="B20" s="64" t="s">
        <v>122</v>
      </c>
      <c r="C20" s="65">
        <f t="shared" ref="C20:C21" si="4">G20*1.1</f>
        <v>352.78100000000001</v>
      </c>
      <c r="D20" s="65">
        <v>49.5</v>
      </c>
      <c r="E20" s="65"/>
      <c r="F20" s="65">
        <f t="shared" si="3"/>
        <v>402.28100000000001</v>
      </c>
      <c r="G20" s="66">
        <v>320.70999999999998</v>
      </c>
      <c r="H20" s="67">
        <v>41.25</v>
      </c>
    </row>
    <row r="21" spans="1:9" ht="14.25" customHeight="1">
      <c r="A21" s="62">
        <v>18</v>
      </c>
      <c r="B21" s="64" t="s">
        <v>123</v>
      </c>
      <c r="C21" s="65">
        <f t="shared" si="4"/>
        <v>599.12599999999998</v>
      </c>
      <c r="D21" s="65">
        <v>132</v>
      </c>
      <c r="E21" s="65">
        <v>17.420000000000002</v>
      </c>
      <c r="F21" s="65">
        <f t="shared" si="3"/>
        <v>748.54599999999994</v>
      </c>
      <c r="G21" s="66">
        <v>544.66</v>
      </c>
      <c r="H21" s="67">
        <v>74.25</v>
      </c>
      <c r="I21" s="72">
        <v>14.85</v>
      </c>
    </row>
    <row r="22" spans="1:9" ht="14.25" customHeight="1">
      <c r="A22" s="62">
        <v>19</v>
      </c>
      <c r="B22" s="64" t="s">
        <v>124</v>
      </c>
      <c r="C22" s="65">
        <v>70</v>
      </c>
      <c r="D22" s="65">
        <v>66</v>
      </c>
      <c r="E22" s="65"/>
      <c r="F22" s="65">
        <f t="shared" ref="F22:F23" si="5">+C22+D22</f>
        <v>136</v>
      </c>
      <c r="G22" s="70"/>
      <c r="H22" s="73"/>
      <c r="I22" s="74"/>
    </row>
    <row r="23" spans="1:9" ht="14.25" customHeight="1">
      <c r="A23" s="62">
        <v>20</v>
      </c>
      <c r="B23" s="64" t="s">
        <v>125</v>
      </c>
      <c r="C23" s="65">
        <v>70</v>
      </c>
      <c r="D23" s="65">
        <v>66</v>
      </c>
      <c r="E23" s="65"/>
      <c r="F23" s="65">
        <f t="shared" si="5"/>
        <v>136</v>
      </c>
      <c r="G23" s="70"/>
      <c r="H23" s="73"/>
      <c r="I23" s="74"/>
    </row>
    <row r="24" spans="1:9" ht="14.25" customHeight="1">
      <c r="A24" s="62">
        <v>21</v>
      </c>
      <c r="B24" s="64" t="s">
        <v>126</v>
      </c>
      <c r="C24" s="65">
        <v>190.41</v>
      </c>
      <c r="D24" s="65">
        <v>66</v>
      </c>
      <c r="E24" s="65"/>
      <c r="F24" s="68">
        <v>256.41000000000003</v>
      </c>
    </row>
    <row r="25" spans="1:9" ht="14.25" customHeight="1">
      <c r="A25" s="62">
        <v>22</v>
      </c>
      <c r="B25" s="64" t="s">
        <v>127</v>
      </c>
      <c r="C25" s="65">
        <v>394.61</v>
      </c>
      <c r="D25" s="65">
        <v>66</v>
      </c>
      <c r="E25" s="65"/>
      <c r="F25" s="68">
        <v>460.61</v>
      </c>
    </row>
    <row r="26" spans="1:9" ht="14.25" customHeight="1">
      <c r="A26" s="62">
        <v>23</v>
      </c>
      <c r="B26" s="64" t="s">
        <v>128</v>
      </c>
      <c r="C26" s="65">
        <f t="shared" ref="C26:C28" si="6">G26*1.1</f>
        <v>454.56400000000002</v>
      </c>
      <c r="D26" s="65">
        <v>99</v>
      </c>
      <c r="E26" s="65"/>
      <c r="F26" s="65">
        <f t="shared" ref="F26:F29" si="7">C26+D26+E26</f>
        <v>553.56400000000008</v>
      </c>
      <c r="G26" s="66">
        <v>413.24</v>
      </c>
      <c r="H26" s="67">
        <v>49.5</v>
      </c>
    </row>
    <row r="27" spans="1:9" ht="14.25" customHeight="1">
      <c r="A27" s="62">
        <v>24</v>
      </c>
      <c r="B27" s="64" t="s">
        <v>129</v>
      </c>
      <c r="C27" s="65">
        <f t="shared" si="6"/>
        <v>37.686</v>
      </c>
      <c r="D27" s="65">
        <v>16.5</v>
      </c>
      <c r="E27" s="65"/>
      <c r="F27" s="65">
        <f t="shared" si="7"/>
        <v>54.186</v>
      </c>
      <c r="G27" s="66">
        <v>34.26</v>
      </c>
      <c r="H27" s="67">
        <v>14.85</v>
      </c>
    </row>
    <row r="28" spans="1:9" ht="14.25" customHeight="1">
      <c r="A28" s="62">
        <v>25</v>
      </c>
      <c r="B28" s="64" t="s">
        <v>130</v>
      </c>
      <c r="C28" s="65">
        <f t="shared" si="6"/>
        <v>208.83500000000001</v>
      </c>
      <c r="D28" s="65">
        <v>132</v>
      </c>
      <c r="E28" s="65"/>
      <c r="F28" s="65">
        <f t="shared" si="7"/>
        <v>340.83500000000004</v>
      </c>
      <c r="G28" s="66">
        <v>189.85</v>
      </c>
      <c r="H28" s="67">
        <v>33</v>
      </c>
    </row>
    <row r="29" spans="1:9" ht="14.25" customHeight="1">
      <c r="A29" s="62">
        <v>26</v>
      </c>
      <c r="B29" s="64" t="s">
        <v>131</v>
      </c>
      <c r="C29" s="65">
        <v>62</v>
      </c>
      <c r="D29" s="65">
        <v>33</v>
      </c>
      <c r="E29" s="65"/>
      <c r="F29" s="65">
        <f t="shared" si="7"/>
        <v>95</v>
      </c>
      <c r="G29" s="66">
        <v>52.84</v>
      </c>
      <c r="H29" s="67">
        <v>26.4</v>
      </c>
    </row>
    <row r="30" spans="1:9" ht="14.25" customHeight="1">
      <c r="A30" s="62">
        <v>27</v>
      </c>
      <c r="B30" s="64" t="s">
        <v>132</v>
      </c>
      <c r="C30" s="93">
        <v>81.99</v>
      </c>
      <c r="D30" s="93">
        <v>7.26</v>
      </c>
      <c r="E30" s="93"/>
      <c r="F30" s="94">
        <v>89.25</v>
      </c>
    </row>
    <row r="31" spans="1:9" ht="14.25" customHeight="1">
      <c r="A31" s="62">
        <v>28</v>
      </c>
      <c r="B31" s="64" t="s">
        <v>133</v>
      </c>
      <c r="C31" s="87"/>
      <c r="D31" s="87"/>
      <c r="E31" s="87"/>
      <c r="F31" s="87"/>
    </row>
    <row r="32" spans="1:9" ht="14.25" customHeight="1">
      <c r="A32" s="62">
        <v>29</v>
      </c>
      <c r="B32" s="64" t="s">
        <v>34</v>
      </c>
      <c r="C32" s="75">
        <v>76.09</v>
      </c>
      <c r="D32" s="75">
        <v>42.5</v>
      </c>
      <c r="E32" s="65"/>
      <c r="F32" s="76">
        <f>+D32+C32</f>
        <v>118.59</v>
      </c>
    </row>
    <row r="33" spans="1:8" ht="14.25" customHeight="1">
      <c r="A33" s="62">
        <v>30</v>
      </c>
      <c r="B33" s="64" t="s">
        <v>134</v>
      </c>
      <c r="C33" s="75">
        <v>55.85</v>
      </c>
      <c r="D33" s="75">
        <v>42.5</v>
      </c>
      <c r="E33" s="65"/>
      <c r="F33" s="76">
        <f>+C33+D33</f>
        <v>98.35</v>
      </c>
    </row>
    <row r="34" spans="1:8" ht="14.25" customHeight="1">
      <c r="A34" s="62">
        <v>31</v>
      </c>
      <c r="B34" s="64" t="s">
        <v>135</v>
      </c>
      <c r="C34" s="65">
        <v>1.25</v>
      </c>
      <c r="D34" s="65">
        <v>6.6</v>
      </c>
      <c r="E34" s="65"/>
      <c r="F34" s="65">
        <f t="shared" ref="F34:F36" si="8">SUM(C34:E34)</f>
        <v>7.85</v>
      </c>
      <c r="G34" s="66">
        <v>12</v>
      </c>
      <c r="H34" s="67">
        <v>6.6</v>
      </c>
    </row>
    <row r="35" spans="1:8" ht="14.25" customHeight="1">
      <c r="A35" s="62">
        <v>32</v>
      </c>
      <c r="B35" s="64" t="s">
        <v>136</v>
      </c>
      <c r="C35" s="65">
        <v>1.3</v>
      </c>
      <c r="D35" s="65">
        <v>6.6</v>
      </c>
      <c r="E35" s="65"/>
      <c r="F35" s="65">
        <f t="shared" si="8"/>
        <v>7.8999999999999995</v>
      </c>
      <c r="G35" s="70"/>
      <c r="H35" s="73"/>
    </row>
    <row r="36" spans="1:8" ht="14.25" customHeight="1">
      <c r="A36" s="62">
        <v>33</v>
      </c>
      <c r="B36" s="64" t="s">
        <v>137</v>
      </c>
      <c r="C36" s="65">
        <v>12</v>
      </c>
      <c r="D36" s="65">
        <v>6.6</v>
      </c>
      <c r="E36" s="65"/>
      <c r="F36" s="65">
        <f t="shared" si="8"/>
        <v>18.600000000000001</v>
      </c>
      <c r="G36" s="70"/>
      <c r="H36" s="73"/>
    </row>
    <row r="37" spans="1:8" ht="14.25" customHeight="1">
      <c r="A37" s="62">
        <v>34</v>
      </c>
      <c r="B37" s="77" t="s">
        <v>138</v>
      </c>
      <c r="C37" s="75">
        <v>180</v>
      </c>
      <c r="D37" s="75">
        <v>10</v>
      </c>
      <c r="E37" s="75"/>
      <c r="F37" s="65">
        <f t="shared" ref="F37:F67" si="9">C37+D37+E37</f>
        <v>190</v>
      </c>
      <c r="G37" s="70"/>
      <c r="H37" s="73"/>
    </row>
    <row r="38" spans="1:8" ht="14.25" customHeight="1">
      <c r="A38" s="62">
        <v>35</v>
      </c>
      <c r="B38" s="77" t="s">
        <v>139</v>
      </c>
      <c r="C38" s="75"/>
      <c r="D38" s="75">
        <v>6.5</v>
      </c>
      <c r="E38" s="75"/>
      <c r="F38" s="65">
        <f t="shared" si="9"/>
        <v>6.5</v>
      </c>
      <c r="G38" s="70"/>
      <c r="H38" s="73"/>
    </row>
    <row r="39" spans="1:8" ht="14.25" customHeight="1">
      <c r="A39" s="62">
        <v>36</v>
      </c>
      <c r="B39" s="77" t="s">
        <v>140</v>
      </c>
      <c r="C39" s="75"/>
      <c r="D39" s="75">
        <v>15</v>
      </c>
      <c r="E39" s="75"/>
      <c r="F39" s="65">
        <f t="shared" si="9"/>
        <v>15</v>
      </c>
      <c r="G39" s="70"/>
      <c r="H39" s="73"/>
    </row>
    <row r="40" spans="1:8" ht="14.25" customHeight="1">
      <c r="A40" s="62">
        <v>37</v>
      </c>
      <c r="B40" s="77" t="s">
        <v>141</v>
      </c>
      <c r="C40" s="75">
        <f>1944.75*1.4</f>
        <v>2722.6499999999996</v>
      </c>
      <c r="D40" s="75">
        <v>33</v>
      </c>
      <c r="E40" s="75"/>
      <c r="F40" s="65">
        <f t="shared" si="9"/>
        <v>2755.6499999999996</v>
      </c>
    </row>
    <row r="41" spans="1:8" ht="14.25" customHeight="1">
      <c r="A41" s="62">
        <v>38</v>
      </c>
      <c r="B41" s="77" t="s">
        <v>142</v>
      </c>
      <c r="C41" s="75">
        <f>454.55*1.4</f>
        <v>636.37</v>
      </c>
      <c r="D41" s="75">
        <v>33</v>
      </c>
      <c r="E41" s="75"/>
      <c r="F41" s="65">
        <f t="shared" si="9"/>
        <v>669.37</v>
      </c>
    </row>
    <row r="42" spans="1:8" ht="14.25" customHeight="1">
      <c r="A42" s="62">
        <v>39</v>
      </c>
      <c r="B42" s="77" t="s">
        <v>143</v>
      </c>
      <c r="C42" s="75">
        <f>315.78*1.4</f>
        <v>442.09199999999993</v>
      </c>
      <c r="D42" s="75">
        <v>33</v>
      </c>
      <c r="E42" s="75"/>
      <c r="F42" s="65">
        <f t="shared" si="9"/>
        <v>475.09199999999993</v>
      </c>
    </row>
    <row r="43" spans="1:8" ht="14.25" customHeight="1">
      <c r="A43" s="62">
        <v>40</v>
      </c>
      <c r="B43" s="77" t="s">
        <v>144</v>
      </c>
      <c r="C43" s="75">
        <f>55.71*1.4</f>
        <v>77.994</v>
      </c>
      <c r="D43" s="75">
        <v>33</v>
      </c>
      <c r="E43" s="75"/>
      <c r="F43" s="65">
        <f t="shared" si="9"/>
        <v>110.994</v>
      </c>
    </row>
    <row r="44" spans="1:8" ht="14.25" customHeight="1">
      <c r="A44" s="62">
        <v>41</v>
      </c>
      <c r="B44" s="77" t="s">
        <v>145</v>
      </c>
      <c r="C44" s="75">
        <f>50.29*1.4</f>
        <v>70.405999999999992</v>
      </c>
      <c r="D44" s="75">
        <v>33</v>
      </c>
      <c r="E44" s="75"/>
      <c r="F44" s="65">
        <f t="shared" si="9"/>
        <v>103.40599999999999</v>
      </c>
    </row>
    <row r="45" spans="1:8" ht="14.25" customHeight="1">
      <c r="A45" s="62">
        <v>42</v>
      </c>
      <c r="B45" s="77" t="s">
        <v>146</v>
      </c>
      <c r="C45" s="75">
        <f>259.29*1.4</f>
        <v>363.00600000000003</v>
      </c>
      <c r="D45" s="75">
        <v>33</v>
      </c>
      <c r="E45" s="75"/>
      <c r="F45" s="65">
        <f t="shared" si="9"/>
        <v>396.00600000000003</v>
      </c>
    </row>
    <row r="46" spans="1:8" ht="14.25" customHeight="1">
      <c r="A46" s="62">
        <v>43</v>
      </c>
      <c r="B46" s="77" t="s">
        <v>147</v>
      </c>
      <c r="C46" s="75">
        <f>232.54*1.4</f>
        <v>325.55599999999998</v>
      </c>
      <c r="D46" s="75">
        <v>33</v>
      </c>
      <c r="E46" s="75"/>
      <c r="F46" s="65">
        <f t="shared" si="9"/>
        <v>358.55599999999998</v>
      </c>
    </row>
    <row r="47" spans="1:8" ht="14.25" customHeight="1">
      <c r="A47" s="62">
        <v>44</v>
      </c>
      <c r="B47" s="77" t="s">
        <v>148</v>
      </c>
      <c r="C47" s="75">
        <f>263.54*1.4</f>
        <v>368.95600000000002</v>
      </c>
      <c r="D47" s="75">
        <v>33</v>
      </c>
      <c r="E47" s="75"/>
      <c r="F47" s="65">
        <f t="shared" si="9"/>
        <v>401.95600000000002</v>
      </c>
    </row>
    <row r="48" spans="1:8" ht="14.25" customHeight="1">
      <c r="A48" s="62">
        <v>45</v>
      </c>
      <c r="B48" s="77" t="s">
        <v>149</v>
      </c>
      <c r="C48" s="75">
        <f>41.67*1.4</f>
        <v>58.338000000000001</v>
      </c>
      <c r="D48" s="75">
        <v>33</v>
      </c>
      <c r="E48" s="75"/>
      <c r="F48" s="65">
        <f t="shared" si="9"/>
        <v>91.337999999999994</v>
      </c>
    </row>
    <row r="49" spans="1:6" ht="14.25" customHeight="1">
      <c r="A49" s="62">
        <v>46</v>
      </c>
      <c r="B49" s="77" t="s">
        <v>150</v>
      </c>
      <c r="C49" s="75">
        <f>4.78*1.4</f>
        <v>6.6920000000000002</v>
      </c>
      <c r="D49" s="75">
        <v>33</v>
      </c>
      <c r="E49" s="75"/>
      <c r="F49" s="65">
        <f t="shared" si="9"/>
        <v>39.692</v>
      </c>
    </row>
    <row r="50" spans="1:6" ht="14.25" customHeight="1">
      <c r="A50" s="62">
        <v>47</v>
      </c>
      <c r="B50" s="77" t="s">
        <v>151</v>
      </c>
      <c r="C50" s="75">
        <f>10*1.4</f>
        <v>14</v>
      </c>
      <c r="D50" s="75">
        <v>33</v>
      </c>
      <c r="E50" s="75"/>
      <c r="F50" s="65">
        <f t="shared" si="9"/>
        <v>47</v>
      </c>
    </row>
    <row r="51" spans="1:6" ht="14.25" customHeight="1">
      <c r="A51" s="62">
        <v>48</v>
      </c>
      <c r="B51" s="77" t="s">
        <v>152</v>
      </c>
      <c r="C51" s="75">
        <f>36.18*1.4</f>
        <v>50.651999999999994</v>
      </c>
      <c r="D51" s="75">
        <v>33</v>
      </c>
      <c r="E51" s="75"/>
      <c r="F51" s="65">
        <f t="shared" si="9"/>
        <v>83.651999999999987</v>
      </c>
    </row>
    <row r="52" spans="1:6" ht="14.25" customHeight="1">
      <c r="A52" s="62">
        <v>49</v>
      </c>
      <c r="B52" s="77" t="s">
        <v>153</v>
      </c>
      <c r="C52" s="75">
        <f>60.1*1.4</f>
        <v>84.14</v>
      </c>
      <c r="D52" s="75">
        <v>33</v>
      </c>
      <c r="E52" s="75"/>
      <c r="F52" s="65">
        <f t="shared" si="9"/>
        <v>117.14</v>
      </c>
    </row>
    <row r="53" spans="1:6" ht="14.25" customHeight="1">
      <c r="A53" s="62">
        <v>50</v>
      </c>
      <c r="B53" s="77" t="s">
        <v>154</v>
      </c>
      <c r="C53" s="75">
        <f>201.4</f>
        <v>201.4</v>
      </c>
      <c r="D53" s="75">
        <v>33</v>
      </c>
      <c r="E53" s="75"/>
      <c r="F53" s="65">
        <f t="shared" si="9"/>
        <v>234.4</v>
      </c>
    </row>
    <row r="54" spans="1:6" ht="14.25" customHeight="1">
      <c r="A54" s="62">
        <v>51</v>
      </c>
      <c r="B54" s="77" t="s">
        <v>155</v>
      </c>
      <c r="C54" s="75">
        <f>13.33*1.4</f>
        <v>18.661999999999999</v>
      </c>
      <c r="D54" s="75">
        <v>33</v>
      </c>
      <c r="E54" s="75"/>
      <c r="F54" s="65">
        <f t="shared" si="9"/>
        <v>51.661999999999999</v>
      </c>
    </row>
    <row r="55" spans="1:6" ht="14.25" customHeight="1">
      <c r="A55" s="62">
        <v>52</v>
      </c>
      <c r="B55" s="77" t="s">
        <v>156</v>
      </c>
      <c r="C55" s="75">
        <f>40*1.4</f>
        <v>56</v>
      </c>
      <c r="D55" s="75">
        <v>33</v>
      </c>
      <c r="E55" s="75"/>
      <c r="F55" s="65">
        <f t="shared" si="9"/>
        <v>89</v>
      </c>
    </row>
    <row r="56" spans="1:6" ht="14.25" customHeight="1">
      <c r="A56" s="62">
        <v>53</v>
      </c>
      <c r="B56" s="77" t="s">
        <v>157</v>
      </c>
      <c r="C56" s="75"/>
      <c r="D56" s="75">
        <f>52.94*1.4</f>
        <v>74.115999999999985</v>
      </c>
      <c r="E56" s="75"/>
      <c r="F56" s="65">
        <f t="shared" si="9"/>
        <v>74.115999999999985</v>
      </c>
    </row>
    <row r="57" spans="1:6" ht="14.25" customHeight="1">
      <c r="A57" s="62">
        <v>54</v>
      </c>
      <c r="B57" s="77" t="s">
        <v>158</v>
      </c>
      <c r="C57" s="75"/>
      <c r="D57" s="75">
        <f>100*1.4</f>
        <v>140</v>
      </c>
      <c r="E57" s="75"/>
      <c r="F57" s="65">
        <f t="shared" si="9"/>
        <v>140</v>
      </c>
    </row>
    <row r="58" spans="1:6" ht="14.25" customHeight="1">
      <c r="A58" s="62">
        <v>55</v>
      </c>
      <c r="B58" s="77" t="s">
        <v>159</v>
      </c>
      <c r="C58" s="75">
        <f>1596.2*1.4</f>
        <v>2234.6799999999998</v>
      </c>
      <c r="D58" s="75">
        <f>203.5*1.4</f>
        <v>284.89999999999998</v>
      </c>
      <c r="E58" s="75"/>
      <c r="F58" s="65">
        <f t="shared" si="9"/>
        <v>2519.58</v>
      </c>
    </row>
    <row r="59" spans="1:6" ht="14.25" customHeight="1">
      <c r="A59" s="62">
        <v>56</v>
      </c>
      <c r="B59" s="77" t="s">
        <v>160</v>
      </c>
      <c r="C59" s="75">
        <f>363.58*1.4</f>
        <v>509.01199999999994</v>
      </c>
      <c r="D59" s="75">
        <f>163.5*1.4</f>
        <v>228.89999999999998</v>
      </c>
      <c r="E59" s="75"/>
      <c r="F59" s="65">
        <f t="shared" si="9"/>
        <v>737.91199999999992</v>
      </c>
    </row>
    <row r="60" spans="1:6" ht="14.25" customHeight="1">
      <c r="A60" s="62">
        <v>57</v>
      </c>
      <c r="B60" s="77" t="s">
        <v>161</v>
      </c>
      <c r="C60" s="75">
        <f>196.8*1.4</f>
        <v>275.52</v>
      </c>
      <c r="D60" s="75">
        <f>158.5*1.4</f>
        <v>221.89999999999998</v>
      </c>
      <c r="E60" s="75"/>
      <c r="F60" s="65">
        <f t="shared" si="9"/>
        <v>497.41999999999996</v>
      </c>
    </row>
    <row r="61" spans="1:6" ht="14.25" customHeight="1">
      <c r="A61" s="62">
        <v>58</v>
      </c>
      <c r="B61" s="77" t="s">
        <v>162</v>
      </c>
      <c r="C61" s="75">
        <f>65*1.4</f>
        <v>91</v>
      </c>
      <c r="D61" s="75">
        <f t="shared" ref="D61:D62" si="10">150.5*1.4</f>
        <v>210.7</v>
      </c>
      <c r="E61" s="75"/>
      <c r="F61" s="65">
        <f t="shared" si="9"/>
        <v>301.7</v>
      </c>
    </row>
    <row r="62" spans="1:6" ht="14.25" customHeight="1">
      <c r="A62" s="62">
        <v>59</v>
      </c>
      <c r="B62" s="77" t="s">
        <v>163</v>
      </c>
      <c r="C62" s="75">
        <f>118.9*1.4</f>
        <v>166.46</v>
      </c>
      <c r="D62" s="75">
        <f t="shared" si="10"/>
        <v>210.7</v>
      </c>
      <c r="E62" s="75"/>
      <c r="F62" s="65">
        <f t="shared" si="9"/>
        <v>377.15999999999997</v>
      </c>
    </row>
    <row r="63" spans="1:6" ht="14.25" customHeight="1">
      <c r="A63" s="62">
        <v>60</v>
      </c>
      <c r="B63" s="77" t="s">
        <v>164</v>
      </c>
      <c r="C63" s="75">
        <f>393.85*1.4</f>
        <v>551.39</v>
      </c>
      <c r="D63" s="75">
        <f>173.5*1.4</f>
        <v>242.89999999999998</v>
      </c>
      <c r="E63" s="75"/>
      <c r="F63" s="65">
        <f t="shared" si="9"/>
        <v>794.29</v>
      </c>
    </row>
    <row r="64" spans="1:6" ht="14.25" customHeight="1">
      <c r="A64" s="62">
        <v>61</v>
      </c>
      <c r="B64" s="77" t="s">
        <v>165</v>
      </c>
      <c r="C64" s="75">
        <v>585</v>
      </c>
      <c r="D64" s="75">
        <v>24.75</v>
      </c>
      <c r="E64" s="75"/>
      <c r="F64" s="65">
        <f t="shared" si="9"/>
        <v>609.75</v>
      </c>
    </row>
    <row r="65" spans="1:6" ht="14.25" customHeight="1">
      <c r="A65" s="62">
        <v>62</v>
      </c>
      <c r="B65" s="77" t="s">
        <v>166</v>
      </c>
      <c r="C65" s="75"/>
      <c r="D65" s="75">
        <v>26</v>
      </c>
      <c r="E65" s="75"/>
      <c r="F65" s="65">
        <f t="shared" si="9"/>
        <v>26</v>
      </c>
    </row>
    <row r="66" spans="1:6" ht="14.25" customHeight="1">
      <c r="A66" s="62">
        <v>63</v>
      </c>
      <c r="B66" s="77" t="s">
        <v>167</v>
      </c>
      <c r="C66" s="75"/>
      <c r="D66" s="75">
        <v>26</v>
      </c>
      <c r="E66" s="75"/>
      <c r="F66" s="65">
        <f t="shared" si="9"/>
        <v>26</v>
      </c>
    </row>
    <row r="67" spans="1:6" ht="14.25" customHeight="1">
      <c r="A67" s="62">
        <v>64</v>
      </c>
      <c r="B67" s="64" t="s">
        <v>168</v>
      </c>
      <c r="C67" s="75">
        <v>90</v>
      </c>
      <c r="D67" s="75">
        <v>0</v>
      </c>
      <c r="E67" s="75"/>
      <c r="F67" s="65">
        <f t="shared" si="9"/>
        <v>90</v>
      </c>
    </row>
    <row r="68" spans="1:6" ht="14.25" customHeight="1"/>
    <row r="69" spans="1:6" ht="14.25" customHeight="1"/>
    <row r="70" spans="1:6" ht="14.25" customHeight="1"/>
    <row r="71" spans="1:6" ht="14.25" customHeight="1"/>
    <row r="72" spans="1:6" ht="14.25" customHeight="1"/>
    <row r="73" spans="1:6" ht="14.25" customHeight="1"/>
    <row r="74" spans="1:6" ht="14.25" customHeight="1"/>
    <row r="75" spans="1:6" ht="14.25" customHeight="1"/>
    <row r="76" spans="1:6" ht="14.25" customHeight="1"/>
    <row r="77" spans="1:6" ht="14.25" customHeight="1"/>
    <row r="78" spans="1:6" ht="14.25" customHeight="1"/>
    <row r="79" spans="1:6" ht="14.25" customHeight="1"/>
    <row r="80" spans="1:6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9">
    <mergeCell ref="E30:E31"/>
    <mergeCell ref="F30:F31"/>
    <mergeCell ref="B1:F1"/>
    <mergeCell ref="C2:F2"/>
    <mergeCell ref="D9:D11"/>
    <mergeCell ref="E9:E11"/>
    <mergeCell ref="F9:F11"/>
    <mergeCell ref="C30:C31"/>
    <mergeCell ref="D30:D31"/>
  </mergeCell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CRONOGRAMA MANT POER 4X4</vt:lpstr>
      <vt:lpstr>POER AC 2.0 CD 4X2 TM DIESEL</vt:lpstr>
      <vt:lpstr>POER AC 2.0 CD 4X4 TM DIESEL</vt:lpstr>
      <vt:lpstr>CONSOLIDADO DE VALORES</vt:lpstr>
      <vt:lpstr>REF MANT CORRECTIVO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AMBACAR</dc:creator>
  <cp:lastModifiedBy>AMBACAR</cp:lastModifiedBy>
  <dcterms:created xsi:type="dcterms:W3CDTF">2023-09-29T23:20:19Z</dcterms:created>
  <dcterms:modified xsi:type="dcterms:W3CDTF">2026-08-07T17:40:14Z</dcterms:modified>
</cp:coreProperties>
</file>