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BACAR\Desktop\PROFORMAS INICIO DE PROCESO\PLANES DE MANTENIMEINTO VIGENTES\"/>
    </mc:Choice>
  </mc:AlternateContent>
  <xr:revisionPtr revIDLastSave="0" documentId="13_ncr:1_{06A2FACA-F14E-4B31-879D-CA49FE42A03C}" xr6:coauthVersionLast="47" xr6:coauthVersionMax="47" xr10:uidLastSave="{00000000-0000-0000-0000-000000000000}"/>
  <bookViews>
    <workbookView xWindow="28680" yWindow="-120" windowWidth="20730" windowHeight="11040" firstSheet="1" activeTab="1" xr2:uid="{00000000-000D-0000-FFFF-FFFF00000000}"/>
  </bookViews>
  <sheets>
    <sheet name="W7 DIESEL 120K" sheetId="1" state="hidden" r:id="rId1"/>
    <sheet name="DETALLADO MANT 4X4" sheetId="2" r:id="rId2"/>
    <sheet name="CORRECTIVO" sheetId="3" state="hidden" r:id="rId3"/>
    <sheet name="TABLA GRAL MO-REP" sheetId="4" state="hidden" r:id="rId4"/>
    <sheet name="MANT. CORRECTIVOS SOLICITADOS" sheetId="5" state="hidden" r:id="rId5"/>
    <sheet name="DETALLADO MANT 4X2" sheetId="6" state="hidden" r:id="rId6"/>
    <sheet name="DETALLADO MANT 4X2 - NO APLICA" sheetId="7" state="hidden" r:id="rId7"/>
    <sheet name="DETALLADO MANT 4X2." sheetId="8" r:id="rId8"/>
    <sheet name="CONSOLIDADO" sheetId="9" r:id="rId9"/>
    <sheet name="PLAN MANTENIMIENTO" sheetId="10" state="hidden" r:id="rId10"/>
    <sheet name="REF. MANT. CORRECTIVO" sheetId="11" state="hidden" r:id="rId11"/>
    <sheet name="REF. MANT. CORRECTIVO COMPLETO" sheetId="12" r:id="rId12"/>
    <sheet name="PLAN MANTENIMEINTO WINGLE 2,8" sheetId="13" state="hidden" r:id="rId13"/>
    <sheet name="MANTENIMIENTOS EPMMOP" sheetId="14" state="hidden" r:id="rId14"/>
  </sheets>
  <definedNames>
    <definedName name="_xlnm._FilterDatabase" localSheetId="5" hidden="1">'DETALLADO MANT 4X2'!$A$2:$AA$35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TtsrObv3Vg35RUARBJKy1JUaF3pEiwb/tn1t04yGu9E="/>
    </ext>
  </extLst>
</workbook>
</file>

<file path=xl/calcChain.xml><?xml version="1.0" encoding="utf-8"?>
<calcChain xmlns="http://schemas.openxmlformats.org/spreadsheetml/2006/main">
  <c r="E26" i="14" l="1"/>
  <c r="D26" i="14"/>
  <c r="C26" i="14"/>
  <c r="J21" i="14"/>
  <c r="E21" i="14"/>
  <c r="D21" i="14"/>
  <c r="C21" i="14"/>
  <c r="J20" i="14"/>
  <c r="B20" i="14"/>
  <c r="J19" i="14"/>
  <c r="B19" i="14"/>
  <c r="J18" i="14"/>
  <c r="B18" i="14"/>
  <c r="B17" i="14"/>
  <c r="B16" i="14"/>
  <c r="B15" i="14"/>
  <c r="B14" i="14"/>
  <c r="J13" i="14"/>
  <c r="B13" i="14"/>
  <c r="J12" i="14"/>
  <c r="J14" i="14" s="1"/>
  <c r="B12" i="14"/>
  <c r="J11" i="14"/>
  <c r="B11" i="14"/>
  <c r="B10" i="14"/>
  <c r="B9" i="14"/>
  <c r="B8" i="14"/>
  <c r="B7" i="14"/>
  <c r="J6" i="14"/>
  <c r="J5" i="14"/>
  <c r="J4" i="14"/>
  <c r="J7" i="14" s="1"/>
  <c r="B3" i="14"/>
  <c r="B26" i="14" s="1"/>
  <c r="Y30" i="13"/>
  <c r="S30" i="13"/>
  <c r="Q30" i="13"/>
  <c r="K30" i="13"/>
  <c r="I30" i="13"/>
  <c r="C30" i="13"/>
  <c r="Y29" i="13"/>
  <c r="X29" i="13"/>
  <c r="W29" i="13"/>
  <c r="V29" i="13"/>
  <c r="U29" i="13"/>
  <c r="T29" i="13"/>
  <c r="S29" i="13"/>
  <c r="R29" i="13"/>
  <c r="R30" i="13" s="1"/>
  <c r="Q29" i="13"/>
  <c r="P29" i="13"/>
  <c r="O29" i="13"/>
  <c r="N29" i="13"/>
  <c r="M29" i="13"/>
  <c r="L29" i="13"/>
  <c r="K29" i="13"/>
  <c r="J29" i="13"/>
  <c r="J30" i="13" s="1"/>
  <c r="I29" i="13"/>
  <c r="H29" i="13"/>
  <c r="G29" i="13"/>
  <c r="F29" i="13"/>
  <c r="E29" i="13"/>
  <c r="D29" i="13"/>
  <c r="C29" i="13"/>
  <c r="B29" i="13"/>
  <c r="Z29" i="13" s="1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Z24" i="13" s="1"/>
  <c r="Y9" i="13"/>
  <c r="X9" i="13"/>
  <c r="X30" i="13" s="1"/>
  <c r="W9" i="13"/>
  <c r="W30" i="13" s="1"/>
  <c r="V9" i="13"/>
  <c r="V30" i="13" s="1"/>
  <c r="U9" i="13"/>
  <c r="U30" i="13" s="1"/>
  <c r="T9" i="13"/>
  <c r="T30" i="13" s="1"/>
  <c r="S9" i="13"/>
  <c r="R9" i="13"/>
  <c r="Q9" i="13"/>
  <c r="P9" i="13"/>
  <c r="P30" i="13" s="1"/>
  <c r="O9" i="13"/>
  <c r="O30" i="13" s="1"/>
  <c r="N9" i="13"/>
  <c r="N30" i="13" s="1"/>
  <c r="M9" i="13"/>
  <c r="M30" i="13" s="1"/>
  <c r="L9" i="13"/>
  <c r="L30" i="13" s="1"/>
  <c r="K9" i="13"/>
  <c r="J9" i="13"/>
  <c r="I9" i="13"/>
  <c r="H9" i="13"/>
  <c r="H30" i="13" s="1"/>
  <c r="G9" i="13"/>
  <c r="G30" i="13" s="1"/>
  <c r="F9" i="13"/>
  <c r="F30" i="13" s="1"/>
  <c r="E9" i="13"/>
  <c r="E30" i="13" s="1"/>
  <c r="D9" i="13"/>
  <c r="D30" i="13" s="1"/>
  <c r="C9" i="13"/>
  <c r="B9" i="13"/>
  <c r="Z9" i="13" s="1"/>
  <c r="F74" i="12"/>
  <c r="F73" i="12"/>
  <c r="C72" i="12"/>
  <c r="F72" i="12" s="1"/>
  <c r="C71" i="12"/>
  <c r="F71" i="12" s="1"/>
  <c r="F70" i="12"/>
  <c r="F69" i="12"/>
  <c r="F68" i="12"/>
  <c r="F67" i="12"/>
  <c r="F66" i="12"/>
  <c r="F65" i="12"/>
  <c r="D65" i="12"/>
  <c r="F64" i="12"/>
  <c r="D64" i="12"/>
  <c r="F63" i="12"/>
  <c r="D63" i="12"/>
  <c r="D62" i="12"/>
  <c r="F62" i="12" s="1"/>
  <c r="F61" i="12"/>
  <c r="D61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9" i="12"/>
  <c r="F8" i="12"/>
  <c r="F7" i="12"/>
  <c r="E6" i="12"/>
  <c r="F6" i="12" s="1"/>
  <c r="F5" i="12"/>
  <c r="F4" i="12"/>
  <c r="E29" i="11"/>
  <c r="E28" i="11"/>
  <c r="E30" i="11" s="1"/>
  <c r="D28" i="11"/>
  <c r="C28" i="11"/>
  <c r="G27" i="11"/>
  <c r="F27" i="11"/>
  <c r="H27" i="11" s="1"/>
  <c r="F26" i="11"/>
  <c r="G25" i="11"/>
  <c r="H25" i="11" s="1"/>
  <c r="F25" i="11"/>
  <c r="H24" i="11"/>
  <c r="G24" i="11"/>
  <c r="F24" i="11"/>
  <c r="F23" i="11"/>
  <c r="H22" i="11"/>
  <c r="F22" i="11"/>
  <c r="G22" i="11" s="1"/>
  <c r="F21" i="11"/>
  <c r="F20" i="11"/>
  <c r="G19" i="11"/>
  <c r="F19" i="11"/>
  <c r="H19" i="11" s="1"/>
  <c r="F18" i="11"/>
  <c r="G17" i="11"/>
  <c r="H17" i="11" s="1"/>
  <c r="F17" i="11"/>
  <c r="H16" i="11"/>
  <c r="G16" i="11"/>
  <c r="F16" i="11"/>
  <c r="F15" i="11"/>
  <c r="H14" i="11"/>
  <c r="F14" i="11"/>
  <c r="G14" i="11" s="1"/>
  <c r="F13" i="11"/>
  <c r="F12" i="11"/>
  <c r="G11" i="11"/>
  <c r="F11" i="11"/>
  <c r="H11" i="11" s="1"/>
  <c r="F10" i="11"/>
  <c r="G9" i="11"/>
  <c r="H9" i="11" s="1"/>
  <c r="F9" i="11"/>
  <c r="H8" i="11"/>
  <c r="G8" i="11"/>
  <c r="F8" i="11"/>
  <c r="F7" i="11"/>
  <c r="H6" i="11"/>
  <c r="F6" i="11"/>
  <c r="G6" i="11" s="1"/>
  <c r="F5" i="11"/>
  <c r="F4" i="11"/>
  <c r="AN75" i="8"/>
  <c r="AF75" i="8"/>
  <c r="H75" i="8"/>
  <c r="AY74" i="8"/>
  <c r="AX74" i="8"/>
  <c r="AW74" i="8"/>
  <c r="AV74" i="8"/>
  <c r="AU74" i="8"/>
  <c r="AT74" i="8"/>
  <c r="AS74" i="8"/>
  <c r="AR74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T62" i="8"/>
  <c r="AL62" i="8"/>
  <c r="AD62" i="8"/>
  <c r="V62" i="8"/>
  <c r="N62" i="8"/>
  <c r="F62" i="8"/>
  <c r="AY14" i="8"/>
  <c r="AX14" i="8"/>
  <c r="AW14" i="8"/>
  <c r="AV14" i="8"/>
  <c r="AU14" i="8"/>
  <c r="AT14" i="8"/>
  <c r="AS14" i="8"/>
  <c r="AS62" i="8" s="1"/>
  <c r="AS75" i="8" s="1"/>
  <c r="AR14" i="8"/>
  <c r="AQ14" i="8"/>
  <c r="AP14" i="8"/>
  <c r="AO14" i="8"/>
  <c r="AN14" i="8"/>
  <c r="AM14" i="8"/>
  <c r="AL14" i="8"/>
  <c r="AK14" i="8"/>
  <c r="AK62" i="8" s="1"/>
  <c r="AK75" i="8" s="1"/>
  <c r="AJ14" i="8"/>
  <c r="AI14" i="8"/>
  <c r="AH14" i="8"/>
  <c r="AG14" i="8"/>
  <c r="AF14" i="8"/>
  <c r="AE14" i="8"/>
  <c r="AD14" i="8"/>
  <c r="AC14" i="8"/>
  <c r="AC62" i="8" s="1"/>
  <c r="AC75" i="8" s="1"/>
  <c r="AB14" i="8"/>
  <c r="AA14" i="8"/>
  <c r="Z14" i="8"/>
  <c r="Y14" i="8"/>
  <c r="X14" i="8"/>
  <c r="W14" i="8"/>
  <c r="V14" i="8"/>
  <c r="U14" i="8"/>
  <c r="U62" i="8" s="1"/>
  <c r="U75" i="8" s="1"/>
  <c r="T14" i="8"/>
  <c r="S14" i="8"/>
  <c r="R14" i="8"/>
  <c r="Q14" i="8"/>
  <c r="P14" i="8"/>
  <c r="O14" i="8"/>
  <c r="N14" i="8"/>
  <c r="M14" i="8"/>
  <c r="M62" i="8" s="1"/>
  <c r="M75" i="8" s="1"/>
  <c r="L14" i="8"/>
  <c r="K14" i="8"/>
  <c r="J14" i="8"/>
  <c r="I14" i="8"/>
  <c r="H14" i="8"/>
  <c r="G14" i="8"/>
  <c r="F14" i="8"/>
  <c r="E14" i="8"/>
  <c r="E62" i="8" s="1"/>
  <c r="E75" i="8" s="1"/>
  <c r="D14" i="8"/>
  <c r="C14" i="8"/>
  <c r="B14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Y12" i="8"/>
  <c r="AY62" i="8" s="1"/>
  <c r="AX12" i="8"/>
  <c r="AW12" i="8"/>
  <c r="AW62" i="8" s="1"/>
  <c r="AV12" i="8"/>
  <c r="AV62" i="8" s="1"/>
  <c r="AV75" i="8" s="1"/>
  <c r="AU12" i="8"/>
  <c r="AU62" i="8" s="1"/>
  <c r="AT12" i="8"/>
  <c r="AS12" i="8"/>
  <c r="AR12" i="8"/>
  <c r="AR62" i="8" s="1"/>
  <c r="AQ12" i="8"/>
  <c r="AQ62" i="8" s="1"/>
  <c r="AP12" i="8"/>
  <c r="AO12" i="8"/>
  <c r="AO62" i="8" s="1"/>
  <c r="AN12" i="8"/>
  <c r="AN62" i="8" s="1"/>
  <c r="AM12" i="8"/>
  <c r="AM62" i="8" s="1"/>
  <c r="AL12" i="8"/>
  <c r="AK12" i="8"/>
  <c r="AJ12" i="8"/>
  <c r="AJ62" i="8" s="1"/>
  <c r="AI12" i="8"/>
  <c r="AI62" i="8" s="1"/>
  <c r="AH12" i="8"/>
  <c r="AG12" i="8"/>
  <c r="AG62" i="8" s="1"/>
  <c r="AF12" i="8"/>
  <c r="AF62" i="8" s="1"/>
  <c r="AE12" i="8"/>
  <c r="AE62" i="8" s="1"/>
  <c r="AD12" i="8"/>
  <c r="AC12" i="8"/>
  <c r="AB12" i="8"/>
  <c r="AB62" i="8" s="1"/>
  <c r="AA12" i="8"/>
  <c r="AA62" i="8" s="1"/>
  <c r="Z12" i="8"/>
  <c r="Z62" i="8" s="1"/>
  <c r="Y12" i="8"/>
  <c r="Y62" i="8" s="1"/>
  <c r="X12" i="8"/>
  <c r="X62" i="8" s="1"/>
  <c r="X75" i="8" s="1"/>
  <c r="W12" i="8"/>
  <c r="W62" i="8" s="1"/>
  <c r="V12" i="8"/>
  <c r="U12" i="8"/>
  <c r="T12" i="8"/>
  <c r="T62" i="8" s="1"/>
  <c r="S12" i="8"/>
  <c r="S62" i="8" s="1"/>
  <c r="R12" i="8"/>
  <c r="R62" i="8" s="1"/>
  <c r="Q12" i="8"/>
  <c r="Q62" i="8" s="1"/>
  <c r="P12" i="8"/>
  <c r="P62" i="8" s="1"/>
  <c r="P75" i="8" s="1"/>
  <c r="O12" i="8"/>
  <c r="O62" i="8" s="1"/>
  <c r="N12" i="8"/>
  <c r="M12" i="8"/>
  <c r="L12" i="8"/>
  <c r="L62" i="8" s="1"/>
  <c r="K12" i="8"/>
  <c r="K62" i="8" s="1"/>
  <c r="J12" i="8"/>
  <c r="J62" i="8" s="1"/>
  <c r="I12" i="8"/>
  <c r="I62" i="8" s="1"/>
  <c r="H12" i="8"/>
  <c r="H62" i="8" s="1"/>
  <c r="G12" i="8"/>
  <c r="G62" i="8" s="1"/>
  <c r="F12" i="8"/>
  <c r="E12" i="8"/>
  <c r="D12" i="8"/>
  <c r="D62" i="8" s="1"/>
  <c r="C12" i="8"/>
  <c r="C62" i="8" s="1"/>
  <c r="B12" i="8"/>
  <c r="B62" i="8" s="1"/>
  <c r="AY11" i="8"/>
  <c r="AX11" i="8"/>
  <c r="AW11" i="8"/>
  <c r="AV11" i="8"/>
  <c r="AU11" i="8"/>
  <c r="AU75" i="8" s="1"/>
  <c r="AT11" i="8"/>
  <c r="AT75" i="8" s="1"/>
  <c r="AS11" i="8"/>
  <c r="AR11" i="8"/>
  <c r="AR75" i="8" s="1"/>
  <c r="AQ11" i="8"/>
  <c r="AP11" i="8"/>
  <c r="AO11" i="8"/>
  <c r="AN11" i="8"/>
  <c r="AM11" i="8"/>
  <c r="AM75" i="8" s="1"/>
  <c r="AL11" i="8"/>
  <c r="AL75" i="8" s="1"/>
  <c r="AK11" i="8"/>
  <c r="AJ11" i="8"/>
  <c r="AJ75" i="8" s="1"/>
  <c r="AI11" i="8"/>
  <c r="AH11" i="8"/>
  <c r="AG11" i="8"/>
  <c r="AF11" i="8"/>
  <c r="AE11" i="8"/>
  <c r="AE75" i="8" s="1"/>
  <c r="AD11" i="8"/>
  <c r="AC11" i="8"/>
  <c r="AB11" i="8"/>
  <c r="AB75" i="8" s="1"/>
  <c r="AA11" i="8"/>
  <c r="Z11" i="8"/>
  <c r="Z75" i="8" s="1"/>
  <c r="Y11" i="8"/>
  <c r="X11" i="8"/>
  <c r="W11" i="8"/>
  <c r="W75" i="8" s="1"/>
  <c r="V11" i="8"/>
  <c r="U11" i="8"/>
  <c r="T11" i="8"/>
  <c r="T75" i="8" s="1"/>
  <c r="S11" i="8"/>
  <c r="R11" i="8"/>
  <c r="R75" i="8" s="1"/>
  <c r="Q11" i="8"/>
  <c r="P11" i="8"/>
  <c r="O11" i="8"/>
  <c r="O75" i="8" s="1"/>
  <c r="N11" i="8"/>
  <c r="N75" i="8" s="1"/>
  <c r="M11" i="8"/>
  <c r="L11" i="8"/>
  <c r="L75" i="8" s="1"/>
  <c r="K11" i="8"/>
  <c r="J11" i="8"/>
  <c r="J75" i="8" s="1"/>
  <c r="I11" i="8"/>
  <c r="H11" i="8"/>
  <c r="G11" i="8"/>
  <c r="G75" i="8" s="1"/>
  <c r="F11" i="8"/>
  <c r="F75" i="8" s="1"/>
  <c r="E11" i="8"/>
  <c r="D11" i="8"/>
  <c r="D75" i="8" s="1"/>
  <c r="C11" i="8"/>
  <c r="B11" i="8"/>
  <c r="B75" i="8" s="1"/>
  <c r="W28" i="7"/>
  <c r="U28" i="7"/>
  <c r="O28" i="7"/>
  <c r="M28" i="7"/>
  <c r="G28" i="7"/>
  <c r="Z27" i="7"/>
  <c r="Y27" i="7"/>
  <c r="X27" i="7"/>
  <c r="X28" i="7" s="1"/>
  <c r="W27" i="7"/>
  <c r="V27" i="7"/>
  <c r="U27" i="7"/>
  <c r="T27" i="7"/>
  <c r="S27" i="7"/>
  <c r="R27" i="7"/>
  <c r="Q27" i="7"/>
  <c r="P27" i="7"/>
  <c r="P28" i="7" s="1"/>
  <c r="O27" i="7"/>
  <c r="N27" i="7"/>
  <c r="M27" i="7"/>
  <c r="L27" i="7"/>
  <c r="K27" i="7"/>
  <c r="J27" i="7"/>
  <c r="I27" i="7"/>
  <c r="H27" i="7"/>
  <c r="H28" i="7" s="1"/>
  <c r="G27" i="7"/>
  <c r="F27" i="7"/>
  <c r="E27" i="7"/>
  <c r="D27" i="7"/>
  <c r="C27" i="7"/>
  <c r="AA23" i="7"/>
  <c r="B23" i="7"/>
  <c r="Z22" i="7"/>
  <c r="Z28" i="7" s="1"/>
  <c r="Y22" i="7"/>
  <c r="X22" i="7"/>
  <c r="W22" i="7"/>
  <c r="V22" i="7"/>
  <c r="V28" i="7" s="1"/>
  <c r="U22" i="7"/>
  <c r="T22" i="7"/>
  <c r="T28" i="7" s="1"/>
  <c r="S22" i="7"/>
  <c r="S28" i="7" s="1"/>
  <c r="R22" i="7"/>
  <c r="R28" i="7" s="1"/>
  <c r="Q22" i="7"/>
  <c r="P22" i="7"/>
  <c r="O22" i="7"/>
  <c r="N22" i="7"/>
  <c r="N28" i="7" s="1"/>
  <c r="M22" i="7"/>
  <c r="L22" i="7"/>
  <c r="L28" i="7" s="1"/>
  <c r="K22" i="7"/>
  <c r="K28" i="7" s="1"/>
  <c r="J22" i="7"/>
  <c r="J28" i="7" s="1"/>
  <c r="I22" i="7"/>
  <c r="H22" i="7"/>
  <c r="G22" i="7"/>
  <c r="F22" i="7"/>
  <c r="F28" i="7" s="1"/>
  <c r="E22" i="7"/>
  <c r="E28" i="7" s="1"/>
  <c r="D22" i="7"/>
  <c r="D28" i="7" s="1"/>
  <c r="C22" i="7"/>
  <c r="C28" i="7" s="1"/>
  <c r="B20" i="7"/>
  <c r="B19" i="7"/>
  <c r="B18" i="7"/>
  <c r="B16" i="7"/>
  <c r="B15" i="7"/>
  <c r="B14" i="7"/>
  <c r="B13" i="7"/>
  <c r="B12" i="7"/>
  <c r="B11" i="7"/>
  <c r="B10" i="7"/>
  <c r="B9" i="7"/>
  <c r="B8" i="7"/>
  <c r="B7" i="7"/>
  <c r="B6" i="7"/>
  <c r="B4" i="7"/>
  <c r="AJ35" i="6"/>
  <c r="V35" i="6"/>
  <c r="F35" i="6"/>
  <c r="AP34" i="6"/>
  <c r="AN34" i="6"/>
  <c r="AN35" i="6" s="1"/>
  <c r="AL34" i="6"/>
  <c r="AJ34" i="6"/>
  <c r="AH34" i="6"/>
  <c r="AF34" i="6"/>
  <c r="AD34" i="6"/>
  <c r="AD35" i="6" s="1"/>
  <c r="AB34" i="6"/>
  <c r="Z34" i="6"/>
  <c r="Y34" i="6"/>
  <c r="Y35" i="6" s="1"/>
  <c r="X34" i="6"/>
  <c r="W34" i="6"/>
  <c r="V34" i="6"/>
  <c r="U34" i="6"/>
  <c r="T34" i="6"/>
  <c r="T35" i="6" s="1"/>
  <c r="S34" i="6"/>
  <c r="R34" i="6"/>
  <c r="Q34" i="6"/>
  <c r="Q35" i="6" s="1"/>
  <c r="P34" i="6"/>
  <c r="O34" i="6"/>
  <c r="N34" i="6"/>
  <c r="N35" i="6" s="1"/>
  <c r="M34" i="6"/>
  <c r="L34" i="6"/>
  <c r="L35" i="6" s="1"/>
  <c r="K34" i="6"/>
  <c r="J34" i="6"/>
  <c r="I34" i="6"/>
  <c r="I35" i="6" s="1"/>
  <c r="H34" i="6"/>
  <c r="G34" i="6"/>
  <c r="F34" i="6"/>
  <c r="E34" i="6"/>
  <c r="D34" i="6"/>
  <c r="D35" i="6" s="1"/>
  <c r="C34" i="6"/>
  <c r="AP28" i="6"/>
  <c r="AN28" i="6"/>
  <c r="AL28" i="6"/>
  <c r="AJ28" i="6"/>
  <c r="AH28" i="6"/>
  <c r="AF28" i="6"/>
  <c r="AD28" i="6"/>
  <c r="AB28" i="6"/>
  <c r="Z28" i="6"/>
  <c r="Y28" i="6"/>
  <c r="X28" i="6"/>
  <c r="W28" i="6"/>
  <c r="W35" i="6" s="1"/>
  <c r="V28" i="6"/>
  <c r="U28" i="6"/>
  <c r="T28" i="6"/>
  <c r="S28" i="6"/>
  <c r="R28" i="6"/>
  <c r="Q28" i="6"/>
  <c r="P28" i="6"/>
  <c r="O28" i="6"/>
  <c r="O35" i="6" s="1"/>
  <c r="N28" i="6"/>
  <c r="M28" i="6"/>
  <c r="L28" i="6"/>
  <c r="K28" i="6"/>
  <c r="J28" i="6"/>
  <c r="I28" i="6"/>
  <c r="H28" i="6"/>
  <c r="G28" i="6"/>
  <c r="G35" i="6" s="1"/>
  <c r="F28" i="6"/>
  <c r="E28" i="6"/>
  <c r="D28" i="6"/>
  <c r="C28" i="6"/>
  <c r="B23" i="6"/>
  <c r="B22" i="6"/>
  <c r="B21" i="6"/>
  <c r="B20" i="6"/>
  <c r="B19" i="6"/>
  <c r="B18" i="6"/>
  <c r="B17" i="6"/>
  <c r="B16" i="6"/>
  <c r="B15" i="6"/>
  <c r="B14" i="6"/>
  <c r="B12" i="6"/>
  <c r="AP11" i="6"/>
  <c r="AP35" i="6" s="1"/>
  <c r="AN11" i="6"/>
  <c r="AL11" i="6"/>
  <c r="AL35" i="6" s="1"/>
  <c r="AJ11" i="6"/>
  <c r="AH11" i="6"/>
  <c r="AH35" i="6" s="1"/>
  <c r="AF11" i="6"/>
  <c r="AF35" i="6" s="1"/>
  <c r="AD11" i="6"/>
  <c r="AB11" i="6"/>
  <c r="AB35" i="6" s="1"/>
  <c r="Z11" i="6"/>
  <c r="Z35" i="6" s="1"/>
  <c r="Y11" i="6"/>
  <c r="X11" i="6"/>
  <c r="X35" i="6" s="1"/>
  <c r="W11" i="6"/>
  <c r="V11" i="6"/>
  <c r="U11" i="6"/>
  <c r="U35" i="6" s="1"/>
  <c r="T11" i="6"/>
  <c r="S11" i="6"/>
  <c r="S35" i="6" s="1"/>
  <c r="R11" i="6"/>
  <c r="R35" i="6" s="1"/>
  <c r="Q11" i="6"/>
  <c r="P11" i="6"/>
  <c r="P35" i="6" s="1"/>
  <c r="O11" i="6"/>
  <c r="N11" i="6"/>
  <c r="M11" i="6"/>
  <c r="M35" i="6" s="1"/>
  <c r="L11" i="6"/>
  <c r="K11" i="6"/>
  <c r="K35" i="6" s="1"/>
  <c r="J11" i="6"/>
  <c r="J35" i="6" s="1"/>
  <c r="I11" i="6"/>
  <c r="H11" i="6"/>
  <c r="H35" i="6" s="1"/>
  <c r="G11" i="6"/>
  <c r="F11" i="6"/>
  <c r="E11" i="6"/>
  <c r="E35" i="6" s="1"/>
  <c r="D11" i="6"/>
  <c r="C11" i="6"/>
  <c r="C35" i="6" s="1"/>
  <c r="B8" i="6"/>
  <c r="B5" i="6"/>
  <c r="B4" i="6"/>
  <c r="B3" i="6"/>
  <c r="H15" i="5"/>
  <c r="H14" i="5"/>
  <c r="H13" i="5"/>
  <c r="H12" i="5"/>
  <c r="H11" i="5"/>
  <c r="H10" i="5"/>
  <c r="H9" i="5"/>
  <c r="H8" i="5"/>
  <c r="H7" i="5"/>
  <c r="H6" i="5"/>
  <c r="H16" i="5" s="1"/>
  <c r="H5" i="5"/>
  <c r="H4" i="5"/>
  <c r="H3" i="5"/>
  <c r="E27" i="4"/>
  <c r="D27" i="4"/>
  <c r="C27" i="4"/>
  <c r="F27" i="4" s="1"/>
  <c r="F26" i="4"/>
  <c r="E25" i="4"/>
  <c r="D25" i="4"/>
  <c r="C25" i="4"/>
  <c r="F25" i="4" s="1"/>
  <c r="F24" i="4"/>
  <c r="E23" i="4"/>
  <c r="D23" i="4"/>
  <c r="F23" i="4" s="1"/>
  <c r="C23" i="4"/>
  <c r="F22" i="4"/>
  <c r="E21" i="4"/>
  <c r="D21" i="4"/>
  <c r="C21" i="4"/>
  <c r="F20" i="4"/>
  <c r="F19" i="4"/>
  <c r="E19" i="4"/>
  <c r="D19" i="4"/>
  <c r="C19" i="4"/>
  <c r="F18" i="4"/>
  <c r="E17" i="4"/>
  <c r="C17" i="4"/>
  <c r="F17" i="4" s="1"/>
  <c r="F16" i="4"/>
  <c r="E15" i="4"/>
  <c r="C15" i="4"/>
  <c r="F14" i="4"/>
  <c r="E13" i="4"/>
  <c r="F12" i="4"/>
  <c r="E11" i="4"/>
  <c r="D11" i="4"/>
  <c r="F10" i="4"/>
  <c r="E9" i="4"/>
  <c r="F8" i="4"/>
  <c r="E7" i="4"/>
  <c r="D7" i="4"/>
  <c r="F6" i="4"/>
  <c r="E5" i="4"/>
  <c r="C5" i="4"/>
  <c r="E4" i="4"/>
  <c r="I29" i="3"/>
  <c r="J28" i="3"/>
  <c r="J29" i="3" s="1"/>
  <c r="J30" i="3" s="1"/>
  <c r="I28" i="3"/>
  <c r="L27" i="3"/>
  <c r="M27" i="3" s="1"/>
  <c r="K27" i="3"/>
  <c r="K26" i="3"/>
  <c r="L26" i="3" s="1"/>
  <c r="M26" i="3" s="1"/>
  <c r="D26" i="3"/>
  <c r="L25" i="3"/>
  <c r="K25" i="3"/>
  <c r="D25" i="3"/>
  <c r="K24" i="3"/>
  <c r="L24" i="3" s="1"/>
  <c r="M24" i="3" s="1"/>
  <c r="K23" i="3"/>
  <c r="M22" i="3"/>
  <c r="K22" i="3"/>
  <c r="L22" i="3" s="1"/>
  <c r="E22" i="3"/>
  <c r="E21" i="3"/>
  <c r="K21" i="3" s="1"/>
  <c r="K20" i="3"/>
  <c r="L20" i="3" s="1"/>
  <c r="K19" i="3"/>
  <c r="E19" i="3"/>
  <c r="E18" i="3"/>
  <c r="K18" i="3" s="1"/>
  <c r="K17" i="3"/>
  <c r="E17" i="3"/>
  <c r="L16" i="3"/>
  <c r="M16" i="3" s="1"/>
  <c r="K16" i="3"/>
  <c r="M15" i="3"/>
  <c r="E15" i="3"/>
  <c r="K15" i="3" s="1"/>
  <c r="L15" i="3" s="1"/>
  <c r="L14" i="3"/>
  <c r="K14" i="3"/>
  <c r="E13" i="3"/>
  <c r="K13" i="3" s="1"/>
  <c r="E12" i="3"/>
  <c r="K12" i="3" s="1"/>
  <c r="L11" i="3"/>
  <c r="E11" i="3"/>
  <c r="K11" i="3" s="1"/>
  <c r="K10" i="3"/>
  <c r="M9" i="3"/>
  <c r="K9" i="3"/>
  <c r="L9" i="3" s="1"/>
  <c r="D9" i="3"/>
  <c r="L8" i="3"/>
  <c r="K8" i="3"/>
  <c r="M8" i="3" s="1"/>
  <c r="E7" i="3"/>
  <c r="K7" i="3" s="1"/>
  <c r="K6" i="3"/>
  <c r="E6" i="3"/>
  <c r="L5" i="3"/>
  <c r="M5" i="3" s="1"/>
  <c r="K5" i="3"/>
  <c r="E4" i="3"/>
  <c r="K4" i="3" s="1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W62" i="2"/>
  <c r="AT62" i="2"/>
  <c r="AO62" i="2"/>
  <c r="AN62" i="2"/>
  <c r="AN75" i="2" s="1"/>
  <c r="AG62" i="2"/>
  <c r="AD62" i="2"/>
  <c r="Y62" i="2"/>
  <c r="X62" i="2"/>
  <c r="X75" i="2" s="1"/>
  <c r="Q62" i="2"/>
  <c r="I62" i="2"/>
  <c r="H62" i="2"/>
  <c r="H75" i="2" s="1"/>
  <c r="AY14" i="2"/>
  <c r="AY62" i="2" s="1"/>
  <c r="AY75" i="2" s="1"/>
  <c r="AX14" i="2"/>
  <c r="AW14" i="2"/>
  <c r="AV14" i="2"/>
  <c r="AV62" i="2" s="1"/>
  <c r="AV75" i="2" s="1"/>
  <c r="AU14" i="2"/>
  <c r="AT14" i="2"/>
  <c r="AS14" i="2"/>
  <c r="AR14" i="2"/>
  <c r="AQ14" i="2"/>
  <c r="AQ62" i="2" s="1"/>
  <c r="AQ75" i="2" s="1"/>
  <c r="AP14" i="2"/>
  <c r="AO14" i="2"/>
  <c r="AN14" i="2"/>
  <c r="AM14" i="2"/>
  <c r="AL14" i="2"/>
  <c r="AK14" i="2"/>
  <c r="AJ14" i="2"/>
  <c r="AI14" i="2"/>
  <c r="AI62" i="2" s="1"/>
  <c r="AI75" i="2" s="1"/>
  <c r="AH14" i="2"/>
  <c r="AG14" i="2"/>
  <c r="AF14" i="2"/>
  <c r="AF62" i="2" s="1"/>
  <c r="AF75" i="2" s="1"/>
  <c r="AE14" i="2"/>
  <c r="AD14" i="2"/>
  <c r="AC14" i="2"/>
  <c r="AB14" i="2"/>
  <c r="AA14" i="2"/>
  <c r="AA62" i="2" s="1"/>
  <c r="AA75" i="2" s="1"/>
  <c r="Z14" i="2"/>
  <c r="Y14" i="2"/>
  <c r="X14" i="2"/>
  <c r="W14" i="2"/>
  <c r="V14" i="2"/>
  <c r="U14" i="2"/>
  <c r="T14" i="2"/>
  <c r="S14" i="2"/>
  <c r="S62" i="2" s="1"/>
  <c r="S75" i="2" s="1"/>
  <c r="R14" i="2"/>
  <c r="Q14" i="2"/>
  <c r="P14" i="2"/>
  <c r="P62" i="2" s="1"/>
  <c r="P75" i="2" s="1"/>
  <c r="O14" i="2"/>
  <c r="N14" i="2"/>
  <c r="M14" i="2"/>
  <c r="L14" i="2"/>
  <c r="K14" i="2"/>
  <c r="K62" i="2" s="1"/>
  <c r="K75" i="2" s="1"/>
  <c r="J14" i="2"/>
  <c r="I14" i="2"/>
  <c r="H14" i="2"/>
  <c r="G14" i="2"/>
  <c r="F14" i="2"/>
  <c r="E14" i="2"/>
  <c r="D14" i="2"/>
  <c r="C14" i="2"/>
  <c r="C62" i="2" s="1"/>
  <c r="C75" i="2" s="1"/>
  <c r="B14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Y12" i="2"/>
  <c r="AX12" i="2"/>
  <c r="AW12" i="2"/>
  <c r="AV12" i="2"/>
  <c r="AU12" i="2"/>
  <c r="AU62" i="2" s="1"/>
  <c r="AT12" i="2"/>
  <c r="AS12" i="2"/>
  <c r="AR12" i="2"/>
  <c r="AQ12" i="2"/>
  <c r="AP12" i="2"/>
  <c r="AO12" i="2"/>
  <c r="AN12" i="2"/>
  <c r="AM12" i="2"/>
  <c r="AM62" i="2" s="1"/>
  <c r="AL12" i="2"/>
  <c r="AL62" i="2" s="1"/>
  <c r="AK12" i="2"/>
  <c r="AJ12" i="2"/>
  <c r="AI12" i="2"/>
  <c r="AH12" i="2"/>
  <c r="AG12" i="2"/>
  <c r="AF12" i="2"/>
  <c r="AE12" i="2"/>
  <c r="AE62" i="2" s="1"/>
  <c r="AD12" i="2"/>
  <c r="AC12" i="2"/>
  <c r="AB12" i="2"/>
  <c r="AA12" i="2"/>
  <c r="Z12" i="2"/>
  <c r="Y12" i="2"/>
  <c r="X12" i="2"/>
  <c r="W12" i="2"/>
  <c r="W62" i="2" s="1"/>
  <c r="V12" i="2"/>
  <c r="V62" i="2" s="1"/>
  <c r="U12" i="2"/>
  <c r="T12" i="2"/>
  <c r="S12" i="2"/>
  <c r="R12" i="2"/>
  <c r="Q12" i="2"/>
  <c r="P12" i="2"/>
  <c r="O12" i="2"/>
  <c r="O62" i="2" s="1"/>
  <c r="N12" i="2"/>
  <c r="N62" i="2" s="1"/>
  <c r="M12" i="2"/>
  <c r="L12" i="2"/>
  <c r="K12" i="2"/>
  <c r="J12" i="2"/>
  <c r="I12" i="2"/>
  <c r="H12" i="2"/>
  <c r="G12" i="2"/>
  <c r="G62" i="2" s="1"/>
  <c r="F12" i="2"/>
  <c r="F62" i="2" s="1"/>
  <c r="E12" i="2"/>
  <c r="D12" i="2"/>
  <c r="C12" i="2"/>
  <c r="B12" i="2"/>
  <c r="B62" i="2" s="1"/>
  <c r="AY11" i="2"/>
  <c r="AX11" i="2"/>
  <c r="AW11" i="2"/>
  <c r="AW75" i="2" s="1"/>
  <c r="AV11" i="2"/>
  <c r="AU11" i="2"/>
  <c r="AT11" i="2"/>
  <c r="AS11" i="2"/>
  <c r="AR11" i="2"/>
  <c r="AQ11" i="2"/>
  <c r="AP11" i="2"/>
  <c r="AO11" i="2"/>
  <c r="AO75" i="2" s="1"/>
  <c r="AN11" i="2"/>
  <c r="AM11" i="2"/>
  <c r="AL11" i="2"/>
  <c r="AK11" i="2"/>
  <c r="AJ11" i="2"/>
  <c r="AI11" i="2"/>
  <c r="AH11" i="2"/>
  <c r="AG11" i="2"/>
  <c r="AG75" i="2" s="1"/>
  <c r="AF11" i="2"/>
  <c r="AE11" i="2"/>
  <c r="AD11" i="2"/>
  <c r="AC11" i="2"/>
  <c r="AB11" i="2"/>
  <c r="AA11" i="2"/>
  <c r="Z11" i="2"/>
  <c r="Y11" i="2"/>
  <c r="Y75" i="2" s="1"/>
  <c r="X11" i="2"/>
  <c r="W11" i="2"/>
  <c r="V11" i="2"/>
  <c r="U11" i="2"/>
  <c r="T11" i="2"/>
  <c r="S11" i="2"/>
  <c r="R11" i="2"/>
  <c r="Q11" i="2"/>
  <c r="Q75" i="2" s="1"/>
  <c r="P11" i="2"/>
  <c r="O11" i="2"/>
  <c r="N11" i="2"/>
  <c r="M11" i="2"/>
  <c r="L11" i="2"/>
  <c r="K11" i="2"/>
  <c r="J11" i="2"/>
  <c r="I11" i="2"/>
  <c r="I75" i="2" s="1"/>
  <c r="H11" i="2"/>
  <c r="G11" i="2"/>
  <c r="F11" i="2"/>
  <c r="E11" i="2"/>
  <c r="D11" i="2"/>
  <c r="C11" i="2"/>
  <c r="B11" i="2"/>
  <c r="O28" i="1"/>
  <c r="N28" i="1"/>
  <c r="M28" i="1"/>
  <c r="L28" i="1"/>
  <c r="K28" i="1"/>
  <c r="J28" i="1"/>
  <c r="J27" i="1"/>
  <c r="I27" i="1"/>
  <c r="H27" i="1"/>
  <c r="C13" i="4" s="1"/>
  <c r="F13" i="4" s="1"/>
  <c r="G27" i="1"/>
  <c r="F27" i="1"/>
  <c r="C9" i="4" s="1"/>
  <c r="E27" i="1"/>
  <c r="C7" i="4" s="1"/>
  <c r="F7" i="4" s="1"/>
  <c r="D27" i="1"/>
  <c r="C27" i="1"/>
  <c r="C4" i="4" s="1"/>
  <c r="J26" i="1"/>
  <c r="G26" i="1"/>
  <c r="U25" i="1"/>
  <c r="J25" i="1"/>
  <c r="I25" i="1"/>
  <c r="H25" i="1"/>
  <c r="G25" i="1"/>
  <c r="F25" i="1"/>
  <c r="U21" i="1"/>
  <c r="B34" i="6" s="1"/>
  <c r="P21" i="1"/>
  <c r="B21" i="1"/>
  <c r="B25" i="1" s="1"/>
  <c r="U20" i="1"/>
  <c r="J20" i="1"/>
  <c r="D17" i="4" s="1"/>
  <c r="I20" i="1"/>
  <c r="I26" i="1" s="1"/>
  <c r="H20" i="1"/>
  <c r="D13" i="4" s="1"/>
  <c r="G20" i="1"/>
  <c r="F20" i="1"/>
  <c r="F26" i="1" s="1"/>
  <c r="E20" i="1"/>
  <c r="D20" i="1"/>
  <c r="D28" i="1" s="1"/>
  <c r="C20" i="1"/>
  <c r="B19" i="1"/>
  <c r="B18" i="1"/>
  <c r="U17" i="1"/>
  <c r="B24" i="6" s="1"/>
  <c r="B17" i="1"/>
  <c r="B16" i="1"/>
  <c r="B15" i="1"/>
  <c r="B14" i="1"/>
  <c r="B13" i="1"/>
  <c r="B12" i="1"/>
  <c r="B11" i="1"/>
  <c r="B10" i="1"/>
  <c r="B9" i="1"/>
  <c r="B8" i="1"/>
  <c r="B7" i="1"/>
  <c r="B6" i="1"/>
  <c r="U5" i="1"/>
  <c r="B5" i="1"/>
  <c r="U4" i="1"/>
  <c r="B6" i="14" s="1"/>
  <c r="U3" i="1"/>
  <c r="B10" i="6" s="1"/>
  <c r="U2" i="1"/>
  <c r="B4" i="14" s="1"/>
  <c r="B2" i="1"/>
  <c r="L12" i="3" l="1"/>
  <c r="M12" i="3" s="1"/>
  <c r="AH75" i="2"/>
  <c r="M18" i="3"/>
  <c r="AX75" i="2"/>
  <c r="M7" i="3"/>
  <c r="U26" i="1"/>
  <c r="B22" i="14"/>
  <c r="AZ11" i="2"/>
  <c r="E3" i="9" s="1"/>
  <c r="K28" i="3"/>
  <c r="L4" i="3"/>
  <c r="L7" i="3"/>
  <c r="M11" i="3"/>
  <c r="L18" i="3"/>
  <c r="D5" i="4"/>
  <c r="F5" i="4" s="1"/>
  <c r="C75" i="8"/>
  <c r="K75" i="8"/>
  <c r="S75" i="8"/>
  <c r="AA75" i="8"/>
  <c r="AI75" i="8"/>
  <c r="AQ75" i="8"/>
  <c r="AY75" i="8"/>
  <c r="H7" i="11"/>
  <c r="AZ11" i="8"/>
  <c r="E11" i="9" s="1"/>
  <c r="D75" i="2"/>
  <c r="L75" i="2"/>
  <c r="J62" i="2"/>
  <c r="J75" i="2" s="1"/>
  <c r="R62" i="2"/>
  <c r="R75" i="2" s="1"/>
  <c r="Z62" i="2"/>
  <c r="Z75" i="2" s="1"/>
  <c r="AH62" i="2"/>
  <c r="AP62" i="2"/>
  <c r="AP75" i="2" s="1"/>
  <c r="AX62" i="2"/>
  <c r="AZ74" i="2"/>
  <c r="E5" i="9" s="1"/>
  <c r="L23" i="3"/>
  <c r="M23" i="3" s="1"/>
  <c r="F21" i="4"/>
  <c r="I28" i="7"/>
  <c r="Q28" i="7"/>
  <c r="Y28" i="7"/>
  <c r="AH62" i="8"/>
  <c r="AZ62" i="8" s="1"/>
  <c r="E12" i="9" s="1"/>
  <c r="AP62" i="8"/>
  <c r="AP75" i="8" s="1"/>
  <c r="AX62" i="8"/>
  <c r="H13" i="11"/>
  <c r="H23" i="11"/>
  <c r="B27" i="1"/>
  <c r="P27" i="1" s="1"/>
  <c r="B3" i="7"/>
  <c r="B27" i="7" s="1"/>
  <c r="U27" i="1"/>
  <c r="V75" i="8"/>
  <c r="AD75" i="8"/>
  <c r="H18" i="11"/>
  <c r="C29" i="11"/>
  <c r="C30" i="11" s="1"/>
  <c r="F75" i="2"/>
  <c r="N75" i="2"/>
  <c r="V75" i="2"/>
  <c r="AD75" i="2"/>
  <c r="AL75" i="2"/>
  <c r="AT75" i="2"/>
  <c r="D62" i="2"/>
  <c r="L62" i="2"/>
  <c r="T62" i="2"/>
  <c r="T75" i="2" s="1"/>
  <c r="AB62" i="2"/>
  <c r="AB75" i="2" s="1"/>
  <c r="AJ62" i="2"/>
  <c r="AJ75" i="2" s="1"/>
  <c r="AR62" i="2"/>
  <c r="AR75" i="2" s="1"/>
  <c r="B75" i="2"/>
  <c r="M13" i="3"/>
  <c r="F28" i="11"/>
  <c r="G4" i="11"/>
  <c r="D4" i="4"/>
  <c r="C28" i="1"/>
  <c r="E28" i="1"/>
  <c r="AX75" i="8"/>
  <c r="G28" i="1"/>
  <c r="C11" i="4"/>
  <c r="F11" i="4" s="1"/>
  <c r="H12" i="11"/>
  <c r="G12" i="11"/>
  <c r="C28" i="4"/>
  <c r="C29" i="4" s="1"/>
  <c r="F4" i="4"/>
  <c r="G75" i="2"/>
  <c r="O75" i="2"/>
  <c r="W75" i="2"/>
  <c r="AE75" i="2"/>
  <c r="AM75" i="2"/>
  <c r="AU75" i="2"/>
  <c r="E62" i="2"/>
  <c r="E75" i="2" s="1"/>
  <c r="M62" i="2"/>
  <c r="M75" i="2" s="1"/>
  <c r="U62" i="2"/>
  <c r="U75" i="2" s="1"/>
  <c r="AC62" i="2"/>
  <c r="AC75" i="2" s="1"/>
  <c r="AK62" i="2"/>
  <c r="AK75" i="2" s="1"/>
  <c r="AS62" i="2"/>
  <c r="AS75" i="2" s="1"/>
  <c r="L13" i="3"/>
  <c r="M20" i="3"/>
  <c r="B28" i="6"/>
  <c r="H5" i="11"/>
  <c r="H15" i="11"/>
  <c r="L10" i="3"/>
  <c r="M10" i="3" s="1"/>
  <c r="I28" i="1"/>
  <c r="D15" i="4"/>
  <c r="M6" i="3"/>
  <c r="M14" i="3"/>
  <c r="L21" i="3"/>
  <c r="M21" i="3" s="1"/>
  <c r="M25" i="3"/>
  <c r="I30" i="3"/>
  <c r="E28" i="4"/>
  <c r="E29" i="4" s="1"/>
  <c r="F15" i="4"/>
  <c r="AA27" i="7"/>
  <c r="I75" i="8"/>
  <c r="Q75" i="8"/>
  <c r="Y75" i="8"/>
  <c r="AG75" i="8"/>
  <c r="AO75" i="8"/>
  <c r="AW75" i="8"/>
  <c r="AZ74" i="8"/>
  <c r="E13" i="9" s="1"/>
  <c r="G20" i="11"/>
  <c r="H20" i="11" s="1"/>
  <c r="H26" i="1"/>
  <c r="B13" i="6"/>
  <c r="B5" i="7"/>
  <c r="B22" i="7" s="1"/>
  <c r="AA22" i="7"/>
  <c r="D29" i="11"/>
  <c r="D30" i="11" s="1"/>
  <c r="B30" i="13"/>
  <c r="B3" i="1"/>
  <c r="F28" i="1"/>
  <c r="E28" i="3"/>
  <c r="G7" i="11"/>
  <c r="G15" i="11"/>
  <c r="G23" i="11"/>
  <c r="B5" i="14"/>
  <c r="B21" i="14" s="1"/>
  <c r="G10" i="11"/>
  <c r="H10" i="11" s="1"/>
  <c r="G18" i="11"/>
  <c r="G26" i="11"/>
  <c r="H26" i="11" s="1"/>
  <c r="B4" i="1"/>
  <c r="H28" i="1"/>
  <c r="L6" i="3"/>
  <c r="L17" i="3"/>
  <c r="M17" i="3" s="1"/>
  <c r="L19" i="3"/>
  <c r="M19" i="3" s="1"/>
  <c r="G5" i="11"/>
  <c r="G13" i="11"/>
  <c r="G21" i="11"/>
  <c r="H21" i="11" s="1"/>
  <c r="D9" i="4"/>
  <c r="F9" i="4" s="1"/>
  <c r="K29" i="3" l="1"/>
  <c r="K30" i="3"/>
  <c r="E30" i="4"/>
  <c r="E31" i="4" s="1"/>
  <c r="AZ75" i="2"/>
  <c r="C30" i="4"/>
  <c r="E14" i="9"/>
  <c r="E15" i="9" s="1"/>
  <c r="AH75" i="8"/>
  <c r="AZ75" i="8" s="1"/>
  <c r="D28" i="4"/>
  <c r="D29" i="4" s="1"/>
  <c r="AZ62" i="2"/>
  <c r="E4" i="9" s="1"/>
  <c r="E29" i="3"/>
  <c r="E30" i="3"/>
  <c r="G28" i="11"/>
  <c r="M4" i="3"/>
  <c r="M28" i="3" s="1"/>
  <c r="L28" i="3"/>
  <c r="B20" i="1"/>
  <c r="H4" i="11"/>
  <c r="H28" i="11" s="1"/>
  <c r="F28" i="4"/>
  <c r="F29" i="11"/>
  <c r="F30" i="11" s="1"/>
  <c r="E32" i="4" l="1"/>
  <c r="E33" i="4"/>
  <c r="E7" i="9"/>
  <c r="D30" i="4"/>
  <c r="F30" i="4" s="1"/>
  <c r="D31" i="4"/>
  <c r="L29" i="3"/>
  <c r="L30" i="3"/>
  <c r="E6" i="9"/>
  <c r="F29" i="4"/>
  <c r="B26" i="1"/>
  <c r="B28" i="1"/>
  <c r="P20" i="1"/>
  <c r="P28" i="1" s="1"/>
  <c r="M29" i="3"/>
  <c r="M30" i="3"/>
  <c r="C31" i="4"/>
  <c r="Q28" i="1" l="1"/>
  <c r="P30" i="1"/>
  <c r="C32" i="4"/>
  <c r="F31" i="4"/>
  <c r="C33" i="4"/>
  <c r="D32" i="4"/>
  <c r="D33" i="4"/>
  <c r="O29" i="1"/>
  <c r="J29" i="1"/>
  <c r="F33" i="4" l="1"/>
  <c r="F32" i="4"/>
</calcChain>
</file>

<file path=xl/sharedStrings.xml><?xml version="1.0" encoding="utf-8"?>
<sst xmlns="http://schemas.openxmlformats.org/spreadsheetml/2006/main" count="1101" uniqueCount="284">
  <si>
    <t>WINGLE 7 DIESEL</t>
  </si>
  <si>
    <t>INTERMEDIOS</t>
  </si>
  <si>
    <t>CANTIDAD MANT. INTERMEDIOS</t>
  </si>
  <si>
    <t>ACEITE MOTOR</t>
  </si>
  <si>
    <t>FILTRO DE ACEITE</t>
  </si>
  <si>
    <t>FILTROS DE COMBUSTIBLE</t>
  </si>
  <si>
    <t>FILTRO TRAMPA DE AGUA/COMB</t>
  </si>
  <si>
    <t>FILTRO DE AIRE</t>
  </si>
  <si>
    <t>FILTRO DE CABINA A/C</t>
  </si>
  <si>
    <t>PASTILLAS DE FRENO DEL</t>
  </si>
  <si>
    <t>PASTILLAS DE FRENOS POST</t>
  </si>
  <si>
    <t>LIQUIDO INYECTORES</t>
  </si>
  <si>
    <t>LIMPIADOR DE FRENOS</t>
  </si>
  <si>
    <t>LIMPIADOR DE ADMISION</t>
  </si>
  <si>
    <t>REFRIGERANTE</t>
  </si>
  <si>
    <t>DISTRIBUCION</t>
  </si>
  <si>
    <t>ACEITE DE CAJA</t>
  </si>
  <si>
    <t>ACEITE DIFERENCIAL/TRANSFER</t>
  </si>
  <si>
    <t>SUMINISTROS</t>
  </si>
  <si>
    <t>ACEITE DIRECCION HIDRAULICA</t>
  </si>
  <si>
    <t>LIQUIDO DE FRENOS</t>
  </si>
  <si>
    <t>TOTAL REPUESTOS</t>
  </si>
  <si>
    <t>TOTAL MANO DE OBRA</t>
  </si>
  <si>
    <t>ALINEACION</t>
  </si>
  <si>
    <t>BALANCEO</t>
  </si>
  <si>
    <t>LIMPIEZA DE INYECTORES</t>
  </si>
  <si>
    <t>TOTAL M/O</t>
  </si>
  <si>
    <t>TOTAL</t>
  </si>
  <si>
    <t>*LUBRICANTES</t>
  </si>
  <si>
    <t>30% MANT. PREV.</t>
  </si>
  <si>
    <t>WINGLE 7 PLAN DE MANTENIMIENTO</t>
  </si>
  <si>
    <t>MOTORES DIESEL</t>
  </si>
  <si>
    <t>INTERMEDIO</t>
  </si>
  <si>
    <t>X</t>
  </si>
  <si>
    <t>PASTILLAS DE FRENO</t>
  </si>
  <si>
    <t>ACEITE DE CAJA Y TRANS</t>
  </si>
  <si>
    <t>DIRECCION HIDARULICA</t>
  </si>
  <si>
    <t>LIMPIEZA INTERCOOLER</t>
  </si>
  <si>
    <t>CONTROL LUCES</t>
  </si>
  <si>
    <t>CONTROL NIEVELES LIQUIDOS</t>
  </si>
  <si>
    <t>CONTROL PRESION DE NEUMATICOS</t>
  </si>
  <si>
    <t>ALINEACION , BALANCEO Y ROTACION</t>
  </si>
  <si>
    <t>* LOS FILTROS PARA DIESEL DEBEN SER EL PRIMARIO Y LA TRAMPA DE AGUA</t>
  </si>
  <si>
    <t>PLAN DE MANTENIMIENTO PREVENTIVO WINGLE 7 4X4</t>
  </si>
  <si>
    <t>ACEITE MOTOR (10W40) 6lt</t>
  </si>
  <si>
    <t>ACEITE DE CAJA (75W90) 3lt</t>
  </si>
  <si>
    <t>ACEITE DIFERENCIAL DELANTERO (80W90) 3lt</t>
  </si>
  <si>
    <t>ACEITE DIFERENCIAL POSTERIOR (80W90) 3lt</t>
  </si>
  <si>
    <t>ACEITE TRANSFER (ATF3-DEXRON3) 3 lt</t>
  </si>
  <si>
    <t>REFRIGERANTE 8lt</t>
  </si>
  <si>
    <t>LIQUIDO DE FRENOS (2 de 500ml)</t>
  </si>
  <si>
    <t>TOTAL LUBRICANTES</t>
  </si>
  <si>
    <t>KIT DE DISTRIBUCIÓN</t>
  </si>
  <si>
    <t>BASE TERMOSTATO</t>
  </si>
  <si>
    <t>TERMOSTATO</t>
  </si>
  <si>
    <t>BANDA DE SERVICIO/ACCESORIOS</t>
  </si>
  <si>
    <t>BOMBA DE AGUA WINGLE 7</t>
  </si>
  <si>
    <t>MANGUERA SALIDA RADIADOR</t>
  </si>
  <si>
    <t>MANGUERA ENTRADA RADIADOR</t>
  </si>
  <si>
    <t>COBERTOR TERMOSTATO MOTOR</t>
  </si>
  <si>
    <t>TUBERIA ENTRADA AGUA A EGR</t>
  </si>
  <si>
    <t>MANGUERA SALIDA REFRIGERANTE</t>
  </si>
  <si>
    <t>MANGUERA DE CALEFACCION 1</t>
  </si>
  <si>
    <t>MANGUERA DE CALEFACCION 2</t>
  </si>
  <si>
    <t>KIT CAÑERIAS D/H WINGLE 7</t>
  </si>
  <si>
    <t>RETENEDOR  DELT BOMBA DE ACEITE</t>
  </si>
  <si>
    <t>RETENEDOR ARBOL DE LEVAS</t>
  </si>
  <si>
    <t>DUCTO METALICO SALIDA AGUA</t>
  </si>
  <si>
    <t xml:space="preserve">MANGUERA AGUA CABEZOTE </t>
  </si>
  <si>
    <t>SINCRONIZADO 5TA/6TA                    (2)</t>
  </si>
  <si>
    <t>ANILLO SINCRONIZADOR 3RA            (2)</t>
  </si>
  <si>
    <t>SINCRONIZADOR 1RA/ 2DA MARCHA          (2)</t>
  </si>
  <si>
    <t>SINCRONIZADO 4TA</t>
  </si>
  <si>
    <t>SILICON ALTA TEMP</t>
  </si>
  <si>
    <t>RODAMIENTO DE BOLAS</t>
  </si>
  <si>
    <t>RODAMIENTO EJE DE ENTRADA</t>
  </si>
  <si>
    <t>RODAMIENTO CILINDRO DEL                           (2)</t>
  </si>
  <si>
    <t xml:space="preserve">RODAMIENTO EJE DE SALIDA </t>
  </si>
  <si>
    <t xml:space="preserve">RODAMIENTO DE AGUJAS </t>
  </si>
  <si>
    <t>HORQUILLA 1RA / 2DA</t>
  </si>
  <si>
    <t>HORQUILLA 3RA / 4TA</t>
  </si>
  <si>
    <t>RETENEDOR POST CIGÜEÑAL</t>
  </si>
  <si>
    <t>RODAMIENTO MOTRIZ VOLANTE</t>
  </si>
  <si>
    <t>EMPAQUE CABEZOTE MOTOR</t>
  </si>
  <si>
    <t>GUIAS DE VALVULAS</t>
  </si>
  <si>
    <t>VALVULA DE ESCAPE                                     (8)</t>
  </si>
  <si>
    <t>VALVULA DE ADMISION                               (8)</t>
  </si>
  <si>
    <t>SELLO DE VALVULAS                                     (16)</t>
  </si>
  <si>
    <t>BALANCIN DE MOTOR                            (16)</t>
  </si>
  <si>
    <t>PROPULSOR HIDRAULICO                 (16)</t>
  </si>
  <si>
    <t>MANO DE OBRA POR KILOMETRAJE</t>
  </si>
  <si>
    <t>RECTIFICACIÓN DISCOS DEL</t>
  </si>
  <si>
    <t>RECTIFICACIÓN DISCOS POST</t>
  </si>
  <si>
    <t>MANTENIMIENTO Y CALIBRACIÓN DE INYECTORES</t>
  </si>
  <si>
    <t>LAVADO</t>
  </si>
  <si>
    <t>MANTENIMIENTO SISTEMA DE REFRIGERACION</t>
  </si>
  <si>
    <t>OVERHAUL DE CAJA</t>
  </si>
  <si>
    <t>OVERHAUL DE CABEZOTE</t>
  </si>
  <si>
    <t>TOTAL COSTO MANTENIMIENTO POR KILOMETRAJE</t>
  </si>
  <si>
    <t>MARCA</t>
  </si>
  <si>
    <t>GWM</t>
  </si>
  <si>
    <t>MODELO</t>
  </si>
  <si>
    <t>MANTENIMIENTOS CORRECTIVOS</t>
  </si>
  <si>
    <t>ITEM</t>
  </si>
  <si>
    <t>DESCRIPCION</t>
  </si>
  <si>
    <t>CANTIDAD</t>
  </si>
  <si>
    <t>VALOR UNI</t>
  </si>
  <si>
    <t>MANO DE OBRA</t>
  </si>
  <si>
    <t>OBSERVACION DE TRABAJOS ADICIONALES</t>
  </si>
  <si>
    <t>Total M/O</t>
  </si>
  <si>
    <t>SUBTOTAL</t>
  </si>
  <si>
    <t>IVA</t>
  </si>
  <si>
    <t>BOMBA DE COMBUSTIBLE ALTA PRESION</t>
  </si>
  <si>
    <t>Cambio bomba de combustible</t>
  </si>
  <si>
    <t>contemplar desmontaje de banda de distribución mas 75.00</t>
  </si>
  <si>
    <t>BOMBA AGUA</t>
  </si>
  <si>
    <t>Cambio bomba de agua</t>
  </si>
  <si>
    <t>BOMBA DIRECCION HIDRAULICA</t>
  </si>
  <si>
    <t>Cambio bomba de dirección Hidráulica</t>
  </si>
  <si>
    <t>mas dranado del sistema 33.00</t>
  </si>
  <si>
    <t>AMORTIGUADORES DELANTEROS</t>
  </si>
  <si>
    <t>Cambio amortiguadores delanteros</t>
  </si>
  <si>
    <t>AMORTIGUADORES POSTERIORES</t>
  </si>
  <si>
    <t>Cambio amortiguadores posteriores</t>
  </si>
  <si>
    <t>KIT EMBRAGUE COMPLETO</t>
  </si>
  <si>
    <t>Cambio Kit de embrague</t>
  </si>
  <si>
    <t>RODAMIENTOS PUNTAS DE EJE DELANTEROS (4)</t>
  </si>
  <si>
    <t>Cambio y engrase de rodamientos de puntas de eje delanteras</t>
  </si>
  <si>
    <t>RETENEDORES EJE DELANTEROS (2)</t>
  </si>
  <si>
    <t>Cambio retenedores puntas de eje delanteras</t>
  </si>
  <si>
    <t>DISCOS DE FRENO DELANTEROS</t>
  </si>
  <si>
    <t>Cambio discos de freno delanteros</t>
  </si>
  <si>
    <t>DISCOS DE FRENO POSTERIORES</t>
  </si>
  <si>
    <t>Cambio de discos de freno</t>
  </si>
  <si>
    <t>BUJES DE PAQUETES DE RESORTES</t>
  </si>
  <si>
    <t>Cambio bujes de paquetes</t>
  </si>
  <si>
    <t>CRUCETAS DE CARDAN</t>
  </si>
  <si>
    <t>Cambio crucetas</t>
  </si>
  <si>
    <t>mas desmontaje de cardan 33</t>
  </si>
  <si>
    <t>BOMBA DE FRENO</t>
  </si>
  <si>
    <t>Cambio bomba de freno</t>
  </si>
  <si>
    <t>mas purgado de liquido 25</t>
  </si>
  <si>
    <t>BOMBA DE EMBRAGUE</t>
  </si>
  <si>
    <t>Cambio bomba de embrague</t>
  </si>
  <si>
    <t xml:space="preserve">INYECTORES </t>
  </si>
  <si>
    <t>Cambio y diagnóstico de inyectores</t>
  </si>
  <si>
    <t>TURBO GEOMETRIA VARIABLE</t>
  </si>
  <si>
    <t>Cambio turbo</t>
  </si>
  <si>
    <t>mas limpieza de sistema intercooler 50.00</t>
  </si>
  <si>
    <t>CREMALLERA DE DIRECCION</t>
  </si>
  <si>
    <t>Cambio cremallera de dirección y sangrado sistema</t>
  </si>
  <si>
    <t>ROTULAS SUPERIORES</t>
  </si>
  <si>
    <t>Cambio rotulas de suspensión</t>
  </si>
  <si>
    <t>mas alineación 18.00</t>
  </si>
  <si>
    <t>ROTULAS INFERIORES</t>
  </si>
  <si>
    <t>COMPRESOR A/C</t>
  </si>
  <si>
    <t>Cambio compresor de A/C</t>
  </si>
  <si>
    <t>mas carga de aire 60</t>
  </si>
  <si>
    <t>BANDA DE SERVICIO</t>
  </si>
  <si>
    <t>Cambio banda de servicio</t>
  </si>
  <si>
    <t>RODAMIENTAS DE CAJA DE CAMBIOS</t>
  </si>
  <si>
    <t>Cambio rodamientas de caja</t>
  </si>
  <si>
    <t>mas DM caja 75.00 mas lubricantes 48</t>
  </si>
  <si>
    <t>SINCRONIZADOS DE CAJA DE CAMBIOS</t>
  </si>
  <si>
    <t>Cambio sincronizados de caja</t>
  </si>
  <si>
    <t>PAQUETES DE RESORTES POSTERIORES</t>
  </si>
  <si>
    <t>Cambio paquetes de resortes posteriores</t>
  </si>
  <si>
    <t>TABLA COSTOS MANTENIMIENTO PREVENTIVO CAMIONETA WINGLE 7, SEGÚN PLAN MANTENIMIENTO FABRICANTE</t>
  </si>
  <si>
    <t>CANTIDAD TOTAL DE VEHICULOS</t>
  </si>
  <si>
    <t>KILOMETRAJE (km)</t>
  </si>
  <si>
    <t>SUBTOTAL/CAMIONETA</t>
  </si>
  <si>
    <t>SUBTOTAL UNITARIO</t>
  </si>
  <si>
    <t>SUBTOTAL (21 VEHICULOS)</t>
  </si>
  <si>
    <t>MANTENIMIENTO CORRECTIVO (30% MANTENIMIENTO PREVENTIVO)</t>
  </si>
  <si>
    <t>MANTENIMIENTOS CORRECTIVOS ESTIMADOS</t>
  </si>
  <si>
    <t>CÓDIGO CPC</t>
  </si>
  <si>
    <t>DESCRIPCIÓN</t>
  </si>
  <si>
    <t xml:space="preserve">CANTIDAD </t>
  </si>
  <si>
    <t>UNIDAD</t>
  </si>
  <si>
    <t>COSTO</t>
  </si>
  <si>
    <t>SUBTOTAL (SIN IVA)</t>
  </si>
  <si>
    <t>DISCO DE FRENO DELANTERO</t>
  </si>
  <si>
    <t>DISCOS DE FRENOS POSTERIORES</t>
  </si>
  <si>
    <t>PLATO DE EMBRAGUE</t>
  </si>
  <si>
    <t>DISCO DE EMBRAGUE</t>
  </si>
  <si>
    <t>RODAMIENTO DE EMBRAGUE</t>
  </si>
  <si>
    <t>BANDA DE ACCESORIOS</t>
  </si>
  <si>
    <t>TEMPLADOR DE BANDA</t>
  </si>
  <si>
    <t>CAMBIO DE BANDA Y TEMPLADOR</t>
  </si>
  <si>
    <t>MANTENIMIENTO DE AIRE ACONDICIONADO (CADA 40000 KILOMETROS)</t>
  </si>
  <si>
    <t>CAMBIO DE DISCOS DE FRENOS DELANTEROS</t>
  </si>
  <si>
    <t>CAMBIO DE DISCOS DE FRENOS POSTERIORES</t>
  </si>
  <si>
    <t>CAMBIO DE KIT DE EMBRAGUE</t>
  </si>
  <si>
    <t>RECTIFICADA DE DISCOS</t>
  </si>
  <si>
    <t>TOTAL (SIN IVA)</t>
  </si>
  <si>
    <t>PLAN DE MANTENIMIENTO PREVENTIVO WINGLE 7 4X2</t>
  </si>
  <si>
    <t>BASE TERMOSTATO Y TERMOSTATO</t>
  </si>
  <si>
    <t>TAPA RADIADOR</t>
  </si>
  <si>
    <t>LAVADO PREMIUM</t>
  </si>
  <si>
    <t>ACEITE MOTOR (10W40)</t>
  </si>
  <si>
    <t>ACEITE DE CAJA (75W90) 4lt</t>
  </si>
  <si>
    <t>TOTAL COSTO MANTINIENTO POR KILOMETRAJE</t>
  </si>
  <si>
    <t>COSTOS MANTENIMIENTO WINGLE 7 4X4</t>
  </si>
  <si>
    <t>CANTIDAD VEHICULOS</t>
  </si>
  <si>
    <t>Total lubricantes</t>
  </si>
  <si>
    <t>Mantenimiento preventivo</t>
  </si>
  <si>
    <t>Total repuestos</t>
  </si>
  <si>
    <t>Total mano de obra</t>
  </si>
  <si>
    <t>Mantenimiento correctivo</t>
  </si>
  <si>
    <t>Se considera un valor aproximado del 30% del costo total de mantenimientos preventivos</t>
  </si>
  <si>
    <t>Total 1 + 2 + 3 + 4</t>
  </si>
  <si>
    <t>Costos no incluyen IVA</t>
  </si>
  <si>
    <t>COSTOS MANTENIMIENTO WINGLE 7 4X2</t>
  </si>
  <si>
    <t>PLAN DE MANTENIMIENTO PREVENTIVO WINGLE 7 (4X4 Y 4X2)</t>
  </si>
  <si>
    <t>ACEITE DE CAJA (4X2 Y 4X4)</t>
  </si>
  <si>
    <t>ACEITE DIFERENCIAL DELANTERO (SOLO 4X4)</t>
  </si>
  <si>
    <t>ACEITE DIFERENCIAL POSTERIOR (4X2 Y 4X4)</t>
  </si>
  <si>
    <t>ACEITE TRANSFER (SOLO 4X4)</t>
  </si>
  <si>
    <t>VALORES</t>
  </si>
  <si>
    <t xml:space="preserve"> Total M/O </t>
  </si>
  <si>
    <t xml:space="preserve"> SUBTOTAL </t>
  </si>
  <si>
    <t xml:space="preserve"> TOTAL </t>
  </si>
  <si>
    <t>AMORTIGUADORES DELANTEROS (2)</t>
  </si>
  <si>
    <t>AMORTIGUADORES POSTERIORES (2)</t>
  </si>
  <si>
    <t>RODAMIENTO VOLANTE</t>
  </si>
  <si>
    <t>DISCOS DE FRENO DELANTEROS (2)</t>
  </si>
  <si>
    <t>DISCOS DE FRENO POSTERIORES (2)</t>
  </si>
  <si>
    <t>BUJES METALICO DE PAQUETES DE RESORTES (2)</t>
  </si>
  <si>
    <t>BUJES DE CAUCHO PAQUETES DE RESORTE (8)</t>
  </si>
  <si>
    <t>CRUCETA DE CARDAN (1)</t>
  </si>
  <si>
    <t>INYECTOR (1)</t>
  </si>
  <si>
    <t>TERMINAL DE LA DIRECCIÓN LH</t>
  </si>
  <si>
    <t>TERMINAL DE LA DIRECCIÓN RH</t>
  </si>
  <si>
    <t>BRAZO AXIAL RH</t>
  </si>
  <si>
    <t>BRAZO AXIAL LH</t>
  </si>
  <si>
    <t>ROTULA DE SUSPENSION SUPERIOR DELT (1)</t>
  </si>
  <si>
    <t>ROTULA DE SUSPENSION INFERIOR DELT (1)</t>
  </si>
  <si>
    <t>RODAMIENTOS DE CAJA DE CAMBIOS</t>
  </si>
  <si>
    <t>PAQUETES DE RESORTES POSTERIORES (2)</t>
  </si>
  <si>
    <t>SENSOR TPMS</t>
  </si>
  <si>
    <t>PASTILLAS DE FRENO DELANTERAS</t>
  </si>
  <si>
    <t>PASTILLAS DE FRENO POSTERIORES</t>
  </si>
  <si>
    <t>PLUMAS (LIMPIAPRABRISAS) (2)</t>
  </si>
  <si>
    <t>FOCO 1 CONTACTO</t>
  </si>
  <si>
    <t>FOCOS 2 CONTACTOS</t>
  </si>
  <si>
    <t>FOCO UÑA</t>
  </si>
  <si>
    <t xml:space="preserve">FOCO HALOGENO </t>
  </si>
  <si>
    <t>BATERIA 27 HP BOSCH WINGLE</t>
  </si>
  <si>
    <t xml:space="preserve">BATERIA </t>
  </si>
  <si>
    <t>ENLLANTAJE C/U</t>
  </si>
  <si>
    <t>PARCHE  NEUMÁTICO C/U</t>
  </si>
  <si>
    <t>BARRA ESTABILIZADORA</t>
  </si>
  <si>
    <t>RADIADOR</t>
  </si>
  <si>
    <t>REPARACION TAPICERIA ASIENTO COMPLETO (SOLO DONDE SE SIENTA LA PERSONA) (1)</t>
  </si>
  <si>
    <t>REPARACION TAPICERIA ASIENTO COMPLETO (ESPALDAR) (1)</t>
  </si>
  <si>
    <t>RELES</t>
  </si>
  <si>
    <t>FUSIBLES</t>
  </si>
  <si>
    <t>CAMISAS CILINDRO (4)</t>
  </si>
  <si>
    <t>PISTONES (4)</t>
  </si>
  <si>
    <t>BULON (4)</t>
  </si>
  <si>
    <t>KIT DE RINES (4)</t>
  </si>
  <si>
    <t>CHAQUETAS DE BANCADA (10)</t>
  </si>
  <si>
    <t>CHAQUETAS DE BIELA (8)</t>
  </si>
  <si>
    <t>KIT DE EMPAQUES</t>
  </si>
  <si>
    <t>MEDIA LUNA (4)</t>
  </si>
  <si>
    <t>KIT DISTRIBUCION</t>
  </si>
  <si>
    <t>CONJUNTO DIFERENCIAL POST COMPLETO  WINGLE 7</t>
  </si>
  <si>
    <t>MORDAZA DEL RH</t>
  </si>
  <si>
    <t>MORDAZA DEL LH</t>
  </si>
  <si>
    <t>MORDAZA POST RH</t>
  </si>
  <si>
    <t>MORDAZA POST LH</t>
  </si>
  <si>
    <t>MANTENIMIENTO A/C</t>
  </si>
  <si>
    <t xml:space="preserve">AILNEACION </t>
  </si>
  <si>
    <t>MODULO DEL TURBO</t>
  </si>
  <si>
    <t>VALVULA EGR</t>
  </si>
  <si>
    <t xml:space="preserve">MANTENIMIENTO Y CALIBRACIÓN DE INYECTORES </t>
  </si>
  <si>
    <t>ALTERNADOR WINGLE 7</t>
  </si>
  <si>
    <t>WINGLE 2,8 DIESEL</t>
  </si>
  <si>
    <t>ACEITE DIFERENCIAL DELANTERO (80W90) 2lt</t>
  </si>
  <si>
    <t>ACEITE TRANSFER (ATF3-DEXRON3) 2 lt</t>
  </si>
  <si>
    <t>COSTOS MANTENIMIENTO 5000 KM</t>
  </si>
  <si>
    <t>Total 1 + 2 + 3</t>
  </si>
  <si>
    <t>COSTOS MANTENIMIENTO 10000 KM</t>
  </si>
  <si>
    <t>COSTOS MANTENIMIENTO 15000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</si>
</sst>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&quot;$&quot;#,##0.00"/>
  </numFmts>
  <fonts count="15">
    <font>
      <sz val="11"/>
      <color theme="1"/>
      <name val="Calibri"/>
      <scheme val="minor"/>
    </font>
    <font>
      <b/>
      <sz val="12"/>
      <color theme="1"/>
      <name val="Tahoma"/>
    </font>
    <font>
      <b/>
      <sz val="11"/>
      <color theme="1"/>
      <name val="Calibri"/>
    </font>
    <font>
      <b/>
      <sz val="11"/>
      <color rgb="FF000000"/>
      <name val="Calibri"/>
    </font>
    <font>
      <sz val="10"/>
      <color theme="1"/>
      <name val="Tahoma"/>
    </font>
    <font>
      <sz val="11"/>
      <color theme="1"/>
      <name val="Calibri"/>
    </font>
    <font>
      <b/>
      <sz val="9"/>
      <color rgb="FF000000"/>
      <name val="Arial"/>
    </font>
    <font>
      <sz val="9"/>
      <color rgb="FF000000"/>
      <name val="Calibri"/>
    </font>
    <font>
      <b/>
      <sz val="10"/>
      <color theme="1"/>
      <name val="Tahoma"/>
    </font>
    <font>
      <sz val="11"/>
      <color theme="1"/>
      <name val="Calibri"/>
      <scheme val="minor"/>
    </font>
    <font>
      <sz val="11"/>
      <name val="Calibri"/>
    </font>
    <font>
      <b/>
      <sz val="9"/>
      <color rgb="FF000000"/>
      <name val="Calibri"/>
    </font>
    <font>
      <sz val="8"/>
      <color theme="1"/>
      <name val="Calibri"/>
    </font>
    <font>
      <i/>
      <sz val="11"/>
      <color theme="1"/>
      <name val="Calibri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ADB9CA"/>
        <bgColor rgb="FFADB9CA"/>
      </patternFill>
    </fill>
    <fill>
      <patternFill patternType="solid">
        <fgColor rgb="FFC8C8C8"/>
        <bgColor rgb="FFC8C8C8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/>
    <xf numFmtId="164" fontId="5" fillId="2" borderId="5" xfId="0" applyNumberFormat="1" applyFont="1" applyFill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165" fontId="5" fillId="0" borderId="0" xfId="0" applyNumberFormat="1" applyFont="1"/>
    <xf numFmtId="165" fontId="2" fillId="0" borderId="0" xfId="0" applyNumberFormat="1" applyFont="1"/>
    <xf numFmtId="164" fontId="5" fillId="0" borderId="0" xfId="0" applyNumberFormat="1" applyFont="1"/>
    <xf numFmtId="164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43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5" fillId="0" borderId="5" xfId="0" applyNumberFormat="1" applyFont="1" applyBorder="1"/>
    <xf numFmtId="0" fontId="5" fillId="0" borderId="5" xfId="0" applyFont="1" applyBorder="1"/>
    <xf numFmtId="164" fontId="4" fillId="0" borderId="7" xfId="0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164" fontId="4" fillId="2" borderId="10" xfId="0" applyNumberFormat="1" applyFont="1" applyFill="1" applyBorder="1"/>
    <xf numFmtId="0" fontId="8" fillId="3" borderId="11" xfId="0" applyFont="1" applyFill="1" applyBorder="1"/>
    <xf numFmtId="164" fontId="5" fillId="2" borderId="12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0" fontId="8" fillId="4" borderId="11" xfId="0" applyFont="1" applyFill="1" applyBorder="1"/>
    <xf numFmtId="164" fontId="5" fillId="4" borderId="12" xfId="0" applyNumberFormat="1" applyFont="1" applyFill="1" applyBorder="1"/>
    <xf numFmtId="164" fontId="5" fillId="4" borderId="13" xfId="0" applyNumberFormat="1" applyFont="1" applyFill="1" applyBorder="1"/>
    <xf numFmtId="0" fontId="4" fillId="0" borderId="14" xfId="0" applyFont="1" applyBorder="1"/>
    <xf numFmtId="164" fontId="5" fillId="2" borderId="15" xfId="0" applyNumberFormat="1" applyFont="1" applyFill="1" applyBorder="1"/>
    <xf numFmtId="164" fontId="5" fillId="0" borderId="16" xfId="0" applyNumberFormat="1" applyFont="1" applyBorder="1"/>
    <xf numFmtId="164" fontId="5" fillId="0" borderId="17" xfId="0" applyNumberFormat="1" applyFont="1" applyBorder="1"/>
    <xf numFmtId="0" fontId="2" fillId="0" borderId="0" xfId="0" applyFont="1"/>
    <xf numFmtId="0" fontId="4" fillId="0" borderId="7" xfId="0" applyFont="1" applyBorder="1"/>
    <xf numFmtId="164" fontId="5" fillId="2" borderId="18" xfId="0" applyNumberFormat="1" applyFont="1" applyFill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0" fontId="4" fillId="0" borderId="21" xfId="0" applyFont="1" applyBorder="1"/>
    <xf numFmtId="164" fontId="5" fillId="2" borderId="22" xfId="0" applyNumberFormat="1" applyFont="1" applyFill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0" fontId="8" fillId="3" borderId="25" xfId="0" applyFont="1" applyFill="1" applyBorder="1"/>
    <xf numFmtId="0" fontId="8" fillId="3" borderId="26" xfId="0" applyFont="1" applyFill="1" applyBorder="1"/>
    <xf numFmtId="164" fontId="5" fillId="3" borderId="18" xfId="0" applyNumberFormat="1" applyFont="1" applyFill="1" applyBorder="1"/>
    <xf numFmtId="164" fontId="5" fillId="3" borderId="27" xfId="0" applyNumberFormat="1" applyFont="1" applyFill="1" applyBorder="1"/>
    <xf numFmtId="0" fontId="8" fillId="5" borderId="21" xfId="0" applyFont="1" applyFill="1" applyBorder="1"/>
    <xf numFmtId="164" fontId="5" fillId="2" borderId="28" xfId="0" applyNumberFormat="1" applyFont="1" applyFill="1" applyBorder="1"/>
    <xf numFmtId="164" fontId="5" fillId="5" borderId="28" xfId="0" applyNumberFormat="1" applyFont="1" applyFill="1" applyBorder="1"/>
    <xf numFmtId="164" fontId="5" fillId="5" borderId="29" xfId="0" applyNumberFormat="1" applyFont="1" applyFill="1" applyBorder="1"/>
    <xf numFmtId="0" fontId="9" fillId="0" borderId="0" xfId="0" applyFont="1"/>
    <xf numFmtId="0" fontId="8" fillId="0" borderId="0" xfId="0" applyFont="1"/>
    <xf numFmtId="43" fontId="5" fillId="0" borderId="0" xfId="0" applyNumberFormat="1" applyFont="1"/>
    <xf numFmtId="0" fontId="1" fillId="6" borderId="1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5" fillId="6" borderId="34" xfId="0" applyFont="1" applyFill="1" applyBorder="1"/>
    <xf numFmtId="0" fontId="5" fillId="6" borderId="35" xfId="0" applyFont="1" applyFill="1" applyBorder="1"/>
    <xf numFmtId="0" fontId="4" fillId="6" borderId="4" xfId="0" applyFont="1" applyFill="1" applyBorder="1"/>
    <xf numFmtId="164" fontId="5" fillId="6" borderId="5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2" fontId="7" fillId="0" borderId="0" xfId="0" applyNumberFormat="1" applyFont="1" applyAlignment="1">
      <alignment vertical="center"/>
    </xf>
    <xf numFmtId="8" fontId="11" fillId="0" borderId="0" xfId="0" applyNumberFormat="1" applyFont="1" applyAlignment="1">
      <alignment horizontal="center" vertical="center"/>
    </xf>
    <xf numFmtId="0" fontId="4" fillId="6" borderId="5" xfId="0" applyFont="1" applyFill="1" applyBorder="1"/>
    <xf numFmtId="0" fontId="5" fillId="6" borderId="5" xfId="0" applyFont="1" applyFill="1" applyBorder="1" applyAlignment="1">
      <alignment horizontal="center"/>
    </xf>
    <xf numFmtId="164" fontId="4" fillId="6" borderId="5" xfId="0" applyNumberFormat="1" applyFont="1" applyFill="1" applyBorder="1"/>
    <xf numFmtId="164" fontId="4" fillId="6" borderId="5" xfId="0" applyNumberFormat="1" applyFont="1" applyFill="1" applyBorder="1" applyAlignment="1">
      <alignment horizontal="center"/>
    </xf>
    <xf numFmtId="0" fontId="5" fillId="6" borderId="5" xfId="0" applyFont="1" applyFill="1" applyBorder="1"/>
    <xf numFmtId="164" fontId="5" fillId="6" borderId="5" xfId="0" applyNumberFormat="1" applyFont="1" applyFill="1" applyBorder="1" applyAlignment="1">
      <alignment horizontal="left"/>
    </xf>
    <xf numFmtId="164" fontId="4" fillId="0" borderId="0" xfId="0" applyNumberFormat="1" applyFont="1" applyAlignment="1">
      <alignment horizontal="center"/>
    </xf>
    <xf numFmtId="0" fontId="2" fillId="0" borderId="36" xfId="0" applyFont="1" applyBorder="1"/>
    <xf numFmtId="0" fontId="1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5" fillId="7" borderId="5" xfId="0" applyFont="1" applyFill="1" applyBorder="1"/>
    <xf numFmtId="44" fontId="5" fillId="0" borderId="5" xfId="0" applyNumberFormat="1" applyFont="1" applyBorder="1"/>
    <xf numFmtId="44" fontId="5" fillId="0" borderId="6" xfId="0" applyNumberFormat="1" applyFont="1" applyBorder="1"/>
    <xf numFmtId="44" fontId="5" fillId="0" borderId="16" xfId="0" applyNumberFormat="1" applyFont="1" applyBorder="1"/>
    <xf numFmtId="44" fontId="5" fillId="0" borderId="8" xfId="0" applyNumberFormat="1" applyFont="1" applyBorder="1"/>
    <xf numFmtId="44" fontId="5" fillId="0" borderId="9" xfId="0" applyNumberFormat="1" applyFont="1" applyBorder="1"/>
    <xf numFmtId="164" fontId="2" fillId="8" borderId="5" xfId="0" applyNumberFormat="1" applyFont="1" applyFill="1" applyBorder="1"/>
    <xf numFmtId="44" fontId="2" fillId="8" borderId="12" xfId="0" applyNumberFormat="1" applyFont="1" applyFill="1" applyBorder="1"/>
    <xf numFmtId="44" fontId="5" fillId="0" borderId="0" xfId="0" applyNumberFormat="1" applyFont="1"/>
    <xf numFmtId="164" fontId="4" fillId="0" borderId="5" xfId="0" applyNumberFormat="1" applyFont="1" applyBorder="1"/>
    <xf numFmtId="44" fontId="5" fillId="0" borderId="37" xfId="0" applyNumberFormat="1" applyFont="1" applyBorder="1"/>
    <xf numFmtId="44" fontId="2" fillId="8" borderId="5" xfId="0" applyNumberFormat="1" applyFont="1" applyFill="1" applyBorder="1"/>
    <xf numFmtId="44" fontId="5" fillId="0" borderId="38" xfId="0" applyNumberFormat="1" applyFont="1" applyBorder="1"/>
    <xf numFmtId="44" fontId="5" fillId="0" borderId="17" xfId="0" applyNumberFormat="1" applyFont="1" applyBorder="1"/>
    <xf numFmtId="0" fontId="5" fillId="0" borderId="7" xfId="0" applyFont="1" applyBorder="1"/>
    <xf numFmtId="0" fontId="4" fillId="0" borderId="39" xfId="0" applyFont="1" applyBorder="1"/>
    <xf numFmtId="44" fontId="5" fillId="0" borderId="19" xfId="0" applyNumberFormat="1" applyFont="1" applyBorder="1"/>
    <xf numFmtId="44" fontId="5" fillId="0" borderId="33" xfId="0" applyNumberFormat="1" applyFont="1" applyBorder="1"/>
    <xf numFmtId="0" fontId="4" fillId="0" borderId="5" xfId="0" applyFont="1" applyBorder="1"/>
    <xf numFmtId="44" fontId="2" fillId="8" borderId="22" xfId="0" applyNumberFormat="1" applyFont="1" applyFill="1" applyBorder="1"/>
    <xf numFmtId="43" fontId="2" fillId="7" borderId="22" xfId="0" applyNumberFormat="1" applyFont="1" applyFill="1" applyBorder="1" applyAlignment="1">
      <alignment horizontal="center"/>
    </xf>
    <xf numFmtId="44" fontId="2" fillId="7" borderId="1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43" fontId="2" fillId="0" borderId="5" xfId="0" applyNumberFormat="1" applyFont="1" applyBorder="1"/>
    <xf numFmtId="43" fontId="2" fillId="9" borderId="5" xfId="0" applyNumberFormat="1" applyFont="1" applyFill="1" applyBorder="1"/>
    <xf numFmtId="44" fontId="5" fillId="0" borderId="5" xfId="0" applyNumberFormat="1" applyFont="1" applyBorder="1" applyAlignment="1">
      <alignment horizontal="right"/>
    </xf>
    <xf numFmtId="44" fontId="5" fillId="9" borderId="5" xfId="0" applyNumberFormat="1" applyFont="1" applyFill="1" applyBorder="1"/>
    <xf numFmtId="44" fontId="5" fillId="0" borderId="5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44" fontId="2" fillId="0" borderId="5" xfId="0" applyNumberFormat="1" applyFont="1" applyBorder="1" applyAlignment="1">
      <alignment horizontal="center" vertical="center"/>
    </xf>
    <xf numFmtId="44" fontId="2" fillId="0" borderId="6" xfId="0" applyNumberFormat="1" applyFont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0" applyNumberFormat="1" applyFont="1" applyAlignment="1">
      <alignment vertical="center"/>
    </xf>
    <xf numFmtId="44" fontId="2" fillId="0" borderId="23" xfId="0" applyNumberFormat="1" applyFont="1" applyBorder="1" applyAlignment="1">
      <alignment horizontal="center" vertical="center"/>
    </xf>
    <xf numFmtId="44" fontId="2" fillId="0" borderId="24" xfId="0" applyNumberFormat="1" applyFont="1" applyBorder="1" applyAlignment="1">
      <alignment horizontal="center" vertical="center"/>
    </xf>
    <xf numFmtId="0" fontId="5" fillId="0" borderId="36" xfId="0" applyFont="1" applyBorder="1"/>
    <xf numFmtId="0" fontId="2" fillId="2" borderId="15" xfId="0" applyFont="1" applyFill="1" applyBorder="1" applyAlignment="1">
      <alignment horizontal="center"/>
    </xf>
    <xf numFmtId="44" fontId="2" fillId="2" borderId="15" xfId="0" applyNumberFormat="1" applyFont="1" applyFill="1" applyBorder="1" applyAlignment="1">
      <alignment horizontal="center"/>
    </xf>
    <xf numFmtId="44" fontId="2" fillId="2" borderId="48" xfId="0" applyNumberFormat="1" applyFont="1" applyFill="1" applyBorder="1" applyAlignment="1">
      <alignment horizontal="center"/>
    </xf>
    <xf numFmtId="0" fontId="5" fillId="0" borderId="49" xfId="0" applyFont="1" applyBorder="1"/>
    <xf numFmtId="0" fontId="2" fillId="2" borderId="28" xfId="0" applyFont="1" applyFill="1" applyBorder="1" applyAlignment="1">
      <alignment horizontal="center"/>
    </xf>
    <xf numFmtId="44" fontId="2" fillId="2" borderId="28" xfId="0" applyNumberFormat="1" applyFont="1" applyFill="1" applyBorder="1" applyAlignment="1">
      <alignment horizontal="center"/>
    </xf>
    <xf numFmtId="44" fontId="2" fillId="2" borderId="29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44" fontId="5" fillId="0" borderId="5" xfId="0" applyNumberFormat="1" applyFont="1" applyBorder="1" applyAlignment="1">
      <alignment vertical="center"/>
    </xf>
    <xf numFmtId="44" fontId="2" fillId="0" borderId="5" xfId="0" applyNumberFormat="1" applyFont="1" applyBorder="1"/>
    <xf numFmtId="0" fontId="5" fillId="0" borderId="5" xfId="0" applyFont="1" applyBorder="1" applyAlignment="1">
      <alignment horizontal="left" vertical="center" wrapText="1"/>
    </xf>
    <xf numFmtId="44" fontId="2" fillId="10" borderId="5" xfId="0" applyNumberFormat="1" applyFont="1" applyFill="1" applyBorder="1"/>
    <xf numFmtId="0" fontId="1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164" fontId="5" fillId="11" borderId="6" xfId="0" applyNumberFormat="1" applyFont="1" applyFill="1" applyBorder="1"/>
    <xf numFmtId="164" fontId="5" fillId="2" borderId="10" xfId="0" applyNumberFormat="1" applyFont="1" applyFill="1" applyBorder="1"/>
    <xf numFmtId="164" fontId="5" fillId="0" borderId="8" xfId="0" applyNumberFormat="1" applyFont="1" applyBorder="1"/>
    <xf numFmtId="164" fontId="5" fillId="0" borderId="9" xfId="0" applyNumberFormat="1" applyFont="1" applyBorder="1"/>
    <xf numFmtId="164" fontId="5" fillId="11" borderId="50" xfId="0" applyNumberFormat="1" applyFont="1" applyFill="1" applyBorder="1"/>
    <xf numFmtId="0" fontId="8" fillId="0" borderId="11" xfId="0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164" fontId="2" fillId="11" borderId="13" xfId="0" applyNumberFormat="1" applyFont="1" applyFill="1" applyBorder="1"/>
    <xf numFmtId="0" fontId="8" fillId="3" borderId="51" xfId="0" applyFont="1" applyFill="1" applyBorder="1"/>
    <xf numFmtId="164" fontId="2" fillId="2" borderId="52" xfId="0" applyNumberFormat="1" applyFont="1" applyFill="1" applyBorder="1"/>
    <xf numFmtId="164" fontId="2" fillId="3" borderId="52" xfId="0" applyNumberFormat="1" applyFont="1" applyFill="1" applyBorder="1"/>
    <xf numFmtId="164" fontId="2" fillId="3" borderId="53" xfId="0" applyNumberFormat="1" applyFont="1" applyFill="1" applyBorder="1"/>
    <xf numFmtId="164" fontId="2" fillId="11" borderId="53" xfId="0" applyNumberFormat="1" applyFont="1" applyFill="1" applyBorder="1"/>
    <xf numFmtId="164" fontId="5" fillId="11" borderId="48" xfId="0" applyNumberFormat="1" applyFont="1" applyFill="1" applyBorder="1"/>
    <xf numFmtId="164" fontId="2" fillId="2" borderId="12" xfId="0" applyNumberFormat="1" applyFont="1" applyFill="1" applyBorder="1"/>
    <xf numFmtId="164" fontId="2" fillId="4" borderId="12" xfId="0" applyNumberFormat="1" applyFont="1" applyFill="1" applyBorder="1"/>
    <xf numFmtId="164" fontId="2" fillId="4" borderId="13" xfId="0" applyNumberFormat="1" applyFont="1" applyFill="1" applyBorder="1"/>
    <xf numFmtId="0" fontId="5" fillId="0" borderId="12" xfId="0" applyFont="1" applyBorder="1"/>
    <xf numFmtId="43" fontId="2" fillId="0" borderId="12" xfId="0" applyNumberFormat="1" applyFont="1" applyBorder="1" applyAlignment="1">
      <alignment horizontal="center"/>
    </xf>
    <xf numFmtId="43" fontId="2" fillId="0" borderId="13" xfId="0" applyNumberFormat="1" applyFont="1" applyBorder="1" applyAlignment="1">
      <alignment horizontal="center"/>
    </xf>
    <xf numFmtId="43" fontId="2" fillId="11" borderId="13" xfId="0" applyNumberFormat="1" applyFont="1" applyFill="1" applyBorder="1" applyAlignment="1">
      <alignment horizontal="center"/>
    </xf>
    <xf numFmtId="2" fontId="5" fillId="0" borderId="0" xfId="0" applyNumberFormat="1" applyFont="1"/>
    <xf numFmtId="0" fontId="4" fillId="2" borderId="4" xfId="0" applyFont="1" applyFill="1" applyBorder="1"/>
    <xf numFmtId="164" fontId="4" fillId="0" borderId="4" xfId="0" applyNumberFormat="1" applyFont="1" applyBorder="1"/>
    <xf numFmtId="0" fontId="8" fillId="5" borderId="51" xfId="0" applyFont="1" applyFill="1" applyBorder="1"/>
    <xf numFmtId="164" fontId="5" fillId="2" borderId="52" xfId="0" applyNumberFormat="1" applyFont="1" applyFill="1" applyBorder="1"/>
    <xf numFmtId="164" fontId="5" fillId="5" borderId="52" xfId="0" applyNumberFormat="1" applyFont="1" applyFill="1" applyBorder="1"/>
    <xf numFmtId="164" fontId="5" fillId="5" borderId="53" xfId="0" applyNumberFormat="1" applyFont="1" applyFill="1" applyBorder="1"/>
    <xf numFmtId="43" fontId="2" fillId="7" borderId="5" xfId="0" applyNumberFormat="1" applyFont="1" applyFill="1" applyBorder="1" applyAlignment="1">
      <alignment horizontal="center"/>
    </xf>
    <xf numFmtId="44" fontId="2" fillId="7" borderId="5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44" fontId="5" fillId="0" borderId="9" xfId="0" applyNumberFormat="1" applyFont="1" applyBorder="1" applyAlignment="1">
      <alignment vertical="center"/>
    </xf>
    <xf numFmtId="44" fontId="2" fillId="0" borderId="29" xfId="0" applyNumberFormat="1" applyFont="1" applyBorder="1"/>
    <xf numFmtId="164" fontId="5" fillId="0" borderId="5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4" borderId="12" xfId="0" applyNumberFormat="1" applyFont="1" applyFill="1" applyBorder="1" applyAlignment="1">
      <alignment horizontal="center"/>
    </xf>
    <xf numFmtId="164" fontId="5" fillId="4" borderId="13" xfId="0" applyNumberFormat="1" applyFont="1" applyFill="1" applyBorder="1" applyAlignment="1">
      <alignment horizontal="center"/>
    </xf>
    <xf numFmtId="164" fontId="5" fillId="0" borderId="28" xfId="0" applyNumberFormat="1" applyFont="1" applyBorder="1"/>
    <xf numFmtId="164" fontId="5" fillId="0" borderId="28" xfId="0" applyNumberFormat="1" applyFont="1" applyBorder="1" applyAlignment="1">
      <alignment horizontal="center"/>
    </xf>
    <xf numFmtId="164" fontId="5" fillId="0" borderId="29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6" fontId="14" fillId="0" borderId="5" xfId="0" applyNumberFormat="1" applyFont="1" applyBorder="1" applyAlignment="1">
      <alignment vertical="center"/>
    </xf>
    <xf numFmtId="8" fontId="14" fillId="0" borderId="5" xfId="0" applyNumberFormat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8" fontId="14" fillId="0" borderId="8" xfId="0" applyNumberFormat="1" applyFont="1" applyBorder="1" applyAlignment="1">
      <alignment vertical="center"/>
    </xf>
    <xf numFmtId="6" fontId="14" fillId="0" borderId="8" xfId="0" applyNumberFormat="1" applyFont="1" applyBorder="1" applyAlignment="1">
      <alignment vertical="center"/>
    </xf>
    <xf numFmtId="0" fontId="5" fillId="0" borderId="1" xfId="0" applyFont="1" applyBorder="1"/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8" fontId="3" fillId="10" borderId="3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21" xfId="0" applyFont="1" applyBorder="1"/>
    <xf numFmtId="0" fontId="3" fillId="0" borderId="28" xfId="0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center" vertical="center"/>
    </xf>
    <xf numFmtId="166" fontId="3" fillId="10" borderId="28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4" fontId="3" fillId="0" borderId="5" xfId="0" applyNumberFormat="1" applyFont="1" applyBorder="1" applyAlignment="1">
      <alignment vertical="center" wrapText="1"/>
    </xf>
    <xf numFmtId="44" fontId="3" fillId="0" borderId="5" xfId="0" applyNumberFormat="1" applyFont="1" applyBorder="1" applyAlignment="1">
      <alignment vertical="center"/>
    </xf>
    <xf numFmtId="44" fontId="14" fillId="0" borderId="5" xfId="0" applyNumberFormat="1" applyFont="1" applyBorder="1" applyAlignment="1">
      <alignment vertical="center"/>
    </xf>
    <xf numFmtId="0" fontId="14" fillId="12" borderId="5" xfId="0" applyFont="1" applyFill="1" applyBorder="1" applyAlignment="1">
      <alignment horizontal="left" vertical="center"/>
    </xf>
    <xf numFmtId="44" fontId="14" fillId="12" borderId="5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 wrapText="1"/>
    </xf>
    <xf numFmtId="44" fontId="14" fillId="0" borderId="5" xfId="0" applyNumberFormat="1" applyFont="1" applyBorder="1" applyAlignment="1">
      <alignment horizontal="center" vertical="center"/>
    </xf>
    <xf numFmtId="0" fontId="8" fillId="5" borderId="11" xfId="0" applyFont="1" applyFill="1" applyBorder="1"/>
    <xf numFmtId="164" fontId="2" fillId="5" borderId="12" xfId="0" applyNumberFormat="1" applyFont="1" applyFill="1" applyBorder="1"/>
    <xf numFmtId="164" fontId="2" fillId="5" borderId="13" xfId="0" applyNumberFormat="1" applyFont="1" applyFill="1" applyBorder="1"/>
    <xf numFmtId="0" fontId="2" fillId="0" borderId="0" xfId="0" applyFont="1" applyAlignment="1">
      <alignment wrapText="1"/>
    </xf>
    <xf numFmtId="164" fontId="5" fillId="5" borderId="12" xfId="0" applyNumberFormat="1" applyFont="1" applyFill="1" applyBorder="1"/>
    <xf numFmtId="44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0" fillId="0" borderId="31" xfId="0" applyFont="1" applyBorder="1"/>
    <xf numFmtId="0" fontId="10" fillId="0" borderId="32" xfId="0" applyFont="1" applyBorder="1"/>
    <xf numFmtId="164" fontId="2" fillId="0" borderId="33" xfId="0" applyNumberFormat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10" fillId="0" borderId="40" xfId="0" applyFont="1" applyBorder="1"/>
    <xf numFmtId="0" fontId="10" fillId="0" borderId="41" xfId="0" applyFont="1" applyBorder="1"/>
    <xf numFmtId="0" fontId="2" fillId="0" borderId="42" xfId="0" applyFont="1" applyBorder="1" applyAlignment="1">
      <alignment horizontal="center" wrapText="1"/>
    </xf>
    <xf numFmtId="0" fontId="10" fillId="0" borderId="43" xfId="0" applyFont="1" applyBorder="1"/>
    <xf numFmtId="0" fontId="10" fillId="0" borderId="44" xfId="0" applyFont="1" applyBorder="1"/>
    <xf numFmtId="0" fontId="2" fillId="0" borderId="4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/>
    </xf>
    <xf numFmtId="0" fontId="10" fillId="0" borderId="39" xfId="0" applyFont="1" applyBorder="1"/>
    <xf numFmtId="0" fontId="10" fillId="0" borderId="14" xfId="0" applyFont="1" applyBorder="1"/>
    <xf numFmtId="0" fontId="2" fillId="0" borderId="46" xfId="0" applyFont="1" applyBorder="1" applyAlignment="1">
      <alignment horizontal="center" vertical="center" wrapText="1"/>
    </xf>
    <xf numFmtId="0" fontId="10" fillId="0" borderId="47" xfId="0" applyFont="1" applyBorder="1"/>
    <xf numFmtId="0" fontId="2" fillId="10" borderId="38" xfId="0" applyFont="1" applyFill="1" applyBorder="1" applyAlignment="1">
      <alignment horizontal="right"/>
    </xf>
    <xf numFmtId="0" fontId="2" fillId="0" borderId="4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10" fillId="0" borderId="19" xfId="0" applyFont="1" applyBorder="1"/>
    <xf numFmtId="0" fontId="10" fillId="0" borderId="16" xfId="0" applyFont="1" applyBorder="1"/>
    <xf numFmtId="0" fontId="2" fillId="0" borderId="46" xfId="0" applyFont="1" applyBorder="1" applyAlignment="1">
      <alignment horizontal="right"/>
    </xf>
    <xf numFmtId="0" fontId="10" fillId="0" borderId="54" xfId="0" applyFont="1" applyBorder="1"/>
    <xf numFmtId="0" fontId="13" fillId="0" borderId="55" xfId="0" applyFont="1" applyBorder="1" applyAlignment="1">
      <alignment horizontal="center"/>
    </xf>
    <xf numFmtId="0" fontId="10" fillId="0" borderId="55" xfId="0" applyFont="1" applyBorder="1"/>
    <xf numFmtId="0" fontId="3" fillId="0" borderId="38" xfId="0" applyFont="1" applyBorder="1" applyAlignment="1">
      <alignment horizontal="center" vertical="center"/>
    </xf>
    <xf numFmtId="44" fontId="14" fillId="0" borderId="8" xfId="0" applyNumberFormat="1" applyFont="1" applyBorder="1" applyAlignment="1">
      <alignment vertical="center"/>
    </xf>
    <xf numFmtId="44" fontId="3" fillId="0" borderId="3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5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0"/>
  <sheetViews>
    <sheetView workbookViewId="0"/>
  </sheetViews>
  <sheetFormatPr baseColWidth="10" defaultColWidth="14.44140625" defaultRowHeight="15" customHeight="1"/>
  <cols>
    <col min="1" max="1" width="33.44140625" customWidth="1"/>
    <col min="2" max="2" width="17.44140625" customWidth="1"/>
    <col min="3" max="3" width="8.88671875" customWidth="1"/>
    <col min="4" max="4" width="10.109375" customWidth="1"/>
    <col min="5" max="8" width="9.33203125" customWidth="1"/>
    <col min="9" max="9" width="9.6640625" customWidth="1"/>
    <col min="10" max="10" width="10.6640625" customWidth="1"/>
    <col min="11" max="11" width="9.33203125" hidden="1" customWidth="1"/>
    <col min="12" max="12" width="8.88671875" hidden="1" customWidth="1"/>
    <col min="13" max="13" width="11" hidden="1" customWidth="1"/>
    <col min="14" max="14" width="10.33203125" hidden="1" customWidth="1"/>
    <col min="15" max="15" width="10.6640625" hidden="1" customWidth="1"/>
    <col min="16" max="16" width="15.6640625" customWidth="1"/>
    <col min="17" max="17" width="10.6640625" customWidth="1"/>
    <col min="18" max="18" width="12.44140625" customWidth="1"/>
    <col min="19" max="19" width="9.5546875" customWidth="1"/>
    <col min="20" max="20" width="9.33203125" customWidth="1"/>
    <col min="21" max="21" width="10.33203125" customWidth="1"/>
    <col min="22" max="22" width="7.88671875" customWidth="1"/>
    <col min="23" max="23" width="11.44140625" customWidth="1"/>
    <col min="24" max="24" width="10.6640625" customWidth="1"/>
    <col min="25" max="25" width="12.5546875" customWidth="1"/>
    <col min="26" max="26" width="12.44140625" customWidth="1"/>
    <col min="27" max="29" width="10.6640625" customWidth="1"/>
  </cols>
  <sheetData>
    <row r="1" spans="1:29" ht="30" customHeight="1">
      <c r="A1" s="1" t="s">
        <v>0</v>
      </c>
      <c r="B1" s="2" t="s">
        <v>1</v>
      </c>
      <c r="C1" s="3">
        <v>5000</v>
      </c>
      <c r="D1" s="3">
        <v>10000</v>
      </c>
      <c r="E1" s="3">
        <v>20000</v>
      </c>
      <c r="F1" s="3">
        <v>30000</v>
      </c>
      <c r="G1" s="3">
        <v>40000</v>
      </c>
      <c r="H1" s="3">
        <v>50000</v>
      </c>
      <c r="I1" s="3">
        <v>60000</v>
      </c>
      <c r="J1" s="3">
        <v>70000</v>
      </c>
      <c r="K1" s="3">
        <v>80000</v>
      </c>
      <c r="L1" s="3">
        <v>90000</v>
      </c>
      <c r="M1" s="3">
        <v>100000</v>
      </c>
      <c r="N1" s="3">
        <v>110000</v>
      </c>
      <c r="O1" s="4">
        <v>120000</v>
      </c>
      <c r="P1" s="5"/>
      <c r="Q1" s="5"/>
      <c r="R1" s="5" t="s">
        <v>2</v>
      </c>
      <c r="S1" s="5"/>
      <c r="T1" s="5"/>
      <c r="U1" s="2" t="s">
        <v>1</v>
      </c>
      <c r="V1" s="5"/>
      <c r="W1" s="5"/>
      <c r="X1" s="5"/>
      <c r="Y1" s="214"/>
      <c r="Z1" s="215"/>
      <c r="AA1" s="215"/>
      <c r="AB1" s="215"/>
      <c r="AC1" s="215"/>
    </row>
    <row r="2" spans="1:29" ht="14.25" customHeight="1">
      <c r="A2" s="6" t="s">
        <v>3</v>
      </c>
      <c r="B2" s="7">
        <f t="shared" ref="B2:B18" si="0">$R$2*U2</f>
        <v>245.88</v>
      </c>
      <c r="C2" s="8">
        <v>40.98</v>
      </c>
      <c r="D2" s="8">
        <v>40.98</v>
      </c>
      <c r="E2" s="8">
        <v>40.98</v>
      </c>
      <c r="F2" s="8">
        <v>40.98</v>
      </c>
      <c r="G2" s="8">
        <v>40.98</v>
      </c>
      <c r="H2" s="8">
        <v>40.98</v>
      </c>
      <c r="I2" s="8">
        <v>40.98</v>
      </c>
      <c r="J2" s="8">
        <v>40.98</v>
      </c>
      <c r="K2" s="8"/>
      <c r="L2" s="8"/>
      <c r="M2" s="8"/>
      <c r="N2" s="8"/>
      <c r="O2" s="9"/>
      <c r="R2" s="10">
        <v>6</v>
      </c>
      <c r="S2" s="11"/>
      <c r="T2" s="12"/>
      <c r="U2" s="7">
        <f>40.98</f>
        <v>40.98</v>
      </c>
      <c r="V2" s="12"/>
      <c r="W2" s="13"/>
      <c r="Y2" s="216"/>
      <c r="Z2" s="217"/>
      <c r="AA2" s="14"/>
      <c r="AB2" s="217"/>
      <c r="AC2" s="217"/>
    </row>
    <row r="3" spans="1:29" ht="14.25" customHeight="1">
      <c r="A3" s="6" t="s">
        <v>4</v>
      </c>
      <c r="B3" s="7">
        <f t="shared" si="0"/>
        <v>36.06</v>
      </c>
      <c r="C3" s="8">
        <v>6.01</v>
      </c>
      <c r="D3" s="8">
        <v>6.01</v>
      </c>
      <c r="E3" s="8">
        <v>6.01</v>
      </c>
      <c r="F3" s="8">
        <v>6.01</v>
      </c>
      <c r="G3" s="8">
        <v>6.01</v>
      </c>
      <c r="H3" s="8">
        <v>6.01</v>
      </c>
      <c r="I3" s="8">
        <v>6.01</v>
      </c>
      <c r="J3" s="8">
        <v>6.01</v>
      </c>
      <c r="K3" s="8"/>
      <c r="L3" s="8"/>
      <c r="M3" s="8"/>
      <c r="N3" s="8"/>
      <c r="O3" s="9"/>
      <c r="R3" s="11"/>
      <c r="S3" s="12"/>
      <c r="T3" s="12"/>
      <c r="U3" s="7">
        <f>6.01</f>
        <v>6.01</v>
      </c>
      <c r="V3" s="12"/>
      <c r="W3" s="13"/>
      <c r="Y3" s="215"/>
      <c r="Z3" s="215"/>
      <c r="AA3" s="14"/>
      <c r="AB3" s="215"/>
      <c r="AC3" s="215"/>
    </row>
    <row r="4" spans="1:29" ht="14.25" customHeight="1">
      <c r="A4" s="6" t="s">
        <v>5</v>
      </c>
      <c r="B4" s="7">
        <f t="shared" si="0"/>
        <v>39</v>
      </c>
      <c r="C4" s="8">
        <v>6.5</v>
      </c>
      <c r="D4" s="8">
        <v>6.5</v>
      </c>
      <c r="E4" s="8">
        <v>6.5</v>
      </c>
      <c r="F4" s="8">
        <v>6.5</v>
      </c>
      <c r="G4" s="8">
        <v>6.5</v>
      </c>
      <c r="H4" s="8">
        <v>6.5</v>
      </c>
      <c r="I4" s="8">
        <v>6.5</v>
      </c>
      <c r="J4" s="8">
        <v>6.5</v>
      </c>
      <c r="K4" s="8"/>
      <c r="L4" s="8"/>
      <c r="M4" s="8"/>
      <c r="N4" s="8"/>
      <c r="O4" s="9"/>
      <c r="R4" s="11"/>
      <c r="S4" s="12"/>
      <c r="T4" s="12"/>
      <c r="U4" s="7">
        <f>6.5</f>
        <v>6.5</v>
      </c>
      <c r="V4" s="12"/>
      <c r="W4" s="13"/>
      <c r="Y4" s="15"/>
      <c r="Z4" s="16"/>
      <c r="AA4" s="16"/>
      <c r="AB4" s="17"/>
      <c r="AC4" s="16"/>
    </row>
    <row r="5" spans="1:29" ht="14.25" customHeight="1">
      <c r="A5" s="6" t="s">
        <v>6</v>
      </c>
      <c r="B5" s="7">
        <f t="shared" si="0"/>
        <v>105.30000000000001</v>
      </c>
      <c r="C5" s="8">
        <v>17.55</v>
      </c>
      <c r="D5" s="8">
        <v>17.55</v>
      </c>
      <c r="E5" s="8">
        <v>17.55</v>
      </c>
      <c r="F5" s="8">
        <v>17.55</v>
      </c>
      <c r="G5" s="8">
        <v>17.55</v>
      </c>
      <c r="H5" s="8">
        <v>17.55</v>
      </c>
      <c r="I5" s="8">
        <v>17.55</v>
      </c>
      <c r="J5" s="8">
        <v>17.55</v>
      </c>
      <c r="K5" s="8"/>
      <c r="L5" s="8"/>
      <c r="M5" s="8"/>
      <c r="N5" s="8"/>
      <c r="O5" s="9"/>
      <c r="R5" s="11"/>
      <c r="S5" s="12"/>
      <c r="T5" s="12"/>
      <c r="U5" s="7">
        <f>17.55</f>
        <v>17.55</v>
      </c>
      <c r="V5" s="12"/>
      <c r="W5" s="13"/>
      <c r="Y5" s="15"/>
      <c r="Z5" s="16"/>
      <c r="AA5" s="16"/>
      <c r="AB5" s="17"/>
      <c r="AC5" s="16"/>
    </row>
    <row r="6" spans="1:29" ht="14.25" customHeight="1">
      <c r="A6" s="6" t="s">
        <v>7</v>
      </c>
      <c r="B6" s="7">
        <f t="shared" si="0"/>
        <v>0</v>
      </c>
      <c r="C6" s="8"/>
      <c r="D6" s="8">
        <v>10.45</v>
      </c>
      <c r="E6" s="8">
        <v>10.45</v>
      </c>
      <c r="F6" s="8">
        <v>10.45</v>
      </c>
      <c r="G6" s="8">
        <v>10.45</v>
      </c>
      <c r="H6" s="8">
        <v>10.45</v>
      </c>
      <c r="I6" s="8">
        <v>10.45</v>
      </c>
      <c r="J6" s="8">
        <v>10.45</v>
      </c>
      <c r="K6" s="8"/>
      <c r="L6" s="8"/>
      <c r="M6" s="8"/>
      <c r="N6" s="8"/>
      <c r="O6" s="9"/>
      <c r="R6" s="11"/>
      <c r="T6" s="12"/>
      <c r="U6" s="7"/>
      <c r="V6" s="12"/>
      <c r="W6" s="13"/>
      <c r="Y6" s="15"/>
      <c r="Z6" s="16"/>
      <c r="AA6" s="16"/>
      <c r="AB6" s="17"/>
      <c r="AC6" s="16"/>
    </row>
    <row r="7" spans="1:29" ht="14.25" customHeight="1">
      <c r="A7" s="6" t="s">
        <v>8</v>
      </c>
      <c r="B7" s="7">
        <f t="shared" si="0"/>
        <v>0</v>
      </c>
      <c r="C7" s="8"/>
      <c r="D7" s="8">
        <v>7.69</v>
      </c>
      <c r="E7" s="8">
        <v>7.69</v>
      </c>
      <c r="F7" s="8">
        <v>7.69</v>
      </c>
      <c r="G7" s="8">
        <v>7.69</v>
      </c>
      <c r="H7" s="8">
        <v>7.69</v>
      </c>
      <c r="I7" s="8">
        <v>7.69</v>
      </c>
      <c r="J7" s="8">
        <v>7.69</v>
      </c>
      <c r="K7" s="8"/>
      <c r="L7" s="8"/>
      <c r="M7" s="8"/>
      <c r="N7" s="8"/>
      <c r="O7" s="9"/>
      <c r="R7" s="11"/>
      <c r="T7" s="12"/>
      <c r="U7" s="7"/>
      <c r="V7" s="12"/>
      <c r="W7" s="13"/>
      <c r="Y7" s="15"/>
      <c r="Z7" s="16"/>
      <c r="AA7" s="16"/>
      <c r="AB7" s="17"/>
      <c r="AC7" s="16"/>
    </row>
    <row r="8" spans="1:29" ht="14.25" customHeight="1">
      <c r="A8" s="6" t="s">
        <v>9</v>
      </c>
      <c r="B8" s="7">
        <f t="shared" si="0"/>
        <v>0</v>
      </c>
      <c r="C8" s="8"/>
      <c r="D8" s="8">
        <v>26.87</v>
      </c>
      <c r="E8" s="8"/>
      <c r="F8" s="8">
        <v>26.87</v>
      </c>
      <c r="G8" s="8"/>
      <c r="H8" s="8">
        <v>26.87</v>
      </c>
      <c r="I8" s="8"/>
      <c r="J8" s="8">
        <v>26.87</v>
      </c>
      <c r="K8" s="8"/>
      <c r="L8" s="8"/>
      <c r="M8" s="8"/>
      <c r="N8" s="8"/>
      <c r="O8" s="9"/>
      <c r="R8" s="11"/>
      <c r="U8" s="7"/>
      <c r="V8" s="12"/>
      <c r="W8" s="13"/>
      <c r="Y8" s="15"/>
      <c r="Z8" s="16"/>
      <c r="AA8" s="16"/>
      <c r="AB8" s="17"/>
      <c r="AC8" s="16"/>
    </row>
    <row r="9" spans="1:29" ht="14.25" customHeight="1">
      <c r="A9" s="6" t="s">
        <v>10</v>
      </c>
      <c r="B9" s="7">
        <f t="shared" si="0"/>
        <v>0</v>
      </c>
      <c r="C9" s="8"/>
      <c r="D9" s="8">
        <v>27</v>
      </c>
      <c r="E9" s="8"/>
      <c r="F9" s="8">
        <v>27</v>
      </c>
      <c r="G9" s="8"/>
      <c r="H9" s="8">
        <v>27</v>
      </c>
      <c r="I9" s="8"/>
      <c r="J9" s="8">
        <v>27</v>
      </c>
      <c r="K9" s="8"/>
      <c r="L9" s="8"/>
      <c r="M9" s="8"/>
      <c r="N9" s="18"/>
      <c r="O9" s="9"/>
      <c r="R9" s="11"/>
      <c r="T9" s="12"/>
      <c r="U9" s="7"/>
      <c r="V9" s="12"/>
      <c r="W9" s="13"/>
      <c r="Y9" s="15"/>
      <c r="Z9" s="16"/>
      <c r="AA9" s="16"/>
      <c r="AB9" s="17"/>
      <c r="AC9" s="16"/>
    </row>
    <row r="10" spans="1:29" ht="14.25" customHeight="1">
      <c r="A10" s="6" t="s">
        <v>11</v>
      </c>
      <c r="B10" s="7">
        <f t="shared" si="0"/>
        <v>0</v>
      </c>
      <c r="C10" s="8"/>
      <c r="D10" s="8"/>
      <c r="E10" s="8">
        <v>6.5</v>
      </c>
      <c r="F10" s="8"/>
      <c r="G10" s="8">
        <v>6.5</v>
      </c>
      <c r="H10" s="8"/>
      <c r="I10" s="8">
        <v>6.5</v>
      </c>
      <c r="J10" s="8"/>
      <c r="K10" s="8"/>
      <c r="L10" s="8"/>
      <c r="M10" s="8"/>
      <c r="N10" s="19"/>
      <c r="O10" s="9"/>
      <c r="R10" s="11"/>
      <c r="U10" s="7"/>
      <c r="V10" s="12"/>
      <c r="W10" s="13"/>
      <c r="Y10" s="15"/>
      <c r="Z10" s="16"/>
      <c r="AA10" s="16"/>
      <c r="AB10" s="17"/>
      <c r="AC10" s="16"/>
    </row>
    <row r="11" spans="1:29" ht="14.25" customHeight="1">
      <c r="A11" s="6" t="s">
        <v>12</v>
      </c>
      <c r="B11" s="7">
        <f t="shared" si="0"/>
        <v>0</v>
      </c>
      <c r="C11" s="8"/>
      <c r="D11" s="8">
        <v>5</v>
      </c>
      <c r="E11" s="8">
        <v>5</v>
      </c>
      <c r="F11" s="8">
        <v>5</v>
      </c>
      <c r="G11" s="8">
        <v>5</v>
      </c>
      <c r="H11" s="8">
        <v>5</v>
      </c>
      <c r="I11" s="8">
        <v>5</v>
      </c>
      <c r="J11" s="8">
        <v>5</v>
      </c>
      <c r="K11" s="8"/>
      <c r="L11" s="8"/>
      <c r="M11" s="8"/>
      <c r="N11" s="8"/>
      <c r="O11" s="9"/>
      <c r="R11" s="11"/>
      <c r="T11" s="12"/>
      <c r="U11" s="7"/>
      <c r="V11" s="12"/>
      <c r="W11" s="13"/>
      <c r="Y11" s="15"/>
      <c r="Z11" s="16"/>
      <c r="AA11" s="16"/>
      <c r="AB11" s="17"/>
      <c r="AC11" s="16"/>
    </row>
    <row r="12" spans="1:29" ht="14.25" customHeight="1">
      <c r="A12" s="6" t="s">
        <v>13</v>
      </c>
      <c r="B12" s="7">
        <f t="shared" si="0"/>
        <v>0</v>
      </c>
      <c r="C12" s="8"/>
      <c r="D12" s="8">
        <v>5.4</v>
      </c>
      <c r="E12" s="8">
        <v>5.4</v>
      </c>
      <c r="F12" s="8">
        <v>5.4</v>
      </c>
      <c r="G12" s="8">
        <v>5.4</v>
      </c>
      <c r="H12" s="8">
        <v>5.4</v>
      </c>
      <c r="I12" s="8">
        <v>5.4</v>
      </c>
      <c r="J12" s="8">
        <v>5.4</v>
      </c>
      <c r="K12" s="8"/>
      <c r="L12" s="8"/>
      <c r="M12" s="8"/>
      <c r="N12" s="8"/>
      <c r="O12" s="9"/>
      <c r="R12" s="11"/>
      <c r="U12" s="7"/>
      <c r="V12" s="12"/>
      <c r="W12" s="13"/>
      <c r="Y12" s="15"/>
      <c r="Z12" s="16"/>
      <c r="AA12" s="16"/>
      <c r="AB12" s="17"/>
      <c r="AC12" s="16"/>
    </row>
    <row r="13" spans="1:29" ht="14.25" customHeight="1">
      <c r="A13" s="6" t="s">
        <v>14</v>
      </c>
      <c r="B13" s="7">
        <f t="shared" si="0"/>
        <v>0</v>
      </c>
      <c r="C13" s="8"/>
      <c r="D13" s="8"/>
      <c r="E13" s="8"/>
      <c r="F13" s="8"/>
      <c r="G13" s="8">
        <v>15</v>
      </c>
      <c r="H13" s="8"/>
      <c r="I13" s="8"/>
      <c r="J13" s="8"/>
      <c r="K13" s="8"/>
      <c r="L13" s="8"/>
      <c r="M13" s="8"/>
      <c r="N13" s="8"/>
      <c r="O13" s="9"/>
      <c r="R13" s="11"/>
      <c r="T13" s="12"/>
      <c r="U13" s="7"/>
      <c r="V13" s="12"/>
      <c r="W13" s="13"/>
      <c r="Y13" s="15"/>
      <c r="Z13" s="16"/>
      <c r="AA13" s="16"/>
      <c r="AB13" s="17"/>
      <c r="AC13" s="16"/>
    </row>
    <row r="14" spans="1:29" ht="14.25" customHeight="1">
      <c r="A14" s="6" t="s">
        <v>15</v>
      </c>
      <c r="B14" s="7">
        <f t="shared" si="0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R14" s="11"/>
      <c r="U14" s="7"/>
      <c r="V14" s="12"/>
      <c r="W14" s="13"/>
      <c r="Y14" s="15"/>
      <c r="Z14" s="16"/>
      <c r="AA14" s="16"/>
      <c r="AB14" s="17"/>
      <c r="AC14" s="16"/>
    </row>
    <row r="15" spans="1:29" ht="14.25" customHeight="1">
      <c r="A15" s="6" t="s">
        <v>16</v>
      </c>
      <c r="B15" s="7">
        <f t="shared" si="0"/>
        <v>0</v>
      </c>
      <c r="C15" s="8">
        <v>31.56</v>
      </c>
      <c r="D15" s="8"/>
      <c r="E15" s="8"/>
      <c r="F15" s="8"/>
      <c r="G15" s="8"/>
      <c r="H15" s="8">
        <v>31.56</v>
      </c>
      <c r="I15" s="8"/>
      <c r="J15" s="8"/>
      <c r="K15" s="8"/>
      <c r="L15" s="8"/>
      <c r="M15" s="8"/>
      <c r="N15" s="8"/>
      <c r="O15" s="9"/>
      <c r="R15" s="11"/>
      <c r="T15" s="12"/>
      <c r="U15" s="7"/>
      <c r="V15" s="12"/>
      <c r="W15" s="13"/>
      <c r="Y15" s="15"/>
      <c r="Z15" s="16"/>
      <c r="AA15" s="16"/>
      <c r="AB15" s="17"/>
      <c r="AC15" s="16"/>
    </row>
    <row r="16" spans="1:29" ht="14.25" customHeight="1">
      <c r="A16" s="6" t="s">
        <v>17</v>
      </c>
      <c r="B16" s="7">
        <f t="shared" si="0"/>
        <v>0</v>
      </c>
      <c r="C16" s="8">
        <v>22.5</v>
      </c>
      <c r="D16" s="8"/>
      <c r="E16" s="8"/>
      <c r="F16" s="8"/>
      <c r="G16" s="8"/>
      <c r="H16" s="8">
        <v>22.5</v>
      </c>
      <c r="I16" s="8"/>
      <c r="J16" s="8"/>
      <c r="K16" s="8"/>
      <c r="L16" s="8"/>
      <c r="M16" s="8"/>
      <c r="N16" s="8"/>
      <c r="O16" s="9"/>
      <c r="R16" s="11"/>
      <c r="T16" s="12"/>
      <c r="U16" s="7"/>
      <c r="V16" s="12"/>
      <c r="W16" s="13"/>
      <c r="Y16" s="15"/>
      <c r="Z16" s="16"/>
      <c r="AA16" s="16"/>
      <c r="AB16" s="17"/>
      <c r="AC16" s="16"/>
    </row>
    <row r="17" spans="1:29" ht="14.25" customHeight="1">
      <c r="A17" s="6" t="s">
        <v>18</v>
      </c>
      <c r="B17" s="7">
        <f t="shared" si="0"/>
        <v>21</v>
      </c>
      <c r="C17" s="8">
        <v>3.5</v>
      </c>
      <c r="D17" s="8">
        <v>3.5</v>
      </c>
      <c r="E17" s="8">
        <v>3.5</v>
      </c>
      <c r="F17" s="8">
        <v>3.5</v>
      </c>
      <c r="G17" s="8">
        <v>3.5</v>
      </c>
      <c r="H17" s="8">
        <v>3.5</v>
      </c>
      <c r="I17" s="8">
        <v>3.5</v>
      </c>
      <c r="J17" s="8">
        <v>3.5</v>
      </c>
      <c r="K17" s="8"/>
      <c r="L17" s="8"/>
      <c r="M17" s="8"/>
      <c r="N17" s="8"/>
      <c r="O17" s="9"/>
      <c r="R17" s="11"/>
      <c r="U17" s="7">
        <f>3.5</f>
        <v>3.5</v>
      </c>
      <c r="V17" s="12"/>
      <c r="W17" s="13"/>
      <c r="Y17" s="15"/>
      <c r="Z17" s="16"/>
      <c r="AA17" s="16"/>
      <c r="AB17" s="17"/>
      <c r="AC17" s="16"/>
    </row>
    <row r="18" spans="1:29" ht="14.25" customHeight="1">
      <c r="A18" s="6" t="s">
        <v>19</v>
      </c>
      <c r="B18" s="7">
        <f t="shared" si="0"/>
        <v>0</v>
      </c>
      <c r="C18" s="8"/>
      <c r="D18" s="8"/>
      <c r="E18" s="8"/>
      <c r="F18" s="8">
        <v>7.33</v>
      </c>
      <c r="G18" s="8"/>
      <c r="H18" s="8"/>
      <c r="I18" s="8">
        <v>7.33</v>
      </c>
      <c r="J18" s="8"/>
      <c r="K18" s="8"/>
      <c r="L18" s="8"/>
      <c r="M18" s="8"/>
      <c r="N18" s="8"/>
      <c r="O18" s="9"/>
      <c r="R18" s="11"/>
      <c r="U18" s="7"/>
      <c r="V18" s="12"/>
      <c r="W18" s="13"/>
      <c r="Y18" s="15"/>
      <c r="Z18" s="16"/>
      <c r="AA18" s="16"/>
      <c r="AB18" s="17"/>
      <c r="AC18" s="16"/>
    </row>
    <row r="19" spans="1:29" ht="14.25" customHeight="1">
      <c r="A19" s="20" t="s">
        <v>20</v>
      </c>
      <c r="B19" s="7">
        <f>R19*U19</f>
        <v>0</v>
      </c>
      <c r="C19" s="21">
        <v>0</v>
      </c>
      <c r="D19" s="21">
        <v>0</v>
      </c>
      <c r="E19" s="21">
        <v>12</v>
      </c>
      <c r="F19" s="21">
        <v>0</v>
      </c>
      <c r="G19" s="21">
        <v>12</v>
      </c>
      <c r="H19" s="21">
        <v>0</v>
      </c>
      <c r="I19" s="21">
        <v>12</v>
      </c>
      <c r="J19" s="21">
        <v>0</v>
      </c>
      <c r="K19" s="21"/>
      <c r="L19" s="21"/>
      <c r="M19" s="21"/>
      <c r="N19" s="21"/>
      <c r="O19" s="22"/>
      <c r="R19" s="11"/>
      <c r="T19" s="12"/>
      <c r="U19" s="23">
        <v>0</v>
      </c>
      <c r="V19" s="12"/>
      <c r="W19" s="13"/>
      <c r="Y19" s="15"/>
      <c r="Z19" s="16"/>
      <c r="AA19" s="16"/>
      <c r="AB19" s="17"/>
      <c r="AC19" s="16"/>
    </row>
    <row r="20" spans="1:29" ht="14.25" customHeight="1">
      <c r="A20" s="24" t="s">
        <v>21</v>
      </c>
      <c r="B20" s="25">
        <f t="shared" ref="B20:J20" si="1">B3+B4+B5+B6+B8+B9+B10+B11+B12+B14+B17+B7</f>
        <v>201.36</v>
      </c>
      <c r="C20" s="26">
        <f t="shared" si="1"/>
        <v>33.56</v>
      </c>
      <c r="D20" s="26">
        <f t="shared" si="1"/>
        <v>115.97000000000001</v>
      </c>
      <c r="E20" s="26">
        <f t="shared" si="1"/>
        <v>68.600000000000009</v>
      </c>
      <c r="F20" s="26">
        <f t="shared" si="1"/>
        <v>115.97000000000001</v>
      </c>
      <c r="G20" s="26">
        <f t="shared" si="1"/>
        <v>68.600000000000009</v>
      </c>
      <c r="H20" s="26">
        <f t="shared" si="1"/>
        <v>115.97000000000001</v>
      </c>
      <c r="I20" s="26">
        <f t="shared" si="1"/>
        <v>68.600000000000009</v>
      </c>
      <c r="J20" s="26">
        <f t="shared" si="1"/>
        <v>115.97000000000001</v>
      </c>
      <c r="K20" s="26"/>
      <c r="L20" s="26"/>
      <c r="M20" s="26"/>
      <c r="N20" s="26"/>
      <c r="O20" s="27"/>
      <c r="P20" s="13">
        <f t="shared" ref="P20:P21" si="2">SUM(B20:O20)</f>
        <v>904.60000000000014</v>
      </c>
      <c r="R20" s="11"/>
      <c r="U20" s="25">
        <f>U3+U4+U5+U6+U8+U9+U10+U11+U12+U14+U17+U7</f>
        <v>33.56</v>
      </c>
      <c r="V20" s="12"/>
      <c r="W20" s="13"/>
      <c r="Y20" s="15"/>
      <c r="Z20" s="16"/>
      <c r="AA20" s="16"/>
      <c r="AB20" s="17"/>
      <c r="AC20" s="16"/>
    </row>
    <row r="21" spans="1:29" ht="14.25" customHeight="1">
      <c r="A21" s="28" t="s">
        <v>22</v>
      </c>
      <c r="B21" s="25">
        <f>R2*U21</f>
        <v>88.679999999999993</v>
      </c>
      <c r="C21" s="29">
        <v>19.399999999999999</v>
      </c>
      <c r="D21" s="29">
        <v>157</v>
      </c>
      <c r="E21" s="29">
        <v>181.69</v>
      </c>
      <c r="F21" s="29">
        <v>175.34</v>
      </c>
      <c r="G21" s="29">
        <v>213.44</v>
      </c>
      <c r="H21" s="29">
        <v>169.34</v>
      </c>
      <c r="I21" s="29">
        <v>196.51</v>
      </c>
      <c r="J21" s="29">
        <v>148.18</v>
      </c>
      <c r="K21" s="29"/>
      <c r="L21" s="29"/>
      <c r="M21" s="30"/>
      <c r="N21" s="29"/>
      <c r="O21" s="30"/>
      <c r="P21" s="13">
        <f t="shared" si="2"/>
        <v>1349.5800000000002</v>
      </c>
      <c r="R21" s="11"/>
      <c r="T21" s="12"/>
      <c r="U21" s="25">
        <f>14.78</f>
        <v>14.78</v>
      </c>
      <c r="V21" s="12"/>
      <c r="W21" s="13"/>
      <c r="Y21" s="15"/>
      <c r="Z21" s="16"/>
      <c r="AA21" s="16"/>
      <c r="AB21" s="17"/>
      <c r="AC21" s="16"/>
    </row>
    <row r="22" spans="1:29" ht="14.25" customHeight="1">
      <c r="A22" s="31" t="s">
        <v>23</v>
      </c>
      <c r="B22" s="32">
        <v>0</v>
      </c>
      <c r="C22" s="33">
        <v>0</v>
      </c>
      <c r="D22" s="33">
        <v>17.16</v>
      </c>
      <c r="E22" s="33">
        <v>17.16</v>
      </c>
      <c r="F22" s="33">
        <v>17.16</v>
      </c>
      <c r="G22" s="33">
        <v>17.16</v>
      </c>
      <c r="H22" s="33">
        <v>17.16</v>
      </c>
      <c r="I22" s="33">
        <v>17.16</v>
      </c>
      <c r="J22" s="33">
        <v>17.16</v>
      </c>
      <c r="K22" s="33"/>
      <c r="L22" s="33"/>
      <c r="M22" s="33"/>
      <c r="N22" s="33"/>
      <c r="O22" s="34"/>
      <c r="P22" s="35"/>
      <c r="R22" s="11"/>
      <c r="U22" s="32">
        <v>0</v>
      </c>
      <c r="V22" s="12"/>
      <c r="W22" s="13"/>
      <c r="Y22" s="15"/>
      <c r="Z22" s="16"/>
      <c r="AA22" s="16"/>
      <c r="AB22" s="17"/>
      <c r="AC22" s="16"/>
    </row>
    <row r="23" spans="1:29" ht="14.25" customHeight="1">
      <c r="A23" s="36" t="s">
        <v>24</v>
      </c>
      <c r="B23" s="37"/>
      <c r="C23" s="38"/>
      <c r="D23" s="38">
        <v>15.84</v>
      </c>
      <c r="E23" s="38">
        <v>15.84</v>
      </c>
      <c r="F23" s="38">
        <v>15.84</v>
      </c>
      <c r="G23" s="38">
        <v>15.84</v>
      </c>
      <c r="H23" s="38">
        <v>15.84</v>
      </c>
      <c r="I23" s="38">
        <v>15.84</v>
      </c>
      <c r="J23" s="38">
        <v>15.84</v>
      </c>
      <c r="K23" s="38"/>
      <c r="L23" s="38"/>
      <c r="M23" s="38"/>
      <c r="N23" s="38"/>
      <c r="O23" s="39"/>
      <c r="P23" s="35"/>
      <c r="R23" s="11"/>
      <c r="U23" s="37"/>
      <c r="V23" s="12"/>
      <c r="W23" s="13"/>
      <c r="Y23" s="15"/>
      <c r="Z23" s="16"/>
      <c r="AA23" s="16"/>
      <c r="AB23" s="17"/>
      <c r="AC23" s="16"/>
    </row>
    <row r="24" spans="1:29" ht="14.25" customHeight="1">
      <c r="A24" s="40" t="s">
        <v>25</v>
      </c>
      <c r="B24" s="41">
        <v>0</v>
      </c>
      <c r="C24" s="42">
        <v>0</v>
      </c>
      <c r="D24" s="42">
        <v>0</v>
      </c>
      <c r="E24" s="42">
        <v>16.5</v>
      </c>
      <c r="F24" s="42">
        <v>0</v>
      </c>
      <c r="G24" s="42">
        <v>16.5</v>
      </c>
      <c r="H24" s="42">
        <v>0</v>
      </c>
      <c r="I24" s="42">
        <v>16.5</v>
      </c>
      <c r="J24" s="42">
        <v>0</v>
      </c>
      <c r="K24" s="42"/>
      <c r="L24" s="42"/>
      <c r="M24" s="42"/>
      <c r="N24" s="42"/>
      <c r="O24" s="43"/>
      <c r="P24" s="35"/>
      <c r="R24" s="11"/>
      <c r="T24" s="12"/>
      <c r="U24" s="41">
        <v>0</v>
      </c>
      <c r="V24" s="12"/>
      <c r="W24" s="13"/>
      <c r="Y24" s="15"/>
      <c r="Z24" s="16"/>
      <c r="AA24" s="16"/>
      <c r="AB24" s="17"/>
      <c r="AC24" s="16"/>
    </row>
    <row r="25" spans="1:29" ht="14.25" hidden="1" customHeight="1">
      <c r="A25" s="44" t="s">
        <v>26</v>
      </c>
      <c r="B25" s="25">
        <f>SUM(B21:B24)</f>
        <v>88.679999999999993</v>
      </c>
      <c r="C25" s="26"/>
      <c r="D25" s="26"/>
      <c r="E25" s="26"/>
      <c r="F25" s="26">
        <f t="shared" ref="F25:J25" si="3">SUM(F21:F24)</f>
        <v>208.34</v>
      </c>
      <c r="G25" s="26">
        <f t="shared" si="3"/>
        <v>262.94</v>
      </c>
      <c r="H25" s="26">
        <f t="shared" si="3"/>
        <v>202.34</v>
      </c>
      <c r="I25" s="26">
        <f t="shared" si="3"/>
        <v>246.01</v>
      </c>
      <c r="J25" s="26">
        <f t="shared" si="3"/>
        <v>181.18</v>
      </c>
      <c r="K25" s="26"/>
      <c r="L25" s="26"/>
      <c r="M25" s="26"/>
      <c r="N25" s="26"/>
      <c r="O25" s="27"/>
      <c r="P25" s="35"/>
      <c r="R25" s="11"/>
      <c r="U25" s="25">
        <f>SUM(U21:U24)</f>
        <v>14.78</v>
      </c>
      <c r="V25" s="12"/>
      <c r="W25" s="13"/>
      <c r="Y25" s="15"/>
      <c r="Z25" s="16"/>
      <c r="AA25" s="16"/>
      <c r="AB25" s="17"/>
      <c r="AC25" s="16"/>
    </row>
    <row r="26" spans="1:29" ht="14.25" hidden="1" customHeight="1">
      <c r="A26" s="45" t="s">
        <v>27</v>
      </c>
      <c r="B26" s="37">
        <f>+B20+B25</f>
        <v>290.04000000000002</v>
      </c>
      <c r="C26" s="46"/>
      <c r="D26" s="46"/>
      <c r="E26" s="46"/>
      <c r="F26" s="46">
        <f t="shared" ref="F26:J26" si="4">+F20+F25</f>
        <v>324.31</v>
      </c>
      <c r="G26" s="46">
        <f t="shared" si="4"/>
        <v>331.54</v>
      </c>
      <c r="H26" s="46">
        <f t="shared" si="4"/>
        <v>318.31</v>
      </c>
      <c r="I26" s="46">
        <f t="shared" si="4"/>
        <v>314.61</v>
      </c>
      <c r="J26" s="46">
        <f t="shared" si="4"/>
        <v>297.15000000000003</v>
      </c>
      <c r="K26" s="46"/>
      <c r="L26" s="46"/>
      <c r="M26" s="46"/>
      <c r="N26" s="46"/>
      <c r="O26" s="47"/>
      <c r="P26" s="35"/>
      <c r="R26" s="11"/>
      <c r="S26" s="12"/>
      <c r="T26" s="12"/>
      <c r="U26" s="37">
        <f>+U20+U25</f>
        <v>48.34</v>
      </c>
      <c r="V26" s="12"/>
      <c r="W26" s="13"/>
      <c r="Y26" s="15"/>
      <c r="Z26" s="16"/>
      <c r="AA26" s="16"/>
      <c r="AB26" s="17"/>
      <c r="AC26" s="16"/>
    </row>
    <row r="27" spans="1:29" ht="14.25" customHeight="1">
      <c r="A27" s="48" t="s">
        <v>28</v>
      </c>
      <c r="B27" s="49">
        <f t="shared" ref="B27:J27" si="5">B2+B13+B15+B16+B18+B19</f>
        <v>245.88</v>
      </c>
      <c r="C27" s="50">
        <f t="shared" si="5"/>
        <v>95.039999999999992</v>
      </c>
      <c r="D27" s="50">
        <f t="shared" si="5"/>
        <v>40.98</v>
      </c>
      <c r="E27" s="50">
        <f t="shared" si="5"/>
        <v>52.98</v>
      </c>
      <c r="F27" s="50">
        <f t="shared" si="5"/>
        <v>48.309999999999995</v>
      </c>
      <c r="G27" s="50">
        <f t="shared" si="5"/>
        <v>67.97999999999999</v>
      </c>
      <c r="H27" s="50">
        <f t="shared" si="5"/>
        <v>95.039999999999992</v>
      </c>
      <c r="I27" s="50">
        <f t="shared" si="5"/>
        <v>60.309999999999995</v>
      </c>
      <c r="J27" s="50">
        <f t="shared" si="5"/>
        <v>40.98</v>
      </c>
      <c r="K27" s="50"/>
      <c r="L27" s="50"/>
      <c r="M27" s="50"/>
      <c r="N27" s="50"/>
      <c r="O27" s="51"/>
      <c r="P27" s="13">
        <f>SUM(B27:O27)</f>
        <v>747.49999999999989</v>
      </c>
      <c r="Q27" s="52" t="s">
        <v>29</v>
      </c>
      <c r="R27" s="11"/>
      <c r="S27" s="12"/>
      <c r="T27" s="12"/>
      <c r="U27" s="49">
        <f>U2+U13+U15+U16+U18+U19</f>
        <v>40.98</v>
      </c>
      <c r="V27" s="12"/>
      <c r="W27" s="13"/>
      <c r="Y27" s="15"/>
      <c r="Z27" s="16"/>
      <c r="AA27" s="16"/>
      <c r="AB27" s="17"/>
      <c r="AC27" s="16"/>
    </row>
    <row r="28" spans="1:29" ht="14.25" customHeight="1">
      <c r="A28" s="53"/>
      <c r="B28" s="12">
        <f t="shared" ref="B28:O28" si="6">B20+B21+B27</f>
        <v>535.92000000000007</v>
      </c>
      <c r="C28" s="12">
        <f t="shared" si="6"/>
        <v>148</v>
      </c>
      <c r="D28" s="12">
        <f t="shared" si="6"/>
        <v>313.95000000000005</v>
      </c>
      <c r="E28" s="12">
        <f t="shared" si="6"/>
        <v>303.27000000000004</v>
      </c>
      <c r="F28" s="12">
        <f t="shared" si="6"/>
        <v>339.62</v>
      </c>
      <c r="G28" s="12">
        <f t="shared" si="6"/>
        <v>350.02</v>
      </c>
      <c r="H28" s="12">
        <f t="shared" si="6"/>
        <v>380.35</v>
      </c>
      <c r="I28" s="12">
        <f t="shared" si="6"/>
        <v>325.42</v>
      </c>
      <c r="J28" s="12">
        <f t="shared" si="6"/>
        <v>305.13000000000005</v>
      </c>
      <c r="K28" s="12">
        <f t="shared" si="6"/>
        <v>0</v>
      </c>
      <c r="L28" s="12">
        <f t="shared" si="6"/>
        <v>0</v>
      </c>
      <c r="M28" s="12">
        <f t="shared" si="6"/>
        <v>0</v>
      </c>
      <c r="N28" s="12">
        <f t="shared" si="6"/>
        <v>0</v>
      </c>
      <c r="O28" s="12">
        <f t="shared" si="6"/>
        <v>0</v>
      </c>
      <c r="P28" s="12">
        <f>SUM(P20:P27)</f>
        <v>3001.6800000000003</v>
      </c>
      <c r="Q28" s="54">
        <f>P28*0.3</f>
        <v>900.50400000000002</v>
      </c>
      <c r="R28" s="11"/>
      <c r="S28" s="12"/>
      <c r="T28" s="12"/>
      <c r="U28" s="12"/>
      <c r="V28" s="12"/>
      <c r="W28" s="13"/>
      <c r="Y28" s="15"/>
      <c r="Z28" s="16"/>
      <c r="AA28" s="16"/>
      <c r="AB28" s="17"/>
      <c r="AC28" s="16"/>
    </row>
    <row r="29" spans="1:29" ht="14.25" customHeight="1">
      <c r="J29" s="12">
        <f>SUM(B28:J28)</f>
        <v>3001.6800000000003</v>
      </c>
      <c r="O29" s="12">
        <f>SUM(B28:O28)</f>
        <v>3001.6800000000003</v>
      </c>
      <c r="P29" s="218" t="s">
        <v>27</v>
      </c>
      <c r="Q29" s="215"/>
      <c r="R29" s="11"/>
      <c r="U29" s="12"/>
      <c r="V29" s="12"/>
      <c r="W29" s="13"/>
      <c r="Y29" s="15"/>
      <c r="Z29" s="16"/>
      <c r="AA29" s="16"/>
      <c r="AB29" s="17"/>
      <c r="AC29" s="16"/>
    </row>
    <row r="30" spans="1:29" ht="14.25" customHeight="1">
      <c r="A30" s="219" t="s">
        <v>30</v>
      </c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1"/>
      <c r="P30" s="222">
        <f>SUM(P28:Q28)</f>
        <v>3902.1840000000002</v>
      </c>
      <c r="Q30" s="215"/>
      <c r="R30" s="11"/>
      <c r="S30" s="12"/>
      <c r="T30" s="12"/>
      <c r="U30" s="12"/>
      <c r="V30" s="12"/>
      <c r="W30" s="13"/>
      <c r="Y30" s="15"/>
      <c r="Z30" s="16"/>
      <c r="AA30" s="16"/>
      <c r="AB30" s="17"/>
      <c r="AC30" s="16"/>
    </row>
    <row r="31" spans="1:29" ht="14.25" customHeight="1">
      <c r="A31" s="55" t="s">
        <v>31</v>
      </c>
      <c r="B31" s="56" t="s">
        <v>32</v>
      </c>
      <c r="C31" s="56">
        <v>5000</v>
      </c>
      <c r="D31" s="56">
        <v>10000</v>
      </c>
      <c r="E31" s="56">
        <v>20000</v>
      </c>
      <c r="F31" s="56">
        <v>30000</v>
      </c>
      <c r="G31" s="56">
        <v>40000</v>
      </c>
      <c r="H31" s="56">
        <v>50000</v>
      </c>
      <c r="I31" s="56">
        <v>60000</v>
      </c>
      <c r="J31" s="56">
        <v>70000</v>
      </c>
      <c r="K31" s="56">
        <v>80000</v>
      </c>
      <c r="L31" s="56">
        <v>90000</v>
      </c>
      <c r="M31" s="57">
        <v>100000</v>
      </c>
      <c r="N31" s="58">
        <v>110000</v>
      </c>
      <c r="O31" s="59">
        <v>120000</v>
      </c>
      <c r="Y31" s="15"/>
      <c r="Z31" s="16"/>
      <c r="AA31" s="16"/>
      <c r="AB31" s="17"/>
      <c r="AC31" s="16"/>
    </row>
    <row r="32" spans="1:29" ht="14.25" customHeight="1">
      <c r="A32" s="60" t="s">
        <v>3</v>
      </c>
      <c r="B32" s="61" t="s">
        <v>33</v>
      </c>
      <c r="C32" s="61" t="s">
        <v>33</v>
      </c>
      <c r="D32" s="61" t="s">
        <v>33</v>
      </c>
      <c r="E32" s="61" t="s">
        <v>33</v>
      </c>
      <c r="F32" s="61" t="s">
        <v>33</v>
      </c>
      <c r="G32" s="61" t="s">
        <v>33</v>
      </c>
      <c r="H32" s="61" t="s">
        <v>33</v>
      </c>
      <c r="I32" s="61" t="s">
        <v>33</v>
      </c>
      <c r="J32" s="61" t="s">
        <v>33</v>
      </c>
      <c r="K32" s="61" t="s">
        <v>33</v>
      </c>
      <c r="L32" s="61" t="s">
        <v>33</v>
      </c>
      <c r="M32" s="61" t="s">
        <v>33</v>
      </c>
      <c r="N32" s="61" t="s">
        <v>33</v>
      </c>
      <c r="O32" s="61" t="s">
        <v>33</v>
      </c>
      <c r="Y32" s="15"/>
      <c r="Z32" s="16"/>
      <c r="AA32" s="16"/>
      <c r="AB32" s="17"/>
      <c r="AC32" s="16"/>
    </row>
    <row r="33" spans="1:29" ht="14.25" customHeight="1">
      <c r="A33" s="60" t="s">
        <v>4</v>
      </c>
      <c r="B33" s="61" t="s">
        <v>33</v>
      </c>
      <c r="C33" s="61" t="s">
        <v>33</v>
      </c>
      <c r="D33" s="61" t="s">
        <v>33</v>
      </c>
      <c r="E33" s="61" t="s">
        <v>33</v>
      </c>
      <c r="F33" s="61" t="s">
        <v>33</v>
      </c>
      <c r="G33" s="61" t="s">
        <v>33</v>
      </c>
      <c r="H33" s="61" t="s">
        <v>33</v>
      </c>
      <c r="I33" s="61" t="s">
        <v>33</v>
      </c>
      <c r="J33" s="61" t="s">
        <v>33</v>
      </c>
      <c r="K33" s="61" t="s">
        <v>33</v>
      </c>
      <c r="L33" s="61" t="s">
        <v>33</v>
      </c>
      <c r="M33" s="61" t="s">
        <v>33</v>
      </c>
      <c r="N33" s="61" t="s">
        <v>33</v>
      </c>
      <c r="O33" s="61" t="s">
        <v>33</v>
      </c>
      <c r="Y33" s="62"/>
      <c r="Z33" s="16"/>
      <c r="AA33" s="16"/>
      <c r="AB33" s="16"/>
      <c r="AC33" s="16"/>
    </row>
    <row r="34" spans="1:29" ht="14.25" customHeight="1">
      <c r="A34" s="60" t="s">
        <v>5</v>
      </c>
      <c r="B34" s="61" t="s">
        <v>33</v>
      </c>
      <c r="C34" s="61" t="s">
        <v>33</v>
      </c>
      <c r="D34" s="61" t="s">
        <v>33</v>
      </c>
      <c r="E34" s="61" t="s">
        <v>33</v>
      </c>
      <c r="F34" s="61" t="s">
        <v>33</v>
      </c>
      <c r="G34" s="61" t="s">
        <v>33</v>
      </c>
      <c r="H34" s="61" t="s">
        <v>33</v>
      </c>
      <c r="I34" s="61" t="s">
        <v>33</v>
      </c>
      <c r="J34" s="61" t="s">
        <v>33</v>
      </c>
      <c r="K34" s="61" t="s">
        <v>33</v>
      </c>
      <c r="L34" s="61" t="s">
        <v>33</v>
      </c>
      <c r="M34" s="61" t="s">
        <v>33</v>
      </c>
      <c r="N34" s="61" t="s">
        <v>33</v>
      </c>
      <c r="O34" s="61" t="s">
        <v>33</v>
      </c>
      <c r="Y34" s="62"/>
      <c r="Z34" s="63"/>
      <c r="AA34" s="63"/>
      <c r="AB34" s="63"/>
      <c r="AC34" s="63"/>
    </row>
    <row r="35" spans="1:29" ht="14.25" customHeight="1">
      <c r="A35" s="60" t="s">
        <v>7</v>
      </c>
      <c r="B35" s="61"/>
      <c r="C35" s="61"/>
      <c r="D35" s="61" t="s">
        <v>33</v>
      </c>
      <c r="E35" s="61" t="s">
        <v>33</v>
      </c>
      <c r="F35" s="61" t="s">
        <v>33</v>
      </c>
      <c r="G35" s="61" t="s">
        <v>33</v>
      </c>
      <c r="H35" s="61" t="s">
        <v>33</v>
      </c>
      <c r="I35" s="61" t="s">
        <v>33</v>
      </c>
      <c r="J35" s="61" t="s">
        <v>33</v>
      </c>
      <c r="K35" s="61" t="s">
        <v>33</v>
      </c>
      <c r="L35" s="61" t="s">
        <v>33</v>
      </c>
      <c r="M35" s="61" t="s">
        <v>33</v>
      </c>
      <c r="N35" s="61" t="s">
        <v>33</v>
      </c>
      <c r="O35" s="61" t="s">
        <v>33</v>
      </c>
      <c r="Y35" s="62"/>
      <c r="Z35" s="64"/>
      <c r="AA35" s="64"/>
      <c r="AB35" s="64"/>
      <c r="AC35" s="64"/>
    </row>
    <row r="36" spans="1:29" ht="14.25" customHeight="1">
      <c r="A36" s="60" t="s">
        <v>34</v>
      </c>
      <c r="B36" s="61"/>
      <c r="C36" s="61"/>
      <c r="D36" s="61" t="s">
        <v>33</v>
      </c>
      <c r="E36" s="61"/>
      <c r="F36" s="61" t="s">
        <v>33</v>
      </c>
      <c r="G36" s="61"/>
      <c r="H36" s="61" t="s">
        <v>33</v>
      </c>
      <c r="I36" s="61"/>
      <c r="J36" s="61" t="s">
        <v>33</v>
      </c>
      <c r="K36" s="61"/>
      <c r="L36" s="61" t="s">
        <v>33</v>
      </c>
      <c r="M36" s="61"/>
      <c r="N36" s="61" t="s">
        <v>33</v>
      </c>
      <c r="O36" s="61"/>
    </row>
    <row r="37" spans="1:29" ht="14.25" customHeight="1">
      <c r="A37" s="65" t="s">
        <v>11</v>
      </c>
      <c r="B37" s="61"/>
      <c r="C37" s="61"/>
      <c r="D37" s="61"/>
      <c r="E37" s="61" t="s">
        <v>33</v>
      </c>
      <c r="F37" s="61"/>
      <c r="G37" s="61" t="s">
        <v>33</v>
      </c>
      <c r="H37" s="61"/>
      <c r="I37" s="61" t="s">
        <v>33</v>
      </c>
      <c r="J37" s="61"/>
      <c r="K37" s="66" t="s">
        <v>33</v>
      </c>
      <c r="L37" s="61"/>
      <c r="M37" s="66" t="s">
        <v>33</v>
      </c>
      <c r="N37" s="66"/>
      <c r="O37" s="66" t="s">
        <v>33</v>
      </c>
    </row>
    <row r="38" spans="1:29" ht="14.25" customHeight="1">
      <c r="A38" s="65" t="s">
        <v>12</v>
      </c>
      <c r="B38" s="61"/>
      <c r="C38" s="61"/>
      <c r="D38" s="61" t="s">
        <v>33</v>
      </c>
      <c r="E38" s="61" t="s">
        <v>33</v>
      </c>
      <c r="F38" s="61" t="s">
        <v>33</v>
      </c>
      <c r="G38" s="61" t="s">
        <v>33</v>
      </c>
      <c r="H38" s="61" t="s">
        <v>33</v>
      </c>
      <c r="I38" s="61" t="s">
        <v>33</v>
      </c>
      <c r="J38" s="61" t="s">
        <v>33</v>
      </c>
      <c r="K38" s="61" t="s">
        <v>33</v>
      </c>
      <c r="L38" s="61" t="s">
        <v>33</v>
      </c>
      <c r="M38" s="61" t="s">
        <v>33</v>
      </c>
      <c r="N38" s="61" t="s">
        <v>33</v>
      </c>
      <c r="O38" s="61" t="s">
        <v>33</v>
      </c>
    </row>
    <row r="39" spans="1:29" ht="14.25" customHeight="1">
      <c r="A39" s="65" t="s">
        <v>13</v>
      </c>
      <c r="B39" s="61"/>
      <c r="C39" s="61"/>
      <c r="D39" s="61" t="s">
        <v>33</v>
      </c>
      <c r="E39" s="61" t="s">
        <v>33</v>
      </c>
      <c r="F39" s="61" t="s">
        <v>33</v>
      </c>
      <c r="G39" s="61" t="s">
        <v>33</v>
      </c>
      <c r="H39" s="61" t="s">
        <v>33</v>
      </c>
      <c r="I39" s="61" t="s">
        <v>33</v>
      </c>
      <c r="J39" s="61" t="s">
        <v>33</v>
      </c>
      <c r="K39" s="61" t="s">
        <v>33</v>
      </c>
      <c r="L39" s="61" t="s">
        <v>33</v>
      </c>
      <c r="M39" s="61" t="s">
        <v>33</v>
      </c>
      <c r="N39" s="61" t="s">
        <v>33</v>
      </c>
      <c r="O39" s="61" t="s">
        <v>33</v>
      </c>
    </row>
    <row r="40" spans="1:29" ht="14.25" customHeight="1">
      <c r="A40" s="65" t="s">
        <v>14</v>
      </c>
      <c r="B40" s="61"/>
      <c r="C40" s="61"/>
      <c r="D40" s="61"/>
      <c r="E40" s="61"/>
      <c r="F40" s="61"/>
      <c r="G40" s="61" t="s">
        <v>33</v>
      </c>
      <c r="H40" s="61"/>
      <c r="I40" s="61"/>
      <c r="J40" s="61"/>
      <c r="K40" s="61" t="s">
        <v>33</v>
      </c>
      <c r="L40" s="61"/>
      <c r="M40" s="66"/>
      <c r="N40" s="66"/>
      <c r="O40" s="61" t="s">
        <v>33</v>
      </c>
    </row>
    <row r="41" spans="1:29" ht="14.25" customHeight="1">
      <c r="A41" s="65" t="s">
        <v>15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6" t="s">
        <v>33</v>
      </c>
      <c r="N41" s="66"/>
      <c r="O41" s="66"/>
    </row>
    <row r="42" spans="1:29" ht="14.25" customHeight="1">
      <c r="A42" s="67" t="s">
        <v>35</v>
      </c>
      <c r="B42" s="61"/>
      <c r="C42" s="61" t="s">
        <v>33</v>
      </c>
      <c r="D42" s="61"/>
      <c r="E42" s="61"/>
      <c r="F42" s="61"/>
      <c r="G42" s="61"/>
      <c r="H42" s="61" t="s">
        <v>33</v>
      </c>
      <c r="I42" s="61"/>
      <c r="J42" s="61"/>
      <c r="K42" s="61"/>
      <c r="L42" s="61"/>
      <c r="M42" s="61" t="s">
        <v>33</v>
      </c>
      <c r="N42" s="61"/>
      <c r="O42" s="61"/>
    </row>
    <row r="43" spans="1:29" ht="14.25" customHeight="1">
      <c r="A43" s="67" t="s">
        <v>18</v>
      </c>
      <c r="B43" s="68" t="s">
        <v>33</v>
      </c>
      <c r="C43" s="68" t="s">
        <v>33</v>
      </c>
      <c r="D43" s="68" t="s">
        <v>33</v>
      </c>
      <c r="E43" s="68" t="s">
        <v>33</v>
      </c>
      <c r="F43" s="68" t="s">
        <v>33</v>
      </c>
      <c r="G43" s="68" t="s">
        <v>33</v>
      </c>
      <c r="H43" s="68" t="s">
        <v>33</v>
      </c>
      <c r="I43" s="68" t="s">
        <v>33</v>
      </c>
      <c r="J43" s="68" t="s">
        <v>33</v>
      </c>
      <c r="K43" s="68" t="s">
        <v>33</v>
      </c>
      <c r="L43" s="68" t="s">
        <v>33</v>
      </c>
      <c r="M43" s="68" t="s">
        <v>33</v>
      </c>
      <c r="N43" s="68" t="s">
        <v>33</v>
      </c>
      <c r="O43" s="68" t="s">
        <v>33</v>
      </c>
    </row>
    <row r="44" spans="1:29" ht="14.25" customHeight="1">
      <c r="A44" s="65" t="s">
        <v>36</v>
      </c>
      <c r="B44" s="61">
        <v>0</v>
      </c>
      <c r="C44" s="61"/>
      <c r="D44" s="61">
        <v>0</v>
      </c>
      <c r="E44" s="61">
        <v>0</v>
      </c>
      <c r="F44" s="68" t="s">
        <v>33</v>
      </c>
      <c r="G44" s="61">
        <v>0</v>
      </c>
      <c r="H44" s="61">
        <v>0</v>
      </c>
      <c r="I44" s="68" t="s">
        <v>33</v>
      </c>
      <c r="J44" s="61">
        <v>0</v>
      </c>
      <c r="K44" s="61">
        <v>0</v>
      </c>
      <c r="L44" s="68" t="s">
        <v>33</v>
      </c>
      <c r="M44" s="61">
        <v>0</v>
      </c>
      <c r="N44" s="61">
        <v>0</v>
      </c>
      <c r="O44" s="61">
        <v>0</v>
      </c>
    </row>
    <row r="45" spans="1:29" ht="14.25" customHeight="1">
      <c r="A45" s="69" t="s">
        <v>20</v>
      </c>
      <c r="B45" s="69"/>
      <c r="C45" s="69"/>
      <c r="D45" s="69"/>
      <c r="E45" s="68" t="s">
        <v>33</v>
      </c>
      <c r="F45" s="69"/>
      <c r="G45" s="68" t="s">
        <v>33</v>
      </c>
      <c r="H45" s="69"/>
      <c r="I45" s="68" t="s">
        <v>33</v>
      </c>
      <c r="J45" s="69"/>
      <c r="K45" s="68" t="s">
        <v>33</v>
      </c>
      <c r="L45" s="69"/>
      <c r="M45" s="68" t="s">
        <v>33</v>
      </c>
      <c r="N45" s="68"/>
      <c r="O45" s="68" t="s">
        <v>33</v>
      </c>
    </row>
    <row r="46" spans="1:29" ht="14.25" customHeight="1">
      <c r="A46" s="70" t="s">
        <v>37</v>
      </c>
      <c r="B46" s="61"/>
      <c r="C46" s="61"/>
      <c r="D46" s="61"/>
      <c r="E46" s="61"/>
      <c r="F46" s="61"/>
      <c r="G46" s="61"/>
      <c r="H46" s="61" t="s">
        <v>33</v>
      </c>
      <c r="I46" s="61"/>
      <c r="J46" s="61"/>
      <c r="K46" s="61"/>
      <c r="L46" s="61"/>
      <c r="M46" s="61" t="s">
        <v>33</v>
      </c>
      <c r="N46" s="61"/>
      <c r="O46" s="61"/>
    </row>
    <row r="47" spans="1:29" ht="14.25" customHeight="1">
      <c r="A47" s="69" t="s">
        <v>38</v>
      </c>
      <c r="B47" s="61" t="s">
        <v>33</v>
      </c>
      <c r="C47" s="61" t="s">
        <v>33</v>
      </c>
      <c r="D47" s="61" t="s">
        <v>33</v>
      </c>
      <c r="E47" s="61" t="s">
        <v>33</v>
      </c>
      <c r="F47" s="61" t="s">
        <v>33</v>
      </c>
      <c r="G47" s="61" t="s">
        <v>33</v>
      </c>
      <c r="H47" s="61" t="s">
        <v>33</v>
      </c>
      <c r="I47" s="61" t="s">
        <v>33</v>
      </c>
      <c r="J47" s="61" t="s">
        <v>33</v>
      </c>
      <c r="K47" s="61" t="s">
        <v>33</v>
      </c>
      <c r="L47" s="61" t="s">
        <v>33</v>
      </c>
      <c r="M47" s="61" t="s">
        <v>33</v>
      </c>
      <c r="N47" s="61" t="s">
        <v>33</v>
      </c>
      <c r="O47" s="61" t="s">
        <v>33</v>
      </c>
    </row>
    <row r="48" spans="1:29" ht="14.25" customHeight="1">
      <c r="A48" s="69" t="s">
        <v>39</v>
      </c>
      <c r="B48" s="61" t="s">
        <v>33</v>
      </c>
      <c r="C48" s="61" t="s">
        <v>33</v>
      </c>
      <c r="D48" s="61" t="s">
        <v>33</v>
      </c>
      <c r="E48" s="61" t="s">
        <v>33</v>
      </c>
      <c r="F48" s="61" t="s">
        <v>33</v>
      </c>
      <c r="G48" s="61" t="s">
        <v>33</v>
      </c>
      <c r="H48" s="61" t="s">
        <v>33</v>
      </c>
      <c r="I48" s="61" t="s">
        <v>33</v>
      </c>
      <c r="J48" s="61" t="s">
        <v>33</v>
      </c>
      <c r="K48" s="61" t="s">
        <v>33</v>
      </c>
      <c r="L48" s="61" t="s">
        <v>33</v>
      </c>
      <c r="M48" s="61" t="s">
        <v>33</v>
      </c>
      <c r="N48" s="61" t="s">
        <v>33</v>
      </c>
      <c r="O48" s="61" t="s">
        <v>33</v>
      </c>
    </row>
    <row r="49" spans="1:15" ht="14.25" customHeight="1">
      <c r="A49" s="69" t="s">
        <v>40</v>
      </c>
      <c r="B49" s="61" t="s">
        <v>33</v>
      </c>
      <c r="C49" s="61" t="s">
        <v>33</v>
      </c>
      <c r="D49" s="61" t="s">
        <v>33</v>
      </c>
      <c r="E49" s="61" t="s">
        <v>33</v>
      </c>
      <c r="F49" s="61" t="s">
        <v>33</v>
      </c>
      <c r="G49" s="61" t="s">
        <v>33</v>
      </c>
      <c r="H49" s="61" t="s">
        <v>33</v>
      </c>
      <c r="I49" s="61" t="s">
        <v>33</v>
      </c>
      <c r="J49" s="61" t="s">
        <v>33</v>
      </c>
      <c r="K49" s="61" t="s">
        <v>33</v>
      </c>
      <c r="L49" s="61" t="s">
        <v>33</v>
      </c>
      <c r="M49" s="61" t="s">
        <v>33</v>
      </c>
      <c r="N49" s="61" t="s">
        <v>33</v>
      </c>
      <c r="O49" s="61" t="s">
        <v>33</v>
      </c>
    </row>
    <row r="50" spans="1:15" ht="14.25" customHeight="1">
      <c r="A50" s="69" t="s">
        <v>41</v>
      </c>
      <c r="B50" s="61"/>
      <c r="C50" s="61"/>
      <c r="D50" s="61" t="s">
        <v>33</v>
      </c>
      <c r="E50" s="61" t="s">
        <v>33</v>
      </c>
      <c r="F50" s="61" t="s">
        <v>33</v>
      </c>
      <c r="G50" s="61" t="s">
        <v>33</v>
      </c>
      <c r="H50" s="61" t="s">
        <v>33</v>
      </c>
      <c r="I50" s="61" t="s">
        <v>33</v>
      </c>
      <c r="J50" s="61" t="s">
        <v>33</v>
      </c>
      <c r="K50" s="61" t="s">
        <v>33</v>
      </c>
      <c r="L50" s="61" t="s">
        <v>33</v>
      </c>
      <c r="M50" s="61" t="s">
        <v>33</v>
      </c>
      <c r="N50" s="61" t="s">
        <v>33</v>
      </c>
      <c r="O50" s="61" t="s">
        <v>33</v>
      </c>
    </row>
    <row r="51" spans="1:15" ht="14.25" customHeight="1">
      <c r="E51" s="71"/>
      <c r="G51" s="71"/>
      <c r="I51" s="71"/>
      <c r="K51" s="71"/>
      <c r="M51" s="71"/>
    </row>
    <row r="52" spans="1:15" ht="14.25" customHeight="1">
      <c r="A52" s="52" t="s">
        <v>42</v>
      </c>
      <c r="E52" s="71"/>
      <c r="G52" s="71"/>
      <c r="I52" s="71"/>
      <c r="K52" s="71"/>
      <c r="M52" s="71"/>
    </row>
    <row r="53" spans="1:15" ht="14.25" customHeight="1"/>
    <row r="54" spans="1:15" ht="14.25" customHeight="1"/>
    <row r="55" spans="1:15" ht="14.25" customHeight="1"/>
    <row r="56" spans="1:15" ht="14.25" customHeight="1"/>
    <row r="57" spans="1:15" ht="14.25" customHeight="1"/>
    <row r="58" spans="1:15" ht="14.25" customHeight="1"/>
    <row r="59" spans="1:15" ht="14.25" customHeight="1"/>
    <row r="60" spans="1:15" ht="14.25" customHeight="1"/>
    <row r="61" spans="1:15" ht="14.25" customHeight="1"/>
    <row r="62" spans="1:15" ht="14.25" customHeight="1"/>
    <row r="63" spans="1:15" ht="14.25" customHeight="1"/>
    <row r="64" spans="1:1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P29:Q29"/>
    <mergeCell ref="A30:O30"/>
    <mergeCell ref="P30:Q30"/>
    <mergeCell ref="Y1:AC1"/>
    <mergeCell ref="Y2:Y3"/>
    <mergeCell ref="Z2:Z3"/>
    <mergeCell ref="AB2:AB3"/>
    <mergeCell ref="AC2:AC3"/>
  </mergeCells>
  <conditionalFormatting sqref="A30">
    <cfRule type="containsText" dxfId="2" priority="1" operator="containsText" text="X">
      <formula>NOT(ISERROR(SEARCH(("X"),(A30))))</formula>
    </cfRule>
  </conditionalFormatting>
  <conditionalFormatting sqref="A31:M52">
    <cfRule type="containsText" dxfId="1" priority="2" operator="containsText" text="X">
      <formula>NOT(ISERROR(SEARCH(("X"),(A31))))</formula>
    </cfRule>
  </conditionalFormatting>
  <conditionalFormatting sqref="N31:O50">
    <cfRule type="containsText" dxfId="0" priority="3" operator="containsText" text="X">
      <formula>NOT(ISERROR(SEARCH(("X"),(N31))))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1000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9" sqref="A9"/>
    </sheetView>
  </sheetViews>
  <sheetFormatPr baseColWidth="10" defaultColWidth="14.44140625" defaultRowHeight="15" customHeight="1"/>
  <cols>
    <col min="1" max="1" width="56.88671875" customWidth="1"/>
    <col min="2" max="21" width="10.6640625" customWidth="1"/>
    <col min="22" max="35" width="11.5546875" customWidth="1"/>
    <col min="36" max="36" width="13.88671875" customWidth="1"/>
    <col min="37" max="50" width="11.5546875" customWidth="1"/>
    <col min="51" max="51" width="13.88671875" customWidth="1"/>
    <col min="52" max="52" width="13.6640625" customWidth="1"/>
  </cols>
  <sheetData>
    <row r="1" spans="1:52" ht="14.25" customHeight="1">
      <c r="A1" s="72" t="s">
        <v>43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</row>
    <row r="2" spans="1:52" ht="14.25" customHeight="1">
      <c r="A2" s="73" t="s">
        <v>0</v>
      </c>
      <c r="B2" s="74">
        <v>5000</v>
      </c>
      <c r="C2" s="74">
        <v>10000</v>
      </c>
      <c r="D2" s="74">
        <v>15000</v>
      </c>
      <c r="E2" s="74">
        <v>20000</v>
      </c>
      <c r="F2" s="74">
        <v>25000</v>
      </c>
      <c r="G2" s="74">
        <v>30000</v>
      </c>
      <c r="H2" s="74">
        <v>35000</v>
      </c>
      <c r="I2" s="74">
        <v>40000</v>
      </c>
      <c r="J2" s="74">
        <v>45000</v>
      </c>
      <c r="K2" s="74">
        <v>50000</v>
      </c>
      <c r="L2" s="74">
        <v>55000</v>
      </c>
      <c r="M2" s="74">
        <v>60000</v>
      </c>
      <c r="N2" s="74">
        <v>65000</v>
      </c>
      <c r="O2" s="74">
        <v>70000</v>
      </c>
      <c r="P2" s="74">
        <v>75000</v>
      </c>
      <c r="Q2" s="74">
        <v>80000</v>
      </c>
      <c r="R2" s="74">
        <v>85000</v>
      </c>
      <c r="S2" s="74">
        <v>90000</v>
      </c>
      <c r="T2" s="74">
        <v>95000</v>
      </c>
      <c r="U2" s="74">
        <v>100000</v>
      </c>
      <c r="V2" s="74">
        <v>105000</v>
      </c>
      <c r="W2" s="74">
        <v>110000</v>
      </c>
      <c r="X2" s="74">
        <v>115000</v>
      </c>
      <c r="Y2" s="74">
        <v>120000</v>
      </c>
      <c r="Z2" s="74">
        <v>125000</v>
      </c>
      <c r="AA2" s="74">
        <v>130000</v>
      </c>
      <c r="AB2" s="74">
        <v>135000</v>
      </c>
      <c r="AC2" s="74">
        <v>140000</v>
      </c>
      <c r="AD2" s="74">
        <v>145000</v>
      </c>
      <c r="AE2" s="74">
        <v>150000</v>
      </c>
      <c r="AF2" s="74">
        <v>155000</v>
      </c>
      <c r="AG2" s="74">
        <v>160000</v>
      </c>
      <c r="AH2" s="74">
        <v>165000</v>
      </c>
      <c r="AI2" s="74">
        <v>170000</v>
      </c>
      <c r="AJ2" s="74">
        <v>175000</v>
      </c>
      <c r="AK2" s="74">
        <v>180000</v>
      </c>
      <c r="AL2" s="74">
        <v>185000</v>
      </c>
      <c r="AM2" s="74">
        <v>190000</v>
      </c>
      <c r="AN2" s="74">
        <v>195000</v>
      </c>
      <c r="AO2" s="74">
        <v>200000</v>
      </c>
      <c r="AP2" s="74">
        <v>205000</v>
      </c>
      <c r="AQ2" s="74">
        <v>210000</v>
      </c>
      <c r="AR2" s="74">
        <v>215000</v>
      </c>
      <c r="AS2" s="74">
        <v>220000</v>
      </c>
      <c r="AT2" s="74">
        <v>225000</v>
      </c>
      <c r="AU2" s="74">
        <v>230000</v>
      </c>
      <c r="AV2" s="74">
        <v>235000</v>
      </c>
      <c r="AW2" s="74">
        <v>240000</v>
      </c>
      <c r="AX2" s="74">
        <v>245000</v>
      </c>
      <c r="AY2" s="74">
        <v>250000</v>
      </c>
      <c r="AZ2" s="75"/>
    </row>
    <row r="3" spans="1:52" ht="21.75" customHeight="1">
      <c r="A3" s="31" t="s">
        <v>44</v>
      </c>
      <c r="B3" s="76">
        <v>43.98</v>
      </c>
      <c r="C3" s="76">
        <v>43.98</v>
      </c>
      <c r="D3" s="76">
        <v>43.98</v>
      </c>
      <c r="E3" s="76">
        <v>43.98</v>
      </c>
      <c r="F3" s="76">
        <v>43.98</v>
      </c>
      <c r="G3" s="76">
        <v>43.98</v>
      </c>
      <c r="H3" s="76">
        <v>43.98</v>
      </c>
      <c r="I3" s="76">
        <v>43.98</v>
      </c>
      <c r="J3" s="76">
        <v>43.98</v>
      </c>
      <c r="K3" s="76">
        <v>43.98</v>
      </c>
      <c r="L3" s="76">
        <v>43.98</v>
      </c>
      <c r="M3" s="76">
        <v>43.98</v>
      </c>
      <c r="N3" s="76">
        <v>43.98</v>
      </c>
      <c r="O3" s="76">
        <v>43.98</v>
      </c>
      <c r="P3" s="76">
        <v>43.98</v>
      </c>
      <c r="Q3" s="76">
        <v>43.98</v>
      </c>
      <c r="R3" s="76">
        <v>43.98</v>
      </c>
      <c r="S3" s="76">
        <v>43.98</v>
      </c>
      <c r="T3" s="76">
        <v>43.98</v>
      </c>
      <c r="U3" s="76">
        <v>43.98</v>
      </c>
      <c r="V3" s="76">
        <v>43.98</v>
      </c>
      <c r="W3" s="76">
        <v>43.98</v>
      </c>
      <c r="X3" s="76">
        <v>43.98</v>
      </c>
      <c r="Y3" s="77">
        <v>43.98</v>
      </c>
      <c r="Z3" s="78">
        <v>43.98</v>
      </c>
      <c r="AA3" s="78">
        <v>43.98</v>
      </c>
      <c r="AB3" s="78">
        <v>43.98</v>
      </c>
      <c r="AC3" s="78">
        <v>43.98</v>
      </c>
      <c r="AD3" s="78">
        <v>43.98</v>
      </c>
      <c r="AE3" s="78">
        <v>43.98</v>
      </c>
      <c r="AF3" s="78">
        <v>43.98</v>
      </c>
      <c r="AG3" s="78">
        <v>43.98</v>
      </c>
      <c r="AH3" s="78">
        <v>43.98</v>
      </c>
      <c r="AI3" s="78">
        <v>43.98</v>
      </c>
      <c r="AJ3" s="78">
        <v>43.98</v>
      </c>
      <c r="AK3" s="78">
        <v>43.98</v>
      </c>
      <c r="AL3" s="78">
        <v>43.98</v>
      </c>
      <c r="AM3" s="78">
        <v>43.98</v>
      </c>
      <c r="AN3" s="78">
        <v>43.98</v>
      </c>
      <c r="AO3" s="78">
        <v>43.98</v>
      </c>
      <c r="AP3" s="78">
        <v>43.98</v>
      </c>
      <c r="AQ3" s="78">
        <v>43.98</v>
      </c>
      <c r="AR3" s="78">
        <v>43.98</v>
      </c>
      <c r="AS3" s="78">
        <v>43.98</v>
      </c>
      <c r="AT3" s="78">
        <v>43.98</v>
      </c>
      <c r="AU3" s="78">
        <v>43.98</v>
      </c>
      <c r="AV3" s="78">
        <v>43.98</v>
      </c>
      <c r="AW3" s="78">
        <v>43.98</v>
      </c>
      <c r="AX3" s="78">
        <v>43.98</v>
      </c>
      <c r="AY3" s="78">
        <v>43.98</v>
      </c>
    </row>
    <row r="4" spans="1:52" ht="14.25" customHeight="1">
      <c r="A4" s="6" t="s">
        <v>45</v>
      </c>
      <c r="B4" s="76"/>
      <c r="C4" s="76"/>
      <c r="D4" s="76"/>
      <c r="E4" s="76"/>
      <c r="F4" s="76"/>
      <c r="G4" s="76"/>
      <c r="H4" s="76"/>
      <c r="I4" s="76"/>
      <c r="J4" s="76"/>
      <c r="K4" s="76">
        <v>28.23</v>
      </c>
      <c r="L4" s="76"/>
      <c r="M4" s="76"/>
      <c r="N4" s="76"/>
      <c r="O4" s="76"/>
      <c r="P4" s="76"/>
      <c r="Q4" s="76"/>
      <c r="R4" s="76"/>
      <c r="S4" s="76"/>
      <c r="T4" s="76"/>
      <c r="U4" s="76">
        <v>28.23</v>
      </c>
      <c r="V4" s="76"/>
      <c r="W4" s="76"/>
      <c r="X4" s="76"/>
      <c r="Y4" s="77"/>
      <c r="Z4" s="76"/>
      <c r="AA4" s="76"/>
      <c r="AB4" s="76"/>
      <c r="AC4" s="76"/>
      <c r="AD4" s="76">
        <v>28.23</v>
      </c>
      <c r="AE4" s="76"/>
      <c r="AF4" s="76"/>
      <c r="AG4" s="76"/>
      <c r="AH4" s="76"/>
      <c r="AI4" s="76"/>
      <c r="AJ4" s="76"/>
      <c r="AK4" s="76">
        <v>28.23</v>
      </c>
      <c r="AL4" s="76"/>
      <c r="AM4" s="76"/>
      <c r="AN4" s="76"/>
      <c r="AO4" s="76"/>
      <c r="AP4" s="76"/>
      <c r="AQ4" s="76">
        <v>28.23</v>
      </c>
      <c r="AR4" s="76"/>
      <c r="AS4" s="76"/>
      <c r="AT4" s="76"/>
      <c r="AU4" s="76"/>
      <c r="AV4" s="76"/>
      <c r="AW4" s="76">
        <v>28.23</v>
      </c>
      <c r="AX4" s="76"/>
      <c r="AY4" s="76"/>
    </row>
    <row r="5" spans="1:52" ht="14.25" customHeight="1">
      <c r="A5" s="6" t="s">
        <v>46</v>
      </c>
      <c r="B5" s="76"/>
      <c r="C5" s="76"/>
      <c r="D5" s="76"/>
      <c r="E5" s="76"/>
      <c r="F5" s="76"/>
      <c r="G5" s="76"/>
      <c r="H5" s="76"/>
      <c r="I5" s="76"/>
      <c r="J5" s="76"/>
      <c r="K5" s="76">
        <v>26.61</v>
      </c>
      <c r="L5" s="76"/>
      <c r="M5" s="76"/>
      <c r="N5" s="76"/>
      <c r="O5" s="76"/>
      <c r="P5" s="76"/>
      <c r="Q5" s="76"/>
      <c r="R5" s="76"/>
      <c r="S5" s="76"/>
      <c r="T5" s="76"/>
      <c r="U5" s="76">
        <v>26.61</v>
      </c>
      <c r="V5" s="76"/>
      <c r="W5" s="76"/>
      <c r="X5" s="76"/>
      <c r="Y5" s="77"/>
      <c r="Z5" s="76"/>
      <c r="AA5" s="76"/>
      <c r="AB5" s="76"/>
      <c r="AC5" s="76"/>
      <c r="AD5" s="76"/>
      <c r="AE5" s="76">
        <v>26.61</v>
      </c>
      <c r="AF5" s="76"/>
      <c r="AG5" s="76"/>
      <c r="AH5" s="76"/>
      <c r="AI5" s="76"/>
      <c r="AJ5" s="76"/>
      <c r="AK5" s="76">
        <v>26.61</v>
      </c>
      <c r="AL5" s="76"/>
      <c r="AM5" s="76"/>
      <c r="AN5" s="76"/>
      <c r="AO5" s="76"/>
      <c r="AP5" s="76"/>
      <c r="AQ5" s="76">
        <v>26.61</v>
      </c>
      <c r="AR5" s="76"/>
      <c r="AS5" s="76"/>
      <c r="AT5" s="76"/>
      <c r="AU5" s="76"/>
      <c r="AV5" s="76"/>
      <c r="AW5" s="76">
        <v>26.61</v>
      </c>
      <c r="AX5" s="76"/>
      <c r="AY5" s="76">
        <v>26.61</v>
      </c>
    </row>
    <row r="6" spans="1:52" ht="14.25" customHeight="1">
      <c r="A6" s="6" t="s">
        <v>47</v>
      </c>
      <c r="B6" s="76"/>
      <c r="C6" s="76"/>
      <c r="D6" s="76"/>
      <c r="E6" s="76"/>
      <c r="F6" s="76"/>
      <c r="G6" s="76"/>
      <c r="H6" s="76"/>
      <c r="I6" s="76"/>
      <c r="J6" s="76"/>
      <c r="K6" s="76">
        <v>26.61</v>
      </c>
      <c r="L6" s="76"/>
      <c r="M6" s="76"/>
      <c r="N6" s="76"/>
      <c r="O6" s="76"/>
      <c r="P6" s="76"/>
      <c r="Q6" s="76"/>
      <c r="R6" s="76"/>
      <c r="S6" s="76"/>
      <c r="T6" s="76"/>
      <c r="U6" s="76">
        <v>26.61</v>
      </c>
      <c r="V6" s="76"/>
      <c r="W6" s="76"/>
      <c r="X6" s="76"/>
      <c r="Y6" s="77"/>
      <c r="Z6" s="76"/>
      <c r="AA6" s="76"/>
      <c r="AB6" s="76"/>
      <c r="AC6" s="76"/>
      <c r="AD6" s="76"/>
      <c r="AE6" s="76">
        <v>26.61</v>
      </c>
      <c r="AF6" s="76"/>
      <c r="AG6" s="76"/>
      <c r="AH6" s="76"/>
      <c r="AI6" s="76"/>
      <c r="AJ6" s="76"/>
      <c r="AK6" s="76">
        <v>26.61</v>
      </c>
      <c r="AL6" s="76"/>
      <c r="AM6" s="76"/>
      <c r="AN6" s="76"/>
      <c r="AO6" s="76"/>
      <c r="AP6" s="76"/>
      <c r="AQ6" s="76">
        <v>26.61</v>
      </c>
      <c r="AR6" s="76"/>
      <c r="AS6" s="76"/>
      <c r="AT6" s="76"/>
      <c r="AU6" s="76"/>
      <c r="AV6" s="76"/>
      <c r="AW6" s="76">
        <v>26.61</v>
      </c>
      <c r="AX6" s="76"/>
      <c r="AY6" s="76">
        <v>26.61</v>
      </c>
    </row>
    <row r="7" spans="1:52" ht="14.25" customHeight="1">
      <c r="A7" s="6" t="s">
        <v>48</v>
      </c>
      <c r="B7" s="76"/>
      <c r="C7" s="76"/>
      <c r="D7" s="76"/>
      <c r="E7" s="76"/>
      <c r="F7" s="76"/>
      <c r="G7" s="76"/>
      <c r="H7" s="76"/>
      <c r="I7" s="76"/>
      <c r="J7" s="76"/>
      <c r="K7" s="76">
        <v>26.13</v>
      </c>
      <c r="L7" s="76"/>
      <c r="M7" s="76"/>
      <c r="N7" s="76"/>
      <c r="O7" s="76"/>
      <c r="P7" s="76"/>
      <c r="Q7" s="76"/>
      <c r="R7" s="76"/>
      <c r="S7" s="76"/>
      <c r="T7" s="76"/>
      <c r="U7" s="76">
        <v>26.13</v>
      </c>
      <c r="V7" s="76"/>
      <c r="W7" s="76"/>
      <c r="X7" s="76"/>
      <c r="Y7" s="77"/>
      <c r="Z7" s="76"/>
      <c r="AA7" s="76"/>
      <c r="AB7" s="76"/>
      <c r="AC7" s="76"/>
      <c r="AD7" s="76"/>
      <c r="AE7" s="76">
        <v>26.13</v>
      </c>
      <c r="AF7" s="76"/>
      <c r="AG7" s="76"/>
      <c r="AH7" s="76"/>
      <c r="AI7" s="76"/>
      <c r="AJ7" s="76"/>
      <c r="AK7" s="76">
        <v>26.13</v>
      </c>
      <c r="AL7" s="76"/>
      <c r="AM7" s="76"/>
      <c r="AN7" s="76"/>
      <c r="AO7" s="76"/>
      <c r="AP7" s="76"/>
      <c r="AQ7" s="76">
        <v>26.13</v>
      </c>
      <c r="AR7" s="76"/>
      <c r="AS7" s="76"/>
      <c r="AT7" s="76"/>
      <c r="AU7" s="76"/>
      <c r="AV7" s="76"/>
      <c r="AW7" s="76">
        <v>26.13</v>
      </c>
      <c r="AX7" s="76"/>
      <c r="AY7" s="76">
        <v>26.13</v>
      </c>
    </row>
    <row r="8" spans="1:52" ht="14.25" customHeight="1">
      <c r="A8" s="6" t="s">
        <v>19</v>
      </c>
      <c r="B8" s="76"/>
      <c r="C8" s="76"/>
      <c r="D8" s="76"/>
      <c r="E8" s="76"/>
      <c r="F8" s="76"/>
      <c r="G8" s="76"/>
      <c r="H8" s="76"/>
      <c r="I8" s="76"/>
      <c r="J8" s="76"/>
      <c r="K8" s="76">
        <v>8.7100000000000009</v>
      </c>
      <c r="L8" s="76"/>
      <c r="M8" s="76"/>
      <c r="N8" s="76"/>
      <c r="O8" s="76"/>
      <c r="P8" s="76"/>
      <c r="Q8" s="76"/>
      <c r="R8" s="76"/>
      <c r="S8" s="76"/>
      <c r="T8" s="76"/>
      <c r="U8" s="76">
        <v>8.7100000000000009</v>
      </c>
      <c r="V8" s="76"/>
      <c r="W8" s="76"/>
      <c r="X8" s="76"/>
      <c r="Y8" s="77"/>
      <c r="Z8" s="76">
        <v>8.7100000000000009</v>
      </c>
      <c r="AA8" s="76"/>
      <c r="AB8" s="76"/>
      <c r="AC8" s="76"/>
      <c r="AD8" s="76"/>
      <c r="AE8" s="76">
        <v>8.7100000000000009</v>
      </c>
      <c r="AF8" s="76"/>
      <c r="AG8" s="76"/>
      <c r="AH8" s="76"/>
      <c r="AI8" s="76"/>
      <c r="AJ8" s="76"/>
      <c r="AK8" s="76"/>
      <c r="AL8" s="76"/>
      <c r="AM8" s="76"/>
      <c r="AN8" s="76"/>
      <c r="AO8" s="76">
        <v>8.7100000000000009</v>
      </c>
      <c r="AP8" s="76"/>
      <c r="AQ8" s="76"/>
      <c r="AR8" s="76"/>
      <c r="AS8" s="76"/>
      <c r="AT8" s="76"/>
      <c r="AU8" s="76"/>
      <c r="AV8" s="76"/>
      <c r="AW8" s="76"/>
      <c r="AX8" s="76"/>
      <c r="AY8" s="76">
        <v>8.7100000000000009</v>
      </c>
    </row>
    <row r="9" spans="1:52" ht="14.25" customHeight="1">
      <c r="A9" s="36" t="s">
        <v>49</v>
      </c>
      <c r="B9" s="79"/>
      <c r="C9" s="79"/>
      <c r="D9" s="79"/>
      <c r="E9" s="79"/>
      <c r="F9" s="79"/>
      <c r="G9" s="79"/>
      <c r="H9" s="79"/>
      <c r="I9" s="79"/>
      <c r="J9" s="79"/>
      <c r="K9" s="79">
        <v>35.44</v>
      </c>
      <c r="L9" s="79"/>
      <c r="M9" s="79"/>
      <c r="N9" s="79"/>
      <c r="O9" s="79"/>
      <c r="P9" s="79"/>
      <c r="Q9" s="79"/>
      <c r="R9" s="79"/>
      <c r="S9" s="79"/>
      <c r="T9" s="79"/>
      <c r="U9" s="79">
        <v>35.44</v>
      </c>
      <c r="V9" s="79"/>
      <c r="W9" s="79"/>
      <c r="X9" s="79"/>
      <c r="Y9" s="80"/>
      <c r="Z9" s="79">
        <v>35.44</v>
      </c>
      <c r="AA9" s="79"/>
      <c r="AB9" s="79"/>
      <c r="AC9" s="79"/>
      <c r="AD9" s="79"/>
      <c r="AE9" s="79">
        <v>35.44</v>
      </c>
      <c r="AF9" s="79"/>
      <c r="AG9" s="79"/>
      <c r="AH9" s="79"/>
      <c r="AI9" s="79"/>
      <c r="AJ9" s="79">
        <v>35.44</v>
      </c>
      <c r="AK9" s="79"/>
      <c r="AL9" s="79"/>
      <c r="AM9" s="79"/>
      <c r="AN9" s="79"/>
      <c r="AO9" s="79">
        <v>35.44</v>
      </c>
      <c r="AP9" s="79"/>
      <c r="AQ9" s="79"/>
      <c r="AR9" s="79"/>
      <c r="AS9" s="79"/>
      <c r="AT9" s="79"/>
      <c r="AU9" s="79"/>
      <c r="AV9" s="79"/>
      <c r="AW9" s="79"/>
      <c r="AX9" s="79"/>
      <c r="AY9" s="79">
        <v>35.44</v>
      </c>
    </row>
    <row r="10" spans="1:52" ht="14.25" customHeight="1">
      <c r="A10" s="36" t="s">
        <v>50</v>
      </c>
      <c r="B10" s="79"/>
      <c r="C10" s="79"/>
      <c r="D10" s="79"/>
      <c r="E10" s="79"/>
      <c r="F10" s="79"/>
      <c r="G10" s="79">
        <v>18</v>
      </c>
      <c r="H10" s="79"/>
      <c r="I10" s="79"/>
      <c r="J10" s="79"/>
      <c r="K10" s="79"/>
      <c r="L10" s="79"/>
      <c r="M10" s="79">
        <v>18</v>
      </c>
      <c r="N10" s="79"/>
      <c r="O10" s="79"/>
      <c r="P10" s="79"/>
      <c r="Q10" s="79"/>
      <c r="R10" s="79"/>
      <c r="S10" s="79">
        <v>18</v>
      </c>
      <c r="T10" s="79"/>
      <c r="U10" s="79"/>
      <c r="V10" s="79"/>
      <c r="W10" s="79"/>
      <c r="X10" s="79"/>
      <c r="Y10" s="79">
        <v>18</v>
      </c>
      <c r="Z10" s="79"/>
      <c r="AA10" s="79"/>
      <c r="AB10" s="79"/>
      <c r="AC10" s="79"/>
      <c r="AD10" s="79"/>
      <c r="AE10" s="79">
        <v>18</v>
      </c>
      <c r="AF10" s="79"/>
      <c r="AG10" s="79"/>
      <c r="AH10" s="79"/>
      <c r="AI10" s="79"/>
      <c r="AJ10" s="79"/>
      <c r="AK10" s="79">
        <v>18</v>
      </c>
      <c r="AL10" s="79"/>
      <c r="AM10" s="79"/>
      <c r="AN10" s="79"/>
      <c r="AO10" s="79"/>
      <c r="AP10" s="79"/>
      <c r="AQ10" s="79">
        <v>18</v>
      </c>
      <c r="AR10" s="79"/>
      <c r="AS10" s="79"/>
      <c r="AT10" s="79"/>
      <c r="AU10" s="79"/>
      <c r="AV10" s="79"/>
      <c r="AW10" s="79">
        <v>18</v>
      </c>
      <c r="AX10" s="79"/>
      <c r="AY10" s="79"/>
    </row>
    <row r="11" spans="1:52" ht="14.25" customHeight="1">
      <c r="A11" s="81" t="s">
        <v>51</v>
      </c>
      <c r="B11" s="82">
        <f t="shared" ref="B11:AY11" si="0">SUM(B3:B10)</f>
        <v>43.98</v>
      </c>
      <c r="C11" s="82">
        <f t="shared" si="0"/>
        <v>43.98</v>
      </c>
      <c r="D11" s="82">
        <f t="shared" si="0"/>
        <v>43.98</v>
      </c>
      <c r="E11" s="82">
        <f t="shared" si="0"/>
        <v>43.98</v>
      </c>
      <c r="F11" s="82">
        <f t="shared" si="0"/>
        <v>43.98</v>
      </c>
      <c r="G11" s="82">
        <f t="shared" si="0"/>
        <v>61.98</v>
      </c>
      <c r="H11" s="82">
        <f t="shared" si="0"/>
        <v>43.98</v>
      </c>
      <c r="I11" s="82">
        <f t="shared" si="0"/>
        <v>43.98</v>
      </c>
      <c r="J11" s="82">
        <f t="shared" si="0"/>
        <v>43.98</v>
      </c>
      <c r="K11" s="82">
        <f t="shared" si="0"/>
        <v>195.71</v>
      </c>
      <c r="L11" s="82">
        <f t="shared" si="0"/>
        <v>43.98</v>
      </c>
      <c r="M11" s="82">
        <f t="shared" si="0"/>
        <v>61.98</v>
      </c>
      <c r="N11" s="82">
        <f t="shared" si="0"/>
        <v>43.98</v>
      </c>
      <c r="O11" s="82">
        <f t="shared" si="0"/>
        <v>43.98</v>
      </c>
      <c r="P11" s="82">
        <f t="shared" si="0"/>
        <v>43.98</v>
      </c>
      <c r="Q11" s="82">
        <f t="shared" si="0"/>
        <v>43.98</v>
      </c>
      <c r="R11" s="82">
        <f t="shared" si="0"/>
        <v>43.98</v>
      </c>
      <c r="S11" s="82">
        <f t="shared" si="0"/>
        <v>61.98</v>
      </c>
      <c r="T11" s="82">
        <f t="shared" si="0"/>
        <v>43.98</v>
      </c>
      <c r="U11" s="82">
        <f t="shared" si="0"/>
        <v>195.71</v>
      </c>
      <c r="V11" s="82">
        <f t="shared" si="0"/>
        <v>43.98</v>
      </c>
      <c r="W11" s="82">
        <f t="shared" si="0"/>
        <v>43.98</v>
      </c>
      <c r="X11" s="82">
        <f t="shared" si="0"/>
        <v>43.98</v>
      </c>
      <c r="Y11" s="82">
        <f t="shared" si="0"/>
        <v>61.98</v>
      </c>
      <c r="Z11" s="82">
        <f t="shared" si="0"/>
        <v>88.13</v>
      </c>
      <c r="AA11" s="82">
        <f t="shared" si="0"/>
        <v>43.98</v>
      </c>
      <c r="AB11" s="82">
        <f t="shared" si="0"/>
        <v>43.98</v>
      </c>
      <c r="AC11" s="82">
        <f t="shared" si="0"/>
        <v>43.98</v>
      </c>
      <c r="AD11" s="82">
        <f t="shared" si="0"/>
        <v>72.209999999999994</v>
      </c>
      <c r="AE11" s="82">
        <f t="shared" si="0"/>
        <v>185.48</v>
      </c>
      <c r="AF11" s="82">
        <f t="shared" si="0"/>
        <v>43.98</v>
      </c>
      <c r="AG11" s="82">
        <f t="shared" si="0"/>
        <v>43.98</v>
      </c>
      <c r="AH11" s="82">
        <f t="shared" si="0"/>
        <v>43.98</v>
      </c>
      <c r="AI11" s="82">
        <f t="shared" si="0"/>
        <v>43.98</v>
      </c>
      <c r="AJ11" s="82">
        <f t="shared" si="0"/>
        <v>79.419999999999987</v>
      </c>
      <c r="AK11" s="82">
        <f t="shared" si="0"/>
        <v>169.56</v>
      </c>
      <c r="AL11" s="82">
        <f t="shared" si="0"/>
        <v>43.98</v>
      </c>
      <c r="AM11" s="82">
        <f t="shared" si="0"/>
        <v>43.98</v>
      </c>
      <c r="AN11" s="82">
        <f t="shared" si="0"/>
        <v>43.98</v>
      </c>
      <c r="AO11" s="82">
        <f t="shared" si="0"/>
        <v>88.13</v>
      </c>
      <c r="AP11" s="82">
        <f t="shared" si="0"/>
        <v>43.98</v>
      </c>
      <c r="AQ11" s="82">
        <f t="shared" si="0"/>
        <v>169.56</v>
      </c>
      <c r="AR11" s="82">
        <f t="shared" si="0"/>
        <v>43.98</v>
      </c>
      <c r="AS11" s="82">
        <f t="shared" si="0"/>
        <v>43.98</v>
      </c>
      <c r="AT11" s="82">
        <f t="shared" si="0"/>
        <v>43.98</v>
      </c>
      <c r="AU11" s="82">
        <f t="shared" si="0"/>
        <v>43.98</v>
      </c>
      <c r="AV11" s="82">
        <f t="shared" si="0"/>
        <v>43.98</v>
      </c>
      <c r="AW11" s="82">
        <f t="shared" si="0"/>
        <v>169.56</v>
      </c>
      <c r="AX11" s="82">
        <f t="shared" si="0"/>
        <v>43.98</v>
      </c>
      <c r="AY11" s="82">
        <f t="shared" si="0"/>
        <v>167.48</v>
      </c>
      <c r="AZ11" s="83">
        <f>SUM(B11:AY11)</f>
        <v>3368.1700000000005</v>
      </c>
    </row>
    <row r="12" spans="1:52" ht="14.25" customHeight="1">
      <c r="A12" s="6" t="s">
        <v>4</v>
      </c>
      <c r="B12" s="76">
        <f t="shared" ref="B12:AY12" si="1">7.07+1.5</f>
        <v>8.57</v>
      </c>
      <c r="C12" s="76">
        <f t="shared" si="1"/>
        <v>8.57</v>
      </c>
      <c r="D12" s="76">
        <f t="shared" si="1"/>
        <v>8.57</v>
      </c>
      <c r="E12" s="76">
        <f t="shared" si="1"/>
        <v>8.57</v>
      </c>
      <c r="F12" s="76">
        <f t="shared" si="1"/>
        <v>8.57</v>
      </c>
      <c r="G12" s="76">
        <f t="shared" si="1"/>
        <v>8.57</v>
      </c>
      <c r="H12" s="76">
        <f t="shared" si="1"/>
        <v>8.57</v>
      </c>
      <c r="I12" s="76">
        <f t="shared" si="1"/>
        <v>8.57</v>
      </c>
      <c r="J12" s="76">
        <f t="shared" si="1"/>
        <v>8.57</v>
      </c>
      <c r="K12" s="76">
        <f t="shared" si="1"/>
        <v>8.57</v>
      </c>
      <c r="L12" s="76">
        <f t="shared" si="1"/>
        <v>8.57</v>
      </c>
      <c r="M12" s="76">
        <f t="shared" si="1"/>
        <v>8.57</v>
      </c>
      <c r="N12" s="76">
        <f t="shared" si="1"/>
        <v>8.57</v>
      </c>
      <c r="O12" s="76">
        <f t="shared" si="1"/>
        <v>8.57</v>
      </c>
      <c r="P12" s="76">
        <f t="shared" si="1"/>
        <v>8.57</v>
      </c>
      <c r="Q12" s="76">
        <f t="shared" si="1"/>
        <v>8.57</v>
      </c>
      <c r="R12" s="76">
        <f t="shared" si="1"/>
        <v>8.57</v>
      </c>
      <c r="S12" s="76">
        <f t="shared" si="1"/>
        <v>8.57</v>
      </c>
      <c r="T12" s="76">
        <f t="shared" si="1"/>
        <v>8.57</v>
      </c>
      <c r="U12" s="76">
        <f t="shared" si="1"/>
        <v>8.57</v>
      </c>
      <c r="V12" s="76">
        <f t="shared" si="1"/>
        <v>8.57</v>
      </c>
      <c r="W12" s="76">
        <f t="shared" si="1"/>
        <v>8.57</v>
      </c>
      <c r="X12" s="76">
        <f t="shared" si="1"/>
        <v>8.57</v>
      </c>
      <c r="Y12" s="76">
        <f t="shared" si="1"/>
        <v>8.57</v>
      </c>
      <c r="Z12" s="76">
        <f t="shared" si="1"/>
        <v>8.57</v>
      </c>
      <c r="AA12" s="76">
        <f t="shared" si="1"/>
        <v>8.57</v>
      </c>
      <c r="AB12" s="76">
        <f t="shared" si="1"/>
        <v>8.57</v>
      </c>
      <c r="AC12" s="76">
        <f t="shared" si="1"/>
        <v>8.57</v>
      </c>
      <c r="AD12" s="76">
        <f t="shared" si="1"/>
        <v>8.57</v>
      </c>
      <c r="AE12" s="76">
        <f t="shared" si="1"/>
        <v>8.57</v>
      </c>
      <c r="AF12" s="76">
        <f t="shared" si="1"/>
        <v>8.57</v>
      </c>
      <c r="AG12" s="76">
        <f t="shared" si="1"/>
        <v>8.57</v>
      </c>
      <c r="AH12" s="76">
        <f t="shared" si="1"/>
        <v>8.57</v>
      </c>
      <c r="AI12" s="76">
        <f t="shared" si="1"/>
        <v>8.57</v>
      </c>
      <c r="AJ12" s="76">
        <f t="shared" si="1"/>
        <v>8.57</v>
      </c>
      <c r="AK12" s="76">
        <f t="shared" si="1"/>
        <v>8.57</v>
      </c>
      <c r="AL12" s="76">
        <f t="shared" si="1"/>
        <v>8.57</v>
      </c>
      <c r="AM12" s="76">
        <f t="shared" si="1"/>
        <v>8.57</v>
      </c>
      <c r="AN12" s="76">
        <f t="shared" si="1"/>
        <v>8.57</v>
      </c>
      <c r="AO12" s="76">
        <f t="shared" si="1"/>
        <v>8.57</v>
      </c>
      <c r="AP12" s="76">
        <f t="shared" si="1"/>
        <v>8.57</v>
      </c>
      <c r="AQ12" s="76">
        <f t="shared" si="1"/>
        <v>8.57</v>
      </c>
      <c r="AR12" s="76">
        <f t="shared" si="1"/>
        <v>8.57</v>
      </c>
      <c r="AS12" s="76">
        <f t="shared" si="1"/>
        <v>8.57</v>
      </c>
      <c r="AT12" s="76">
        <f t="shared" si="1"/>
        <v>8.57</v>
      </c>
      <c r="AU12" s="76">
        <f t="shared" si="1"/>
        <v>8.57</v>
      </c>
      <c r="AV12" s="76">
        <f t="shared" si="1"/>
        <v>8.57</v>
      </c>
      <c r="AW12" s="76">
        <f t="shared" si="1"/>
        <v>8.57</v>
      </c>
      <c r="AX12" s="76">
        <f t="shared" si="1"/>
        <v>8.57</v>
      </c>
      <c r="AY12" s="76">
        <f t="shared" si="1"/>
        <v>8.57</v>
      </c>
    </row>
    <row r="13" spans="1:52" ht="14.25" customHeight="1">
      <c r="A13" s="6" t="s">
        <v>5</v>
      </c>
      <c r="B13" s="76">
        <f t="shared" ref="B13:AY13" si="2">6.5+1.5</f>
        <v>8</v>
      </c>
      <c r="C13" s="76">
        <f t="shared" si="2"/>
        <v>8</v>
      </c>
      <c r="D13" s="76">
        <f t="shared" si="2"/>
        <v>8</v>
      </c>
      <c r="E13" s="76">
        <f t="shared" si="2"/>
        <v>8</v>
      </c>
      <c r="F13" s="76">
        <f t="shared" si="2"/>
        <v>8</v>
      </c>
      <c r="G13" s="76">
        <f t="shared" si="2"/>
        <v>8</v>
      </c>
      <c r="H13" s="76">
        <f t="shared" si="2"/>
        <v>8</v>
      </c>
      <c r="I13" s="76">
        <f t="shared" si="2"/>
        <v>8</v>
      </c>
      <c r="J13" s="76">
        <f t="shared" si="2"/>
        <v>8</v>
      </c>
      <c r="K13" s="76">
        <f t="shared" si="2"/>
        <v>8</v>
      </c>
      <c r="L13" s="76">
        <f t="shared" si="2"/>
        <v>8</v>
      </c>
      <c r="M13" s="76">
        <f t="shared" si="2"/>
        <v>8</v>
      </c>
      <c r="N13" s="76">
        <f t="shared" si="2"/>
        <v>8</v>
      </c>
      <c r="O13" s="76">
        <f t="shared" si="2"/>
        <v>8</v>
      </c>
      <c r="P13" s="76">
        <f t="shared" si="2"/>
        <v>8</v>
      </c>
      <c r="Q13" s="76">
        <f t="shared" si="2"/>
        <v>8</v>
      </c>
      <c r="R13" s="76">
        <f t="shared" si="2"/>
        <v>8</v>
      </c>
      <c r="S13" s="76">
        <f t="shared" si="2"/>
        <v>8</v>
      </c>
      <c r="T13" s="76">
        <f t="shared" si="2"/>
        <v>8</v>
      </c>
      <c r="U13" s="76">
        <f t="shared" si="2"/>
        <v>8</v>
      </c>
      <c r="V13" s="76">
        <f t="shared" si="2"/>
        <v>8</v>
      </c>
      <c r="W13" s="76">
        <f t="shared" si="2"/>
        <v>8</v>
      </c>
      <c r="X13" s="76">
        <f t="shared" si="2"/>
        <v>8</v>
      </c>
      <c r="Y13" s="76">
        <f t="shared" si="2"/>
        <v>8</v>
      </c>
      <c r="Z13" s="76">
        <f t="shared" si="2"/>
        <v>8</v>
      </c>
      <c r="AA13" s="76">
        <f t="shared" si="2"/>
        <v>8</v>
      </c>
      <c r="AB13" s="76">
        <f t="shared" si="2"/>
        <v>8</v>
      </c>
      <c r="AC13" s="76">
        <f t="shared" si="2"/>
        <v>8</v>
      </c>
      <c r="AD13" s="76">
        <f t="shared" si="2"/>
        <v>8</v>
      </c>
      <c r="AE13" s="76">
        <f t="shared" si="2"/>
        <v>8</v>
      </c>
      <c r="AF13" s="76">
        <f t="shared" si="2"/>
        <v>8</v>
      </c>
      <c r="AG13" s="76">
        <f t="shared" si="2"/>
        <v>8</v>
      </c>
      <c r="AH13" s="76">
        <f t="shared" si="2"/>
        <v>8</v>
      </c>
      <c r="AI13" s="76">
        <f t="shared" si="2"/>
        <v>8</v>
      </c>
      <c r="AJ13" s="76">
        <f t="shared" si="2"/>
        <v>8</v>
      </c>
      <c r="AK13" s="76">
        <f t="shared" si="2"/>
        <v>8</v>
      </c>
      <c r="AL13" s="76">
        <f t="shared" si="2"/>
        <v>8</v>
      </c>
      <c r="AM13" s="76">
        <f t="shared" si="2"/>
        <v>8</v>
      </c>
      <c r="AN13" s="76">
        <f t="shared" si="2"/>
        <v>8</v>
      </c>
      <c r="AO13" s="76">
        <f t="shared" si="2"/>
        <v>8</v>
      </c>
      <c r="AP13" s="76">
        <f t="shared" si="2"/>
        <v>8</v>
      </c>
      <c r="AQ13" s="76">
        <f t="shared" si="2"/>
        <v>8</v>
      </c>
      <c r="AR13" s="76">
        <f t="shared" si="2"/>
        <v>8</v>
      </c>
      <c r="AS13" s="76">
        <f t="shared" si="2"/>
        <v>8</v>
      </c>
      <c r="AT13" s="76">
        <f t="shared" si="2"/>
        <v>8</v>
      </c>
      <c r="AU13" s="76">
        <f t="shared" si="2"/>
        <v>8</v>
      </c>
      <c r="AV13" s="76">
        <f t="shared" si="2"/>
        <v>8</v>
      </c>
      <c r="AW13" s="76">
        <f t="shared" si="2"/>
        <v>8</v>
      </c>
      <c r="AX13" s="76">
        <f t="shared" si="2"/>
        <v>8</v>
      </c>
      <c r="AY13" s="76">
        <f t="shared" si="2"/>
        <v>8</v>
      </c>
    </row>
    <row r="14" spans="1:52" ht="14.25" customHeight="1">
      <c r="A14" s="6" t="s">
        <v>6</v>
      </c>
      <c r="B14" s="76">
        <f t="shared" ref="B14:AY14" si="3">19.09+1.5</f>
        <v>20.59</v>
      </c>
      <c r="C14" s="76">
        <f t="shared" si="3"/>
        <v>20.59</v>
      </c>
      <c r="D14" s="76">
        <f t="shared" si="3"/>
        <v>20.59</v>
      </c>
      <c r="E14" s="76">
        <f t="shared" si="3"/>
        <v>20.59</v>
      </c>
      <c r="F14" s="76">
        <f t="shared" si="3"/>
        <v>20.59</v>
      </c>
      <c r="G14" s="76">
        <f t="shared" si="3"/>
        <v>20.59</v>
      </c>
      <c r="H14" s="76">
        <f t="shared" si="3"/>
        <v>20.59</v>
      </c>
      <c r="I14" s="76">
        <f t="shared" si="3"/>
        <v>20.59</v>
      </c>
      <c r="J14" s="76">
        <f t="shared" si="3"/>
        <v>20.59</v>
      </c>
      <c r="K14" s="76">
        <f t="shared" si="3"/>
        <v>20.59</v>
      </c>
      <c r="L14" s="76">
        <f t="shared" si="3"/>
        <v>20.59</v>
      </c>
      <c r="M14" s="76">
        <f t="shared" si="3"/>
        <v>20.59</v>
      </c>
      <c r="N14" s="76">
        <f t="shared" si="3"/>
        <v>20.59</v>
      </c>
      <c r="O14" s="76">
        <f t="shared" si="3"/>
        <v>20.59</v>
      </c>
      <c r="P14" s="76">
        <f t="shared" si="3"/>
        <v>20.59</v>
      </c>
      <c r="Q14" s="76">
        <f t="shared" si="3"/>
        <v>20.59</v>
      </c>
      <c r="R14" s="76">
        <f t="shared" si="3"/>
        <v>20.59</v>
      </c>
      <c r="S14" s="76">
        <f t="shared" si="3"/>
        <v>20.59</v>
      </c>
      <c r="T14" s="76">
        <f t="shared" si="3"/>
        <v>20.59</v>
      </c>
      <c r="U14" s="76">
        <f t="shared" si="3"/>
        <v>20.59</v>
      </c>
      <c r="V14" s="76">
        <f t="shared" si="3"/>
        <v>20.59</v>
      </c>
      <c r="W14" s="76">
        <f t="shared" si="3"/>
        <v>20.59</v>
      </c>
      <c r="X14" s="76">
        <f t="shared" si="3"/>
        <v>20.59</v>
      </c>
      <c r="Y14" s="76">
        <f t="shared" si="3"/>
        <v>20.59</v>
      </c>
      <c r="Z14" s="76">
        <f t="shared" si="3"/>
        <v>20.59</v>
      </c>
      <c r="AA14" s="76">
        <f t="shared" si="3"/>
        <v>20.59</v>
      </c>
      <c r="AB14" s="76">
        <f t="shared" si="3"/>
        <v>20.59</v>
      </c>
      <c r="AC14" s="76">
        <f t="shared" si="3"/>
        <v>20.59</v>
      </c>
      <c r="AD14" s="76">
        <f t="shared" si="3"/>
        <v>20.59</v>
      </c>
      <c r="AE14" s="76">
        <f t="shared" si="3"/>
        <v>20.59</v>
      </c>
      <c r="AF14" s="76">
        <f t="shared" si="3"/>
        <v>20.59</v>
      </c>
      <c r="AG14" s="76">
        <f t="shared" si="3"/>
        <v>20.59</v>
      </c>
      <c r="AH14" s="76">
        <f t="shared" si="3"/>
        <v>20.59</v>
      </c>
      <c r="AI14" s="76">
        <f t="shared" si="3"/>
        <v>20.59</v>
      </c>
      <c r="AJ14" s="76">
        <f t="shared" si="3"/>
        <v>20.59</v>
      </c>
      <c r="AK14" s="76">
        <f t="shared" si="3"/>
        <v>20.59</v>
      </c>
      <c r="AL14" s="76">
        <f t="shared" si="3"/>
        <v>20.59</v>
      </c>
      <c r="AM14" s="76">
        <f t="shared" si="3"/>
        <v>20.59</v>
      </c>
      <c r="AN14" s="76">
        <f t="shared" si="3"/>
        <v>20.59</v>
      </c>
      <c r="AO14" s="76">
        <f t="shared" si="3"/>
        <v>20.59</v>
      </c>
      <c r="AP14" s="76">
        <f t="shared" si="3"/>
        <v>20.59</v>
      </c>
      <c r="AQ14" s="76">
        <f t="shared" si="3"/>
        <v>20.59</v>
      </c>
      <c r="AR14" s="76">
        <f t="shared" si="3"/>
        <v>20.59</v>
      </c>
      <c r="AS14" s="76">
        <f t="shared" si="3"/>
        <v>20.59</v>
      </c>
      <c r="AT14" s="76">
        <f t="shared" si="3"/>
        <v>20.59</v>
      </c>
      <c r="AU14" s="76">
        <f t="shared" si="3"/>
        <v>20.59</v>
      </c>
      <c r="AV14" s="76">
        <f t="shared" si="3"/>
        <v>20.59</v>
      </c>
      <c r="AW14" s="76">
        <f t="shared" si="3"/>
        <v>20.59</v>
      </c>
      <c r="AX14" s="76">
        <f t="shared" si="3"/>
        <v>20.59</v>
      </c>
      <c r="AY14" s="76">
        <f t="shared" si="3"/>
        <v>20.59</v>
      </c>
    </row>
    <row r="15" spans="1:52" ht="14.25" customHeight="1">
      <c r="A15" s="6" t="s">
        <v>7</v>
      </c>
      <c r="B15" s="76"/>
      <c r="C15" s="76">
        <v>10.45</v>
      </c>
      <c r="D15" s="76"/>
      <c r="E15" s="76">
        <v>10.45</v>
      </c>
      <c r="F15" s="76"/>
      <c r="G15" s="76">
        <v>10.45</v>
      </c>
      <c r="H15" s="76"/>
      <c r="I15" s="76">
        <v>10.45</v>
      </c>
      <c r="J15" s="76"/>
      <c r="K15" s="76">
        <v>10.45</v>
      </c>
      <c r="L15" s="76"/>
      <c r="M15" s="76">
        <v>10.45</v>
      </c>
      <c r="N15" s="76"/>
      <c r="O15" s="76">
        <v>10.45</v>
      </c>
      <c r="P15" s="76"/>
      <c r="Q15" s="76">
        <v>10.45</v>
      </c>
      <c r="R15" s="76"/>
      <c r="S15" s="76">
        <v>10.45</v>
      </c>
      <c r="T15" s="76"/>
      <c r="U15" s="76">
        <v>10.45</v>
      </c>
      <c r="V15" s="76"/>
      <c r="W15" s="76">
        <v>10.45</v>
      </c>
      <c r="X15" s="76"/>
      <c r="Y15" s="77">
        <v>10.45</v>
      </c>
      <c r="Z15" s="76"/>
      <c r="AA15" s="76">
        <v>10.45</v>
      </c>
      <c r="AB15" s="76"/>
      <c r="AC15" s="76">
        <v>10.45</v>
      </c>
      <c r="AD15" s="76"/>
      <c r="AE15" s="76">
        <v>10.45</v>
      </c>
      <c r="AF15" s="76"/>
      <c r="AG15" s="76">
        <v>10.45</v>
      </c>
      <c r="AH15" s="76"/>
      <c r="AI15" s="76">
        <v>10.45</v>
      </c>
      <c r="AJ15" s="76"/>
      <c r="AK15" s="76">
        <v>10.45</v>
      </c>
      <c r="AL15" s="76"/>
      <c r="AM15" s="76">
        <v>10.45</v>
      </c>
      <c r="AN15" s="76"/>
      <c r="AO15" s="76">
        <v>10.45</v>
      </c>
      <c r="AP15" s="76"/>
      <c r="AQ15" s="76">
        <v>10.45</v>
      </c>
      <c r="AR15" s="76"/>
      <c r="AS15" s="76">
        <v>10.45</v>
      </c>
      <c r="AT15" s="76"/>
      <c r="AU15" s="76">
        <v>10.45</v>
      </c>
      <c r="AV15" s="76"/>
      <c r="AW15" s="76">
        <v>10.45</v>
      </c>
      <c r="AX15" s="76"/>
      <c r="AY15" s="76">
        <v>10.45</v>
      </c>
    </row>
    <row r="16" spans="1:52" ht="14.25" customHeight="1">
      <c r="A16" s="6" t="s">
        <v>8</v>
      </c>
      <c r="B16" s="76"/>
      <c r="C16" s="76">
        <v>8.77</v>
      </c>
      <c r="D16" s="76"/>
      <c r="E16" s="76">
        <v>8.77</v>
      </c>
      <c r="F16" s="76"/>
      <c r="G16" s="76">
        <v>8.77</v>
      </c>
      <c r="H16" s="76"/>
      <c r="I16" s="76">
        <v>8.77</v>
      </c>
      <c r="J16" s="76"/>
      <c r="K16" s="76">
        <v>8.77</v>
      </c>
      <c r="L16" s="76"/>
      <c r="M16" s="76">
        <v>8.77</v>
      </c>
      <c r="N16" s="76"/>
      <c r="O16" s="76">
        <v>8.77</v>
      </c>
      <c r="P16" s="76"/>
      <c r="Q16" s="76">
        <v>8.77</v>
      </c>
      <c r="R16" s="76"/>
      <c r="S16" s="76">
        <v>8.77</v>
      </c>
      <c r="T16" s="76"/>
      <c r="U16" s="76">
        <v>8.77</v>
      </c>
      <c r="V16" s="76"/>
      <c r="W16" s="76">
        <v>8.77</v>
      </c>
      <c r="X16" s="76"/>
      <c r="Y16" s="77">
        <v>8.77</v>
      </c>
      <c r="Z16" s="76"/>
      <c r="AA16" s="76">
        <v>8.77</v>
      </c>
      <c r="AB16" s="76"/>
      <c r="AC16" s="76">
        <v>8.77</v>
      </c>
      <c r="AD16" s="76"/>
      <c r="AE16" s="76">
        <v>8.77</v>
      </c>
      <c r="AF16" s="76"/>
      <c r="AG16" s="76">
        <v>8.77</v>
      </c>
      <c r="AH16" s="76"/>
      <c r="AI16" s="76">
        <v>8.77</v>
      </c>
      <c r="AJ16" s="76"/>
      <c r="AK16" s="76">
        <v>8.77</v>
      </c>
      <c r="AL16" s="76"/>
      <c r="AM16" s="76">
        <v>8.77</v>
      </c>
      <c r="AN16" s="76"/>
      <c r="AO16" s="76">
        <v>8.77</v>
      </c>
      <c r="AP16" s="76"/>
      <c r="AQ16" s="76">
        <v>8.77</v>
      </c>
      <c r="AR16" s="76"/>
      <c r="AS16" s="76">
        <v>8.77</v>
      </c>
      <c r="AT16" s="76"/>
      <c r="AU16" s="76">
        <v>8.77</v>
      </c>
      <c r="AV16" s="76"/>
      <c r="AW16" s="76">
        <v>8.77</v>
      </c>
      <c r="AX16" s="76"/>
      <c r="AY16" s="76">
        <v>8.77</v>
      </c>
    </row>
    <row r="17" spans="1:51" ht="14.25" customHeight="1">
      <c r="A17" s="6" t="s">
        <v>9</v>
      </c>
      <c r="B17" s="76"/>
      <c r="C17" s="76">
        <v>29.16</v>
      </c>
      <c r="D17" s="76"/>
      <c r="E17" s="76">
        <v>29.16</v>
      </c>
      <c r="F17" s="76"/>
      <c r="G17" s="76">
        <v>29.16</v>
      </c>
      <c r="H17" s="76"/>
      <c r="I17" s="76">
        <v>29.16</v>
      </c>
      <c r="J17" s="76"/>
      <c r="K17" s="76">
        <v>29.16</v>
      </c>
      <c r="L17" s="76"/>
      <c r="M17" s="76">
        <v>29.16</v>
      </c>
      <c r="N17" s="76"/>
      <c r="O17" s="76">
        <v>29.16</v>
      </c>
      <c r="P17" s="76"/>
      <c r="Q17" s="76">
        <v>29.16</v>
      </c>
      <c r="R17" s="76"/>
      <c r="S17" s="76">
        <v>29.16</v>
      </c>
      <c r="T17" s="76"/>
      <c r="U17" s="76">
        <v>29.16</v>
      </c>
      <c r="V17" s="76"/>
      <c r="W17" s="76">
        <v>29.16</v>
      </c>
      <c r="X17" s="76"/>
      <c r="Y17" s="77">
        <v>29.16</v>
      </c>
      <c r="Z17" s="76"/>
      <c r="AA17" s="76">
        <v>29.16</v>
      </c>
      <c r="AB17" s="76"/>
      <c r="AC17" s="76">
        <v>29.16</v>
      </c>
      <c r="AD17" s="76"/>
      <c r="AE17" s="76">
        <v>29.16</v>
      </c>
      <c r="AF17" s="76"/>
      <c r="AG17" s="76">
        <v>29.16</v>
      </c>
      <c r="AH17" s="76"/>
      <c r="AI17" s="76">
        <v>29.16</v>
      </c>
      <c r="AJ17" s="76"/>
      <c r="AK17" s="76">
        <v>29.16</v>
      </c>
      <c r="AL17" s="76"/>
      <c r="AM17" s="76">
        <v>29.16</v>
      </c>
      <c r="AN17" s="76"/>
      <c r="AO17" s="76">
        <v>29.16</v>
      </c>
      <c r="AP17" s="76"/>
      <c r="AQ17" s="76">
        <v>29.16</v>
      </c>
      <c r="AR17" s="76"/>
      <c r="AS17" s="76">
        <v>29.16</v>
      </c>
      <c r="AT17" s="76"/>
      <c r="AU17" s="76">
        <v>29.16</v>
      </c>
      <c r="AV17" s="76"/>
      <c r="AW17" s="76">
        <v>29.16</v>
      </c>
      <c r="AX17" s="76"/>
      <c r="AY17" s="76">
        <v>29.16</v>
      </c>
    </row>
    <row r="18" spans="1:51" ht="14.25" customHeight="1">
      <c r="A18" s="6" t="s">
        <v>10</v>
      </c>
      <c r="B18" s="76"/>
      <c r="C18" s="76">
        <v>29.63</v>
      </c>
      <c r="D18" s="76"/>
      <c r="E18" s="76">
        <v>29.63</v>
      </c>
      <c r="F18" s="76"/>
      <c r="G18" s="76">
        <v>29.63</v>
      </c>
      <c r="H18" s="76"/>
      <c r="I18" s="76">
        <v>29.63</v>
      </c>
      <c r="J18" s="76"/>
      <c r="K18" s="76">
        <v>29.63</v>
      </c>
      <c r="L18" s="76"/>
      <c r="M18" s="76">
        <v>29.63</v>
      </c>
      <c r="N18" s="76"/>
      <c r="O18" s="76">
        <v>29.63</v>
      </c>
      <c r="P18" s="76"/>
      <c r="Q18" s="76">
        <v>29.63</v>
      </c>
      <c r="R18" s="76"/>
      <c r="S18" s="76">
        <v>29.63</v>
      </c>
      <c r="T18" s="76"/>
      <c r="U18" s="76">
        <v>29.63</v>
      </c>
      <c r="V18" s="76"/>
      <c r="W18" s="76">
        <v>29.63</v>
      </c>
      <c r="X18" s="76"/>
      <c r="Y18" s="77">
        <v>29.63</v>
      </c>
      <c r="Z18" s="76"/>
      <c r="AA18" s="76">
        <v>29.63</v>
      </c>
      <c r="AB18" s="76"/>
      <c r="AC18" s="76">
        <v>29.63</v>
      </c>
      <c r="AD18" s="76"/>
      <c r="AE18" s="76">
        <v>29.63</v>
      </c>
      <c r="AF18" s="76"/>
      <c r="AG18" s="76">
        <v>29.63</v>
      </c>
      <c r="AH18" s="76"/>
      <c r="AI18" s="76">
        <v>29.63</v>
      </c>
      <c r="AJ18" s="76"/>
      <c r="AK18" s="76">
        <v>29.63</v>
      </c>
      <c r="AL18" s="76"/>
      <c r="AM18" s="76">
        <v>29.63</v>
      </c>
      <c r="AN18" s="76"/>
      <c r="AO18" s="76">
        <v>29.63</v>
      </c>
      <c r="AP18" s="76"/>
      <c r="AQ18" s="76">
        <v>29.63</v>
      </c>
      <c r="AR18" s="76"/>
      <c r="AS18" s="76">
        <v>29.63</v>
      </c>
      <c r="AT18" s="76"/>
      <c r="AU18" s="76">
        <v>29.63</v>
      </c>
      <c r="AV18" s="76"/>
      <c r="AW18" s="76">
        <v>29.63</v>
      </c>
      <c r="AX18" s="76"/>
      <c r="AY18" s="76">
        <v>29.63</v>
      </c>
    </row>
    <row r="19" spans="1:51" ht="14.25" customHeight="1">
      <c r="A19" s="6" t="s">
        <v>11</v>
      </c>
      <c r="B19" s="76"/>
      <c r="C19" s="76">
        <v>7.01</v>
      </c>
      <c r="D19" s="76"/>
      <c r="E19" s="76">
        <v>7.01</v>
      </c>
      <c r="F19" s="76"/>
      <c r="G19" s="76">
        <v>7.01</v>
      </c>
      <c r="H19" s="76"/>
      <c r="I19" s="76">
        <v>7.01</v>
      </c>
      <c r="J19" s="76"/>
      <c r="K19" s="76">
        <v>7.01</v>
      </c>
      <c r="L19" s="76"/>
      <c r="M19" s="76">
        <v>7.01</v>
      </c>
      <c r="N19" s="76"/>
      <c r="O19" s="76">
        <v>7.01</v>
      </c>
      <c r="P19" s="76"/>
      <c r="Q19" s="76">
        <v>7.01</v>
      </c>
      <c r="R19" s="76"/>
      <c r="S19" s="76">
        <v>7.01</v>
      </c>
      <c r="T19" s="76"/>
      <c r="U19" s="76">
        <v>7.01</v>
      </c>
      <c r="V19" s="76"/>
      <c r="W19" s="76">
        <v>7.01</v>
      </c>
      <c r="X19" s="76"/>
      <c r="Y19" s="77">
        <v>7.01</v>
      </c>
      <c r="Z19" s="76"/>
      <c r="AA19" s="76">
        <v>7.01</v>
      </c>
      <c r="AB19" s="76"/>
      <c r="AC19" s="76">
        <v>7.01</v>
      </c>
      <c r="AD19" s="76"/>
      <c r="AE19" s="76">
        <v>7.01</v>
      </c>
      <c r="AF19" s="76"/>
      <c r="AG19" s="76">
        <v>7.01</v>
      </c>
      <c r="AH19" s="76"/>
      <c r="AI19" s="76">
        <v>7.01</v>
      </c>
      <c r="AJ19" s="76"/>
      <c r="AK19" s="76">
        <v>7.01</v>
      </c>
      <c r="AL19" s="76"/>
      <c r="AM19" s="76">
        <v>7.01</v>
      </c>
      <c r="AN19" s="76"/>
      <c r="AO19" s="76">
        <v>7.01</v>
      </c>
      <c r="AP19" s="76"/>
      <c r="AQ19" s="76">
        <v>7.01</v>
      </c>
      <c r="AR19" s="76"/>
      <c r="AS19" s="76">
        <v>7.01</v>
      </c>
      <c r="AT19" s="76"/>
      <c r="AU19" s="76">
        <v>7.01</v>
      </c>
      <c r="AV19" s="76"/>
      <c r="AW19" s="76">
        <v>7.01</v>
      </c>
      <c r="AX19" s="76"/>
      <c r="AY19" s="76">
        <v>7.01</v>
      </c>
    </row>
    <row r="20" spans="1:51" ht="14.25" customHeight="1">
      <c r="A20" s="6" t="s">
        <v>12</v>
      </c>
      <c r="B20" s="76"/>
      <c r="C20" s="76">
        <v>5.6</v>
      </c>
      <c r="D20" s="76"/>
      <c r="E20" s="76">
        <v>5.6</v>
      </c>
      <c r="F20" s="76"/>
      <c r="G20" s="76">
        <v>5.6</v>
      </c>
      <c r="H20" s="76"/>
      <c r="I20" s="76">
        <v>5.6</v>
      </c>
      <c r="J20" s="76"/>
      <c r="K20" s="76">
        <v>5.6</v>
      </c>
      <c r="L20" s="76"/>
      <c r="M20" s="76">
        <v>5.6</v>
      </c>
      <c r="N20" s="76"/>
      <c r="O20" s="76">
        <v>5.6</v>
      </c>
      <c r="P20" s="76"/>
      <c r="Q20" s="76">
        <v>5.6</v>
      </c>
      <c r="R20" s="76"/>
      <c r="S20" s="76">
        <v>5.6</v>
      </c>
      <c r="T20" s="76"/>
      <c r="U20" s="76">
        <v>5.6</v>
      </c>
      <c r="V20" s="76"/>
      <c r="W20" s="76">
        <v>5.6</v>
      </c>
      <c r="X20" s="76"/>
      <c r="Y20" s="77">
        <v>5.6</v>
      </c>
      <c r="Z20" s="76"/>
      <c r="AA20" s="76">
        <v>5.6</v>
      </c>
      <c r="AB20" s="76"/>
      <c r="AC20" s="76">
        <v>5.6</v>
      </c>
      <c r="AD20" s="76"/>
      <c r="AE20" s="76">
        <v>5.6</v>
      </c>
      <c r="AF20" s="76"/>
      <c r="AG20" s="76">
        <v>5.6</v>
      </c>
      <c r="AH20" s="76"/>
      <c r="AI20" s="76">
        <v>5.6</v>
      </c>
      <c r="AJ20" s="76"/>
      <c r="AK20" s="76">
        <v>5.6</v>
      </c>
      <c r="AL20" s="76"/>
      <c r="AM20" s="76">
        <v>5.6</v>
      </c>
      <c r="AN20" s="76"/>
      <c r="AO20" s="76">
        <v>5.6</v>
      </c>
      <c r="AP20" s="76"/>
      <c r="AQ20" s="76">
        <v>5.6</v>
      </c>
      <c r="AR20" s="76"/>
      <c r="AS20" s="76">
        <v>5.6</v>
      </c>
      <c r="AT20" s="76"/>
      <c r="AU20" s="76">
        <v>5.6</v>
      </c>
      <c r="AV20" s="76"/>
      <c r="AW20" s="76">
        <v>5.6</v>
      </c>
      <c r="AX20" s="76"/>
      <c r="AY20" s="76">
        <v>5.6</v>
      </c>
    </row>
    <row r="21" spans="1:51" ht="14.25" customHeight="1">
      <c r="A21" s="6" t="s">
        <v>13</v>
      </c>
      <c r="B21" s="76"/>
      <c r="C21" s="76">
        <v>6.02</v>
      </c>
      <c r="D21" s="76"/>
      <c r="E21" s="76">
        <v>6.02</v>
      </c>
      <c r="F21" s="76"/>
      <c r="G21" s="76">
        <v>6.02</v>
      </c>
      <c r="H21" s="76"/>
      <c r="I21" s="76">
        <v>6.02</v>
      </c>
      <c r="J21" s="76"/>
      <c r="K21" s="76">
        <v>6.02</v>
      </c>
      <c r="L21" s="76"/>
      <c r="M21" s="76">
        <v>6.02</v>
      </c>
      <c r="N21" s="76"/>
      <c r="O21" s="76">
        <v>6.02</v>
      </c>
      <c r="P21" s="76"/>
      <c r="Q21" s="76">
        <v>6.02</v>
      </c>
      <c r="R21" s="76"/>
      <c r="S21" s="76">
        <v>6.02</v>
      </c>
      <c r="T21" s="76"/>
      <c r="U21" s="76">
        <v>6.02</v>
      </c>
      <c r="V21" s="76"/>
      <c r="W21" s="76">
        <v>6.02</v>
      </c>
      <c r="X21" s="76"/>
      <c r="Y21" s="77">
        <v>6.02</v>
      </c>
      <c r="Z21" s="76"/>
      <c r="AA21" s="76">
        <v>6.02</v>
      </c>
      <c r="AB21" s="76"/>
      <c r="AC21" s="76">
        <v>6.02</v>
      </c>
      <c r="AD21" s="76"/>
      <c r="AE21" s="76">
        <v>6.02</v>
      </c>
      <c r="AF21" s="76"/>
      <c r="AG21" s="76">
        <v>6.02</v>
      </c>
      <c r="AH21" s="76"/>
      <c r="AI21" s="76">
        <v>6.02</v>
      </c>
      <c r="AJ21" s="76"/>
      <c r="AK21" s="76">
        <v>6.02</v>
      </c>
      <c r="AL21" s="76"/>
      <c r="AM21" s="76">
        <v>6.02</v>
      </c>
      <c r="AN21" s="76"/>
      <c r="AO21" s="76">
        <v>6.02</v>
      </c>
      <c r="AP21" s="76"/>
      <c r="AQ21" s="76">
        <v>6.02</v>
      </c>
      <c r="AR21" s="76"/>
      <c r="AS21" s="76">
        <v>6.02</v>
      </c>
      <c r="AT21" s="76"/>
      <c r="AU21" s="76">
        <v>6.02</v>
      </c>
      <c r="AV21" s="76"/>
      <c r="AW21" s="76">
        <v>6.02</v>
      </c>
      <c r="AX21" s="76"/>
      <c r="AY21" s="76">
        <v>6.02</v>
      </c>
    </row>
    <row r="22" spans="1:51" ht="14.25" hidden="1" customHeight="1">
      <c r="A22" s="6" t="s">
        <v>14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</row>
    <row r="23" spans="1:51" ht="14.25" customHeight="1">
      <c r="A23" s="6" t="s">
        <v>52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>
        <v>172.86</v>
      </c>
      <c r="V23" s="76"/>
      <c r="W23" s="76"/>
      <c r="X23" s="76"/>
      <c r="Y23" s="77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>
        <v>172.86</v>
      </c>
      <c r="AP23" s="76"/>
      <c r="AQ23" s="76"/>
      <c r="AR23" s="76"/>
      <c r="AS23" s="76"/>
      <c r="AT23" s="76"/>
      <c r="AU23" s="76"/>
      <c r="AV23" s="76"/>
      <c r="AW23" s="76"/>
      <c r="AX23" s="76"/>
      <c r="AY23" s="76"/>
    </row>
    <row r="24" spans="1:51" ht="14.25" customHeight="1">
      <c r="A24" s="36" t="s">
        <v>53</v>
      </c>
      <c r="B24" s="79"/>
      <c r="C24" s="79"/>
      <c r="D24" s="79"/>
      <c r="E24" s="79"/>
      <c r="F24" s="79"/>
      <c r="G24" s="79"/>
      <c r="H24" s="79"/>
      <c r="I24" s="79"/>
      <c r="J24" s="79"/>
      <c r="K24" s="79">
        <v>11.47</v>
      </c>
      <c r="L24" s="79"/>
      <c r="M24" s="79"/>
      <c r="N24" s="79"/>
      <c r="O24" s="79"/>
      <c r="P24" s="79"/>
      <c r="Q24" s="79"/>
      <c r="R24" s="79"/>
      <c r="S24" s="79"/>
      <c r="T24" s="79"/>
      <c r="U24" s="79">
        <v>11.47</v>
      </c>
      <c r="V24" s="79"/>
      <c r="W24" s="79"/>
      <c r="X24" s="79"/>
      <c r="Y24" s="80"/>
      <c r="Z24" s="76"/>
      <c r="AA24" s="76"/>
      <c r="AB24" s="76"/>
      <c r="AC24" s="76"/>
      <c r="AD24" s="76"/>
      <c r="AE24" s="76">
        <v>11.47</v>
      </c>
      <c r="AF24" s="76"/>
      <c r="AG24" s="76"/>
      <c r="AH24" s="76"/>
      <c r="AI24" s="76"/>
      <c r="AJ24" s="76"/>
      <c r="AK24" s="76"/>
      <c r="AL24" s="76"/>
      <c r="AM24" s="76"/>
      <c r="AN24" s="76"/>
      <c r="AO24" s="76">
        <v>11.47</v>
      </c>
      <c r="AP24" s="76"/>
      <c r="AQ24" s="76"/>
      <c r="AR24" s="76"/>
      <c r="AS24" s="76"/>
      <c r="AT24" s="76"/>
      <c r="AU24" s="76"/>
      <c r="AV24" s="76"/>
      <c r="AW24" s="76"/>
      <c r="AX24" s="76"/>
      <c r="AY24" s="76">
        <v>11.47</v>
      </c>
    </row>
    <row r="25" spans="1:51" ht="14.25" customHeight="1">
      <c r="A25" s="36" t="s">
        <v>54</v>
      </c>
      <c r="B25" s="79"/>
      <c r="C25" s="79"/>
      <c r="D25" s="79"/>
      <c r="E25" s="79"/>
      <c r="F25" s="79"/>
      <c r="G25" s="79"/>
      <c r="H25" s="79"/>
      <c r="I25" s="79"/>
      <c r="J25" s="79"/>
      <c r="K25" s="79">
        <v>12.23</v>
      </c>
      <c r="L25" s="79"/>
      <c r="M25" s="79"/>
      <c r="N25" s="79"/>
      <c r="O25" s="79"/>
      <c r="P25" s="79"/>
      <c r="Q25" s="79"/>
      <c r="R25" s="79"/>
      <c r="S25" s="79"/>
      <c r="T25" s="79"/>
      <c r="U25" s="79">
        <v>12.23</v>
      </c>
      <c r="V25" s="79"/>
      <c r="W25" s="79"/>
      <c r="X25" s="79"/>
      <c r="Y25" s="80"/>
      <c r="Z25" s="76"/>
      <c r="AA25" s="76"/>
      <c r="AB25" s="76"/>
      <c r="AC25" s="76"/>
      <c r="AD25" s="76"/>
      <c r="AE25" s="76">
        <v>12.23</v>
      </c>
      <c r="AF25" s="76"/>
      <c r="AG25" s="76"/>
      <c r="AH25" s="76"/>
      <c r="AI25" s="76"/>
      <c r="AJ25" s="76"/>
      <c r="AK25" s="76"/>
      <c r="AL25" s="76"/>
      <c r="AM25" s="76"/>
      <c r="AN25" s="76"/>
      <c r="AO25" s="76">
        <v>12.23</v>
      </c>
      <c r="AP25" s="76"/>
      <c r="AQ25" s="76"/>
      <c r="AR25" s="76"/>
      <c r="AS25" s="76"/>
      <c r="AT25" s="76"/>
      <c r="AU25" s="76"/>
      <c r="AV25" s="76"/>
      <c r="AW25" s="76"/>
      <c r="AX25" s="76"/>
      <c r="AY25" s="76">
        <v>12.23</v>
      </c>
    </row>
    <row r="26" spans="1:51" ht="14.25" customHeight="1">
      <c r="A26" s="36" t="s">
        <v>55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>
        <v>32</v>
      </c>
      <c r="P26" s="79"/>
      <c r="Q26" s="79"/>
      <c r="R26" s="79"/>
      <c r="S26" s="79"/>
      <c r="T26" s="79"/>
      <c r="U26" s="79"/>
      <c r="V26" s="79"/>
      <c r="W26" s="79"/>
      <c r="X26" s="79"/>
      <c r="Y26" s="80"/>
      <c r="Z26" s="76"/>
      <c r="AA26" s="76"/>
      <c r="AB26" s="76"/>
      <c r="AC26" s="76">
        <v>32</v>
      </c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>
        <v>32</v>
      </c>
      <c r="AR26" s="76"/>
      <c r="AS26" s="76"/>
      <c r="AT26" s="76"/>
      <c r="AU26" s="76"/>
      <c r="AV26" s="76"/>
      <c r="AW26" s="76"/>
      <c r="AX26" s="76"/>
      <c r="AY26" s="76"/>
    </row>
    <row r="27" spans="1:51" ht="14.25" customHeight="1">
      <c r="A27" s="84" t="s">
        <v>56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85"/>
      <c r="Z27" s="76">
        <v>178.2</v>
      </c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>
        <v>178.2</v>
      </c>
    </row>
    <row r="28" spans="1:51" ht="14.25" customHeight="1">
      <c r="A28" s="84" t="s">
        <v>57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85"/>
      <c r="Z28" s="76">
        <v>25.12</v>
      </c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>
        <v>25.12</v>
      </c>
    </row>
    <row r="29" spans="1:51" ht="14.25" customHeight="1">
      <c r="A29" s="84" t="s">
        <v>58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85"/>
      <c r="Z29" s="76">
        <v>28.17</v>
      </c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>
        <v>28.17</v>
      </c>
    </row>
    <row r="30" spans="1:51" ht="14.25" customHeight="1">
      <c r="A30" s="84" t="s">
        <v>59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85"/>
      <c r="Z30" s="76">
        <v>16</v>
      </c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>
        <v>16</v>
      </c>
    </row>
    <row r="31" spans="1:51" ht="14.25" customHeight="1">
      <c r="A31" s="84" t="s">
        <v>60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85"/>
      <c r="Z31" s="76">
        <v>4</v>
      </c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>
        <v>4</v>
      </c>
    </row>
    <row r="32" spans="1:51" ht="14.25" customHeight="1">
      <c r="A32" s="84" t="s">
        <v>61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85"/>
      <c r="Z32" s="76">
        <v>7.25</v>
      </c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>
        <v>7.25</v>
      </c>
    </row>
    <row r="33" spans="1:51" ht="14.25" customHeight="1">
      <c r="A33" s="84" t="s">
        <v>62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85"/>
      <c r="Z33" s="76">
        <v>20</v>
      </c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>
        <v>20</v>
      </c>
    </row>
    <row r="34" spans="1:51" ht="14.25" customHeight="1">
      <c r="A34" s="84" t="s">
        <v>63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85"/>
      <c r="Z34" s="76">
        <v>25</v>
      </c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>
        <v>25</v>
      </c>
    </row>
    <row r="35" spans="1:51" ht="14.25" customHeight="1">
      <c r="A35" s="84" t="s">
        <v>64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85"/>
      <c r="Z35" s="76"/>
      <c r="AA35" s="76"/>
      <c r="AB35" s="76"/>
      <c r="AC35" s="76"/>
      <c r="AD35" s="76"/>
      <c r="AE35" s="76">
        <v>100.75</v>
      </c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</row>
    <row r="36" spans="1:51" ht="14.25" customHeight="1">
      <c r="A36" s="84" t="s">
        <v>65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85"/>
      <c r="Z36" s="76">
        <v>7.74</v>
      </c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>
        <v>7.74</v>
      </c>
    </row>
    <row r="37" spans="1:51" ht="14.25" customHeight="1">
      <c r="A37" s="84" t="s">
        <v>66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85"/>
      <c r="Z37" s="76">
        <v>6.65</v>
      </c>
      <c r="AA37" s="76"/>
      <c r="AB37" s="76"/>
      <c r="AC37" s="76"/>
      <c r="AD37" s="76"/>
      <c r="AE37" s="76"/>
      <c r="AF37" s="76"/>
      <c r="AG37" s="76"/>
      <c r="AH37" s="76"/>
      <c r="AI37" s="76"/>
      <c r="AJ37" s="76">
        <v>6.65</v>
      </c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>
        <v>6.65</v>
      </c>
    </row>
    <row r="38" spans="1:51" ht="14.25" customHeight="1">
      <c r="A38" s="84" t="s">
        <v>67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85"/>
      <c r="Z38" s="76">
        <v>16</v>
      </c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>
        <v>16</v>
      </c>
    </row>
    <row r="39" spans="1:51" ht="14.25" customHeight="1">
      <c r="A39" s="84" t="s">
        <v>68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85"/>
      <c r="Z39" s="76">
        <v>23.83</v>
      </c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>
        <v>23.83</v>
      </c>
    </row>
    <row r="40" spans="1:51" ht="14.25" customHeight="1">
      <c r="A40" s="84" t="s">
        <v>69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85"/>
      <c r="Z40" s="76"/>
      <c r="AA40" s="76"/>
      <c r="AB40" s="76"/>
      <c r="AC40" s="76"/>
      <c r="AD40" s="76">
        <v>56.5</v>
      </c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</row>
    <row r="41" spans="1:51" ht="14.25" customHeight="1">
      <c r="A41" s="84" t="s">
        <v>70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85"/>
      <c r="Z41" s="76"/>
      <c r="AA41" s="76"/>
      <c r="AB41" s="76"/>
      <c r="AC41" s="76"/>
      <c r="AD41" s="76">
        <v>49</v>
      </c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</row>
    <row r="42" spans="1:51" ht="14.25" customHeight="1">
      <c r="A42" s="84" t="s">
        <v>71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85"/>
      <c r="Z42" s="76"/>
      <c r="AA42" s="76"/>
      <c r="AB42" s="76"/>
      <c r="AC42" s="76"/>
      <c r="AD42" s="76">
        <v>124</v>
      </c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</row>
    <row r="43" spans="1:51" ht="14.25" customHeight="1">
      <c r="A43" s="84" t="s">
        <v>72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85"/>
      <c r="Z43" s="76"/>
      <c r="AA43" s="76"/>
      <c r="AB43" s="76"/>
      <c r="AC43" s="76"/>
      <c r="AD43" s="76">
        <v>24.2</v>
      </c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</row>
    <row r="44" spans="1:51" ht="14.25" customHeight="1">
      <c r="A44" s="84" t="s">
        <v>73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85"/>
      <c r="Z44" s="76"/>
      <c r="AA44" s="76"/>
      <c r="AB44" s="76"/>
      <c r="AC44" s="76"/>
      <c r="AD44" s="76">
        <v>6.13</v>
      </c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</row>
    <row r="45" spans="1:51" ht="14.25" customHeight="1">
      <c r="A45" s="84" t="s">
        <v>74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85"/>
      <c r="Z45" s="76"/>
      <c r="AA45" s="76"/>
      <c r="AB45" s="76"/>
      <c r="AC45" s="76"/>
      <c r="AD45" s="76">
        <v>37</v>
      </c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</row>
    <row r="46" spans="1:51" ht="14.25" customHeight="1">
      <c r="A46" s="84" t="s">
        <v>75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85"/>
      <c r="Z46" s="76"/>
      <c r="AA46" s="76"/>
      <c r="AB46" s="76"/>
      <c r="AC46" s="76"/>
      <c r="AD46" s="76">
        <v>42</v>
      </c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</row>
    <row r="47" spans="1:51" ht="14.25" customHeight="1">
      <c r="A47" s="84" t="s">
        <v>76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85"/>
      <c r="Z47" s="76"/>
      <c r="AA47" s="76"/>
      <c r="AB47" s="76"/>
      <c r="AC47" s="76"/>
      <c r="AD47" s="76">
        <v>50.25</v>
      </c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</row>
    <row r="48" spans="1:51" ht="14.25" customHeight="1">
      <c r="A48" s="84" t="s">
        <v>77</v>
      </c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85"/>
      <c r="Z48" s="76"/>
      <c r="AA48" s="76"/>
      <c r="AB48" s="76"/>
      <c r="AC48" s="76"/>
      <c r="AD48" s="76">
        <v>16.670000000000002</v>
      </c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</row>
    <row r="49" spans="1:52" ht="14.25" customHeight="1">
      <c r="A49" s="84" t="s">
        <v>78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85"/>
      <c r="Z49" s="76"/>
      <c r="AA49" s="76"/>
      <c r="AB49" s="76"/>
      <c r="AC49" s="76"/>
      <c r="AD49" s="76">
        <v>22.7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</row>
    <row r="50" spans="1:52" ht="14.25" customHeight="1">
      <c r="A50" s="84" t="s">
        <v>79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85"/>
      <c r="Z50" s="76"/>
      <c r="AA50" s="76"/>
      <c r="AB50" s="76"/>
      <c r="AC50" s="76"/>
      <c r="AD50" s="76">
        <v>17</v>
      </c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</row>
    <row r="51" spans="1:52" ht="14.25" customHeight="1">
      <c r="A51" s="84" t="s">
        <v>80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85"/>
      <c r="Z51" s="76"/>
      <c r="AA51" s="76"/>
      <c r="AB51" s="76"/>
      <c r="AC51" s="76"/>
      <c r="AD51" s="76">
        <v>14.62</v>
      </c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</row>
    <row r="52" spans="1:52" ht="14.25" customHeight="1">
      <c r="A52" s="84" t="s">
        <v>81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85"/>
      <c r="Z52" s="76"/>
      <c r="AA52" s="76"/>
      <c r="AB52" s="76"/>
      <c r="AC52" s="76"/>
      <c r="AD52" s="76">
        <v>11</v>
      </c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</row>
    <row r="53" spans="1:52" ht="14.25" customHeight="1">
      <c r="A53" s="84" t="s">
        <v>82</v>
      </c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85"/>
      <c r="Z53" s="76"/>
      <c r="AA53" s="76"/>
      <c r="AB53" s="76"/>
      <c r="AC53" s="76"/>
      <c r="AD53" s="76">
        <v>6.5</v>
      </c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</row>
    <row r="54" spans="1:52" ht="14.25" customHeight="1">
      <c r="A54" s="84" t="s">
        <v>83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85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>
        <v>40</v>
      </c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</row>
    <row r="55" spans="1:52" ht="14.25" customHeight="1">
      <c r="A55" s="84" t="s">
        <v>84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85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>
        <v>143.52000000000001</v>
      </c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</row>
    <row r="56" spans="1:52" ht="14.25" customHeight="1">
      <c r="A56" s="84" t="s">
        <v>85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85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>
        <v>73</v>
      </c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</row>
    <row r="57" spans="1:52" ht="14.25" customHeight="1">
      <c r="A57" s="84" t="s">
        <v>86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85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>
        <v>54.4</v>
      </c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</row>
    <row r="58" spans="1:52" ht="14.25" customHeight="1">
      <c r="A58" s="84" t="s">
        <v>87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85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>
        <v>41.22</v>
      </c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</row>
    <row r="59" spans="1:52" ht="14.25" customHeight="1">
      <c r="A59" s="84" t="s">
        <v>73</v>
      </c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85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>
        <v>6.13</v>
      </c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</row>
    <row r="60" spans="1:52" ht="14.25" customHeight="1">
      <c r="A60" s="84" t="s">
        <v>88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85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>
        <v>148.69999999999999</v>
      </c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</row>
    <row r="61" spans="1:52" ht="14.25" customHeight="1">
      <c r="A61" s="84" t="s">
        <v>89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85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>
        <v>125.7</v>
      </c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</row>
    <row r="62" spans="1:52" ht="14.25" customHeight="1">
      <c r="A62" s="81" t="s">
        <v>21</v>
      </c>
      <c r="B62" s="86">
        <f t="shared" ref="B62:AY62" si="4">SUM(B12:B61)</f>
        <v>37.159999999999997</v>
      </c>
      <c r="C62" s="86">
        <f t="shared" si="4"/>
        <v>133.79999999999998</v>
      </c>
      <c r="D62" s="86">
        <f t="shared" si="4"/>
        <v>37.159999999999997</v>
      </c>
      <c r="E62" s="86">
        <f t="shared" si="4"/>
        <v>133.79999999999998</v>
      </c>
      <c r="F62" s="86">
        <f t="shared" si="4"/>
        <v>37.159999999999997</v>
      </c>
      <c r="G62" s="86">
        <f t="shared" si="4"/>
        <v>133.79999999999998</v>
      </c>
      <c r="H62" s="86">
        <f t="shared" si="4"/>
        <v>37.159999999999997</v>
      </c>
      <c r="I62" s="86">
        <f t="shared" si="4"/>
        <v>133.79999999999998</v>
      </c>
      <c r="J62" s="86">
        <f t="shared" si="4"/>
        <v>37.159999999999997</v>
      </c>
      <c r="K62" s="86">
        <f t="shared" si="4"/>
        <v>157.49999999999997</v>
      </c>
      <c r="L62" s="86">
        <f t="shared" si="4"/>
        <v>37.159999999999997</v>
      </c>
      <c r="M62" s="86">
        <f t="shared" si="4"/>
        <v>133.79999999999998</v>
      </c>
      <c r="N62" s="86">
        <f t="shared" si="4"/>
        <v>37.159999999999997</v>
      </c>
      <c r="O62" s="86">
        <f t="shared" si="4"/>
        <v>165.79999999999998</v>
      </c>
      <c r="P62" s="86">
        <f t="shared" si="4"/>
        <v>37.159999999999997</v>
      </c>
      <c r="Q62" s="86">
        <f t="shared" si="4"/>
        <v>133.79999999999998</v>
      </c>
      <c r="R62" s="86">
        <f t="shared" si="4"/>
        <v>37.159999999999997</v>
      </c>
      <c r="S62" s="86">
        <f t="shared" si="4"/>
        <v>133.79999999999998</v>
      </c>
      <c r="T62" s="86">
        <f t="shared" si="4"/>
        <v>37.159999999999997</v>
      </c>
      <c r="U62" s="86">
        <f t="shared" si="4"/>
        <v>330.36</v>
      </c>
      <c r="V62" s="86">
        <f t="shared" si="4"/>
        <v>37.159999999999997</v>
      </c>
      <c r="W62" s="86">
        <f t="shared" si="4"/>
        <v>133.79999999999998</v>
      </c>
      <c r="X62" s="86">
        <f t="shared" si="4"/>
        <v>37.159999999999997</v>
      </c>
      <c r="Y62" s="86">
        <f t="shared" si="4"/>
        <v>133.79999999999998</v>
      </c>
      <c r="Z62" s="86">
        <f t="shared" si="4"/>
        <v>395.11999999999995</v>
      </c>
      <c r="AA62" s="86">
        <f t="shared" si="4"/>
        <v>133.79999999999998</v>
      </c>
      <c r="AB62" s="86">
        <f t="shared" si="4"/>
        <v>37.159999999999997</v>
      </c>
      <c r="AC62" s="86">
        <f t="shared" si="4"/>
        <v>165.79999999999998</v>
      </c>
      <c r="AD62" s="86">
        <f t="shared" si="4"/>
        <v>514.73</v>
      </c>
      <c r="AE62" s="86">
        <f t="shared" si="4"/>
        <v>258.25</v>
      </c>
      <c r="AF62" s="86">
        <f t="shared" si="4"/>
        <v>37.159999999999997</v>
      </c>
      <c r="AG62" s="86">
        <f t="shared" si="4"/>
        <v>133.79999999999998</v>
      </c>
      <c r="AH62" s="86">
        <f t="shared" si="4"/>
        <v>37.159999999999997</v>
      </c>
      <c r="AI62" s="86">
        <f t="shared" si="4"/>
        <v>133.79999999999998</v>
      </c>
      <c r="AJ62" s="86">
        <f t="shared" si="4"/>
        <v>676.48</v>
      </c>
      <c r="AK62" s="86">
        <f t="shared" si="4"/>
        <v>133.79999999999998</v>
      </c>
      <c r="AL62" s="86">
        <f t="shared" si="4"/>
        <v>37.159999999999997</v>
      </c>
      <c r="AM62" s="86">
        <f t="shared" si="4"/>
        <v>133.79999999999998</v>
      </c>
      <c r="AN62" s="86">
        <f t="shared" si="4"/>
        <v>37.159999999999997</v>
      </c>
      <c r="AO62" s="86">
        <f t="shared" si="4"/>
        <v>330.36</v>
      </c>
      <c r="AP62" s="86">
        <f t="shared" si="4"/>
        <v>37.159999999999997</v>
      </c>
      <c r="AQ62" s="86">
        <f t="shared" si="4"/>
        <v>165.79999999999998</v>
      </c>
      <c r="AR62" s="86">
        <f t="shared" si="4"/>
        <v>37.159999999999997</v>
      </c>
      <c r="AS62" s="86">
        <f t="shared" si="4"/>
        <v>133.79999999999998</v>
      </c>
      <c r="AT62" s="86">
        <f t="shared" si="4"/>
        <v>37.159999999999997</v>
      </c>
      <c r="AU62" s="86">
        <f t="shared" si="4"/>
        <v>133.79999999999998</v>
      </c>
      <c r="AV62" s="86">
        <f t="shared" si="4"/>
        <v>37.159999999999997</v>
      </c>
      <c r="AW62" s="86">
        <f t="shared" si="4"/>
        <v>133.79999999999998</v>
      </c>
      <c r="AX62" s="86">
        <f t="shared" si="4"/>
        <v>37.159999999999997</v>
      </c>
      <c r="AY62" s="86">
        <f t="shared" si="4"/>
        <v>515.45999999999992</v>
      </c>
      <c r="AZ62" s="83">
        <f>SUM(B62:AY62)</f>
        <v>6767.7800000000007</v>
      </c>
    </row>
    <row r="63" spans="1:52" ht="14.25" customHeight="1">
      <c r="A63" s="6" t="s">
        <v>90</v>
      </c>
      <c r="B63" s="76">
        <v>19.399999999999999</v>
      </c>
      <c r="C63" s="76">
        <v>107.5</v>
      </c>
      <c r="D63" s="76">
        <v>14.11</v>
      </c>
      <c r="E63" s="76">
        <v>132.19</v>
      </c>
      <c r="F63" s="76">
        <v>14.11</v>
      </c>
      <c r="G63" s="76">
        <v>125.84</v>
      </c>
      <c r="H63" s="76">
        <v>14.11</v>
      </c>
      <c r="I63" s="76">
        <v>163.94</v>
      </c>
      <c r="J63" s="76">
        <v>14.11</v>
      </c>
      <c r="K63" s="76">
        <v>119.84</v>
      </c>
      <c r="L63" s="76">
        <v>14.11</v>
      </c>
      <c r="M63" s="76">
        <v>147.01</v>
      </c>
      <c r="N63" s="76">
        <v>14.11</v>
      </c>
      <c r="O63" s="76">
        <v>98.68</v>
      </c>
      <c r="P63" s="76">
        <v>14.11</v>
      </c>
      <c r="Q63" s="76">
        <v>132.19</v>
      </c>
      <c r="R63" s="76">
        <v>14.11</v>
      </c>
      <c r="S63" s="76">
        <v>129.37</v>
      </c>
      <c r="T63" s="76">
        <v>14.11</v>
      </c>
      <c r="U63" s="76">
        <v>264.49</v>
      </c>
      <c r="V63" s="76">
        <v>19.399999999999999</v>
      </c>
      <c r="W63" s="76">
        <v>107.5</v>
      </c>
      <c r="X63" s="76">
        <v>14.11</v>
      </c>
      <c r="Y63" s="77">
        <v>132.19</v>
      </c>
      <c r="Z63" s="87">
        <v>14.11</v>
      </c>
      <c r="AA63" s="87">
        <v>164.9</v>
      </c>
      <c r="AB63" s="87">
        <v>14.11</v>
      </c>
      <c r="AC63" s="87">
        <v>164.9</v>
      </c>
      <c r="AD63" s="87">
        <v>14.11</v>
      </c>
      <c r="AE63" s="87">
        <v>232.9</v>
      </c>
      <c r="AF63" s="87">
        <v>14.11</v>
      </c>
      <c r="AG63" s="87">
        <v>164.9</v>
      </c>
      <c r="AH63" s="87">
        <v>14.11</v>
      </c>
      <c r="AI63" s="87">
        <v>164.9</v>
      </c>
      <c r="AJ63" s="87">
        <v>14.11</v>
      </c>
      <c r="AK63" s="87">
        <v>198.9</v>
      </c>
      <c r="AL63" s="87">
        <v>14.11</v>
      </c>
      <c r="AM63" s="87">
        <v>164.9</v>
      </c>
      <c r="AN63" s="87">
        <v>14.11</v>
      </c>
      <c r="AO63" s="87">
        <v>334.9</v>
      </c>
      <c r="AP63" s="87">
        <v>14.11</v>
      </c>
      <c r="AQ63" s="87">
        <v>198.9</v>
      </c>
      <c r="AR63" s="87">
        <v>14.11</v>
      </c>
      <c r="AS63" s="87">
        <v>164.9</v>
      </c>
      <c r="AT63" s="87">
        <v>14.11</v>
      </c>
      <c r="AU63" s="87">
        <v>164.9</v>
      </c>
      <c r="AV63" s="87">
        <v>14.11</v>
      </c>
      <c r="AW63" s="87">
        <v>198.9</v>
      </c>
      <c r="AX63" s="87">
        <v>14.11</v>
      </c>
      <c r="AY63" s="87">
        <v>232.9</v>
      </c>
    </row>
    <row r="64" spans="1:52" ht="14.25" customHeight="1">
      <c r="A64" s="31" t="s">
        <v>23</v>
      </c>
      <c r="B64" s="78"/>
      <c r="C64" s="78">
        <v>17.16</v>
      </c>
      <c r="D64" s="78"/>
      <c r="E64" s="78">
        <v>17.16</v>
      </c>
      <c r="F64" s="78"/>
      <c r="G64" s="78">
        <v>17.16</v>
      </c>
      <c r="H64" s="78"/>
      <c r="I64" s="78">
        <v>17.16</v>
      </c>
      <c r="J64" s="78"/>
      <c r="K64" s="78">
        <v>17.16</v>
      </c>
      <c r="L64" s="78"/>
      <c r="M64" s="78">
        <v>17.16</v>
      </c>
      <c r="N64" s="78"/>
      <c r="O64" s="78">
        <v>17.16</v>
      </c>
      <c r="P64" s="78"/>
      <c r="Q64" s="78">
        <v>17.16</v>
      </c>
      <c r="R64" s="78"/>
      <c r="S64" s="78">
        <v>17.16</v>
      </c>
      <c r="T64" s="78"/>
      <c r="U64" s="78">
        <v>17.16</v>
      </c>
      <c r="V64" s="78"/>
      <c r="W64" s="78">
        <v>17.16</v>
      </c>
      <c r="X64" s="78"/>
      <c r="Y64" s="88">
        <v>17.16</v>
      </c>
      <c r="Z64" s="87"/>
      <c r="AA64" s="87">
        <v>17.16</v>
      </c>
      <c r="AB64" s="87"/>
      <c r="AC64" s="87">
        <v>17.16</v>
      </c>
      <c r="AD64" s="87"/>
      <c r="AE64" s="87">
        <v>17.16</v>
      </c>
      <c r="AF64" s="87"/>
      <c r="AG64" s="87">
        <v>17.16</v>
      </c>
      <c r="AH64" s="87"/>
      <c r="AI64" s="87">
        <v>17.16</v>
      </c>
      <c r="AJ64" s="87"/>
      <c r="AK64" s="87">
        <v>17.16</v>
      </c>
      <c r="AL64" s="87"/>
      <c r="AM64" s="87">
        <v>17.16</v>
      </c>
      <c r="AN64" s="87"/>
      <c r="AO64" s="87">
        <v>17.16</v>
      </c>
      <c r="AP64" s="87"/>
      <c r="AQ64" s="87">
        <v>17.16</v>
      </c>
      <c r="AR64" s="87"/>
      <c r="AS64" s="87">
        <v>17.16</v>
      </c>
      <c r="AT64" s="87"/>
      <c r="AU64" s="87">
        <v>17.16</v>
      </c>
      <c r="AV64" s="87"/>
      <c r="AW64" s="87">
        <v>17.16</v>
      </c>
      <c r="AX64" s="87"/>
      <c r="AY64" s="87">
        <v>17.16</v>
      </c>
    </row>
    <row r="65" spans="1:52" ht="14.25" customHeight="1">
      <c r="A65" s="6" t="s">
        <v>24</v>
      </c>
      <c r="B65" s="76"/>
      <c r="C65" s="76">
        <v>15.84</v>
      </c>
      <c r="D65" s="76"/>
      <c r="E65" s="76">
        <v>15.84</v>
      </c>
      <c r="F65" s="76"/>
      <c r="G65" s="76">
        <v>15.84</v>
      </c>
      <c r="H65" s="76"/>
      <c r="I65" s="76">
        <v>15.84</v>
      </c>
      <c r="J65" s="76"/>
      <c r="K65" s="76">
        <v>15.84</v>
      </c>
      <c r="L65" s="76"/>
      <c r="M65" s="76">
        <v>15.84</v>
      </c>
      <c r="N65" s="76"/>
      <c r="O65" s="76">
        <v>15.84</v>
      </c>
      <c r="P65" s="76"/>
      <c r="Q65" s="76">
        <v>15.84</v>
      </c>
      <c r="R65" s="76"/>
      <c r="S65" s="76">
        <v>15.84</v>
      </c>
      <c r="T65" s="76"/>
      <c r="U65" s="76">
        <v>15.84</v>
      </c>
      <c r="V65" s="76"/>
      <c r="W65" s="76">
        <v>15.84</v>
      </c>
      <c r="X65" s="76"/>
      <c r="Y65" s="77">
        <v>15.84</v>
      </c>
      <c r="Z65" s="87"/>
      <c r="AA65" s="87">
        <v>15.84</v>
      </c>
      <c r="AB65" s="87"/>
      <c r="AC65" s="87">
        <v>15.84</v>
      </c>
      <c r="AD65" s="87"/>
      <c r="AE65" s="87">
        <v>15.84</v>
      </c>
      <c r="AF65" s="87"/>
      <c r="AG65" s="87">
        <v>15.84</v>
      </c>
      <c r="AH65" s="87"/>
      <c r="AI65" s="87">
        <v>15.84</v>
      </c>
      <c r="AJ65" s="87"/>
      <c r="AK65" s="87">
        <v>15.84</v>
      </c>
      <c r="AL65" s="87"/>
      <c r="AM65" s="87">
        <v>15.84</v>
      </c>
      <c r="AN65" s="87"/>
      <c r="AO65" s="87">
        <v>15.84</v>
      </c>
      <c r="AP65" s="87"/>
      <c r="AQ65" s="87">
        <v>15.84</v>
      </c>
      <c r="AR65" s="87"/>
      <c r="AS65" s="87">
        <v>15.84</v>
      </c>
      <c r="AT65" s="87"/>
      <c r="AU65" s="87">
        <v>15.84</v>
      </c>
      <c r="AV65" s="87"/>
      <c r="AW65" s="87">
        <v>15.84</v>
      </c>
      <c r="AX65" s="87"/>
      <c r="AY65" s="87">
        <v>15.84</v>
      </c>
    </row>
    <row r="66" spans="1:52" ht="14.25" customHeight="1">
      <c r="A66" s="89" t="s">
        <v>91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85"/>
      <c r="Z66" s="87"/>
      <c r="AA66" s="87"/>
      <c r="AB66" s="87"/>
      <c r="AC66" s="87"/>
      <c r="AD66" s="87"/>
      <c r="AE66" s="87"/>
      <c r="AF66" s="87"/>
      <c r="AG66" s="87">
        <v>26</v>
      </c>
      <c r="AH66" s="87"/>
      <c r="AI66" s="87"/>
      <c r="AJ66" s="87"/>
      <c r="AK66" s="87"/>
      <c r="AL66" s="87"/>
      <c r="AM66" s="87"/>
      <c r="AN66" s="87"/>
      <c r="AO66" s="87">
        <v>26</v>
      </c>
      <c r="AP66" s="87"/>
      <c r="AQ66" s="87"/>
      <c r="AR66" s="87"/>
      <c r="AS66" s="87">
        <v>26</v>
      </c>
      <c r="AT66" s="87"/>
      <c r="AU66" s="87"/>
      <c r="AV66" s="87"/>
      <c r="AW66" s="87"/>
      <c r="AX66" s="87"/>
      <c r="AY66" s="87"/>
    </row>
    <row r="67" spans="1:52" ht="14.25" customHeight="1">
      <c r="A67" s="89" t="s">
        <v>92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85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>
        <v>26</v>
      </c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>
        <v>26</v>
      </c>
      <c r="AX67" s="87"/>
      <c r="AY67" s="87"/>
    </row>
    <row r="68" spans="1:52" ht="14.25" customHeight="1">
      <c r="A68" s="36" t="s">
        <v>93</v>
      </c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85"/>
      <c r="Z68" s="87"/>
      <c r="AA68" s="87"/>
      <c r="AB68" s="87">
        <v>850</v>
      </c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</row>
    <row r="69" spans="1:52" ht="14.25" customHeight="1">
      <c r="A69" s="36" t="s">
        <v>25</v>
      </c>
      <c r="B69" s="79"/>
      <c r="C69" s="79">
        <v>16.5</v>
      </c>
      <c r="D69" s="79"/>
      <c r="E69" s="79">
        <v>16.5</v>
      </c>
      <c r="F69" s="79"/>
      <c r="G69" s="79">
        <v>16.5</v>
      </c>
      <c r="H69" s="79"/>
      <c r="I69" s="79">
        <v>16.5</v>
      </c>
      <c r="J69" s="79"/>
      <c r="K69" s="79">
        <v>16.5</v>
      </c>
      <c r="L69" s="79"/>
      <c r="M69" s="79">
        <v>16.5</v>
      </c>
      <c r="N69" s="79"/>
      <c r="O69" s="79">
        <v>16.5</v>
      </c>
      <c r="P69" s="79"/>
      <c r="Q69" s="79">
        <v>16.5</v>
      </c>
      <c r="R69" s="79"/>
      <c r="S69" s="79">
        <v>16.5</v>
      </c>
      <c r="T69" s="79"/>
      <c r="U69" s="79">
        <v>16.5</v>
      </c>
      <c r="V69" s="79"/>
      <c r="W69" s="79">
        <v>16.5</v>
      </c>
      <c r="X69" s="79"/>
      <c r="Y69" s="80">
        <v>16.5</v>
      </c>
      <c r="Z69" s="87"/>
      <c r="AA69" s="87">
        <v>16.5</v>
      </c>
      <c r="AB69" s="87"/>
      <c r="AC69" s="87">
        <v>16.5</v>
      </c>
      <c r="AD69" s="87"/>
      <c r="AE69" s="87">
        <v>16.5</v>
      </c>
      <c r="AF69" s="87"/>
      <c r="AG69" s="87">
        <v>16.5</v>
      </c>
      <c r="AH69" s="87"/>
      <c r="AI69" s="87">
        <v>16.5</v>
      </c>
      <c r="AJ69" s="87"/>
      <c r="AK69" s="87">
        <v>16.5</v>
      </c>
      <c r="AL69" s="87"/>
      <c r="AM69" s="87">
        <v>16.5</v>
      </c>
      <c r="AN69" s="87"/>
      <c r="AO69" s="87">
        <v>16.5</v>
      </c>
      <c r="AP69" s="87"/>
      <c r="AQ69" s="87">
        <v>16.5</v>
      </c>
      <c r="AR69" s="87"/>
      <c r="AS69" s="87">
        <v>16.5</v>
      </c>
      <c r="AT69" s="87"/>
      <c r="AU69" s="87">
        <v>16.5</v>
      </c>
      <c r="AV69" s="87"/>
      <c r="AW69" s="87">
        <v>16.5</v>
      </c>
      <c r="AX69" s="87"/>
      <c r="AY69" s="87">
        <v>16.5</v>
      </c>
    </row>
    <row r="70" spans="1:52" ht="14.25" customHeight="1">
      <c r="A70" s="6" t="s">
        <v>94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87"/>
      <c r="AA70" s="87">
        <v>9.9</v>
      </c>
      <c r="AB70" s="87"/>
      <c r="AC70" s="87">
        <v>9.9</v>
      </c>
      <c r="AD70" s="87"/>
      <c r="AE70" s="87">
        <v>9.9</v>
      </c>
      <c r="AF70" s="87"/>
      <c r="AG70" s="87">
        <v>9.9</v>
      </c>
      <c r="AH70" s="87"/>
      <c r="AI70" s="87">
        <v>9.9</v>
      </c>
      <c r="AJ70" s="87"/>
      <c r="AK70" s="87">
        <v>9.9</v>
      </c>
      <c r="AL70" s="87"/>
      <c r="AM70" s="87">
        <v>9.9</v>
      </c>
      <c r="AN70" s="87"/>
      <c r="AO70" s="87">
        <v>9.9</v>
      </c>
      <c r="AP70" s="87"/>
      <c r="AQ70" s="87">
        <v>9.9</v>
      </c>
      <c r="AR70" s="87"/>
      <c r="AS70" s="87">
        <v>9.9</v>
      </c>
      <c r="AT70" s="87"/>
      <c r="AU70" s="87">
        <v>9.9</v>
      </c>
      <c r="AV70" s="87"/>
      <c r="AW70" s="87">
        <v>9.9</v>
      </c>
      <c r="AX70" s="87"/>
      <c r="AY70" s="87">
        <v>9.9</v>
      </c>
    </row>
    <row r="71" spans="1:52" ht="14.25" customHeight="1">
      <c r="A71" s="90" t="s">
        <v>95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2"/>
      <c r="Z71" s="87">
        <v>510</v>
      </c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>
        <v>510</v>
      </c>
    </row>
    <row r="72" spans="1:52" ht="14.25" customHeight="1">
      <c r="A72" s="93" t="s">
        <v>96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87"/>
      <c r="Z72" s="87"/>
      <c r="AA72" s="87"/>
      <c r="AB72" s="87"/>
      <c r="AC72" s="87"/>
      <c r="AD72" s="87">
        <v>238</v>
      </c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</row>
    <row r="73" spans="1:52" ht="14.25" customHeight="1">
      <c r="A73" s="93" t="s">
        <v>97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>
        <v>650</v>
      </c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</row>
    <row r="74" spans="1:52" ht="14.25" customHeight="1">
      <c r="A74" s="81" t="s">
        <v>22</v>
      </c>
      <c r="B74" s="94">
        <f t="shared" ref="B74:AY74" si="5">SUM(B63:B73)</f>
        <v>19.399999999999999</v>
      </c>
      <c r="C74" s="94">
        <f t="shared" si="5"/>
        <v>157</v>
      </c>
      <c r="D74" s="94">
        <f t="shared" si="5"/>
        <v>14.11</v>
      </c>
      <c r="E74" s="94">
        <f t="shared" si="5"/>
        <v>181.69</v>
      </c>
      <c r="F74" s="94">
        <f t="shared" si="5"/>
        <v>14.11</v>
      </c>
      <c r="G74" s="94">
        <f t="shared" si="5"/>
        <v>175.34</v>
      </c>
      <c r="H74" s="94">
        <f t="shared" si="5"/>
        <v>14.11</v>
      </c>
      <c r="I74" s="94">
        <f t="shared" si="5"/>
        <v>213.44</v>
      </c>
      <c r="J74" s="94">
        <f t="shared" si="5"/>
        <v>14.11</v>
      </c>
      <c r="K74" s="94">
        <f t="shared" si="5"/>
        <v>169.34</v>
      </c>
      <c r="L74" s="94">
        <f t="shared" si="5"/>
        <v>14.11</v>
      </c>
      <c r="M74" s="94">
        <f t="shared" si="5"/>
        <v>196.51</v>
      </c>
      <c r="N74" s="94">
        <f t="shared" si="5"/>
        <v>14.11</v>
      </c>
      <c r="O74" s="94">
        <f t="shared" si="5"/>
        <v>148.18</v>
      </c>
      <c r="P74" s="94">
        <f t="shared" si="5"/>
        <v>14.11</v>
      </c>
      <c r="Q74" s="94">
        <f t="shared" si="5"/>
        <v>181.69</v>
      </c>
      <c r="R74" s="94">
        <f t="shared" si="5"/>
        <v>14.11</v>
      </c>
      <c r="S74" s="94">
        <f t="shared" si="5"/>
        <v>178.87</v>
      </c>
      <c r="T74" s="94">
        <f t="shared" si="5"/>
        <v>14.11</v>
      </c>
      <c r="U74" s="94">
        <f t="shared" si="5"/>
        <v>313.99</v>
      </c>
      <c r="V74" s="94">
        <f t="shared" si="5"/>
        <v>19.399999999999999</v>
      </c>
      <c r="W74" s="94">
        <f t="shared" si="5"/>
        <v>157</v>
      </c>
      <c r="X74" s="94">
        <f t="shared" si="5"/>
        <v>14.11</v>
      </c>
      <c r="Y74" s="94">
        <f t="shared" si="5"/>
        <v>181.69</v>
      </c>
      <c r="Z74" s="94">
        <f t="shared" si="5"/>
        <v>524.11</v>
      </c>
      <c r="AA74" s="94">
        <f t="shared" si="5"/>
        <v>224.3</v>
      </c>
      <c r="AB74" s="94">
        <f t="shared" si="5"/>
        <v>864.11</v>
      </c>
      <c r="AC74" s="94">
        <f t="shared" si="5"/>
        <v>224.3</v>
      </c>
      <c r="AD74" s="94">
        <f t="shared" si="5"/>
        <v>252.11</v>
      </c>
      <c r="AE74" s="94">
        <f t="shared" si="5"/>
        <v>292.29999999999995</v>
      </c>
      <c r="AF74" s="94">
        <f t="shared" si="5"/>
        <v>14.11</v>
      </c>
      <c r="AG74" s="94">
        <f t="shared" si="5"/>
        <v>250.3</v>
      </c>
      <c r="AH74" s="94">
        <f t="shared" si="5"/>
        <v>14.11</v>
      </c>
      <c r="AI74" s="94">
        <f t="shared" si="5"/>
        <v>224.3</v>
      </c>
      <c r="AJ74" s="94">
        <f t="shared" si="5"/>
        <v>664.11</v>
      </c>
      <c r="AK74" s="94">
        <f t="shared" si="5"/>
        <v>284.29999999999995</v>
      </c>
      <c r="AL74" s="94">
        <f t="shared" si="5"/>
        <v>14.11</v>
      </c>
      <c r="AM74" s="94">
        <f t="shared" si="5"/>
        <v>224.3</v>
      </c>
      <c r="AN74" s="94">
        <f t="shared" si="5"/>
        <v>14.11</v>
      </c>
      <c r="AO74" s="94">
        <f t="shared" si="5"/>
        <v>420.29999999999995</v>
      </c>
      <c r="AP74" s="94">
        <f t="shared" si="5"/>
        <v>14.11</v>
      </c>
      <c r="AQ74" s="94">
        <f t="shared" si="5"/>
        <v>258.3</v>
      </c>
      <c r="AR74" s="94">
        <f t="shared" si="5"/>
        <v>14.11</v>
      </c>
      <c r="AS74" s="94">
        <f t="shared" si="5"/>
        <v>250.3</v>
      </c>
      <c r="AT74" s="94">
        <f t="shared" si="5"/>
        <v>14.11</v>
      </c>
      <c r="AU74" s="94">
        <f t="shared" si="5"/>
        <v>224.3</v>
      </c>
      <c r="AV74" s="94">
        <f t="shared" si="5"/>
        <v>14.11</v>
      </c>
      <c r="AW74" s="94">
        <f t="shared" si="5"/>
        <v>284.29999999999995</v>
      </c>
      <c r="AX74" s="94">
        <f t="shared" si="5"/>
        <v>14.11</v>
      </c>
      <c r="AY74" s="94">
        <f t="shared" si="5"/>
        <v>802.3</v>
      </c>
      <c r="AZ74" s="83">
        <f t="shared" ref="AZ74:AZ75" si="6">SUM(B74:AY74)</f>
        <v>8829.9699999999975</v>
      </c>
    </row>
    <row r="75" spans="1:52" ht="14.25" customHeight="1">
      <c r="A75" s="95" t="s">
        <v>98</v>
      </c>
      <c r="B75" s="96">
        <f t="shared" ref="B75:AY75" si="7">+B11+B62+B74</f>
        <v>100.53999999999999</v>
      </c>
      <c r="C75" s="96">
        <f t="shared" si="7"/>
        <v>334.78</v>
      </c>
      <c r="D75" s="96">
        <f t="shared" si="7"/>
        <v>95.249999999999986</v>
      </c>
      <c r="E75" s="96">
        <f t="shared" si="7"/>
        <v>359.46999999999997</v>
      </c>
      <c r="F75" s="96">
        <f t="shared" si="7"/>
        <v>95.249999999999986</v>
      </c>
      <c r="G75" s="96">
        <f t="shared" si="7"/>
        <v>371.12</v>
      </c>
      <c r="H75" s="96">
        <f t="shared" si="7"/>
        <v>95.249999999999986</v>
      </c>
      <c r="I75" s="96">
        <f t="shared" si="7"/>
        <v>391.21999999999997</v>
      </c>
      <c r="J75" s="96">
        <f t="shared" si="7"/>
        <v>95.249999999999986</v>
      </c>
      <c r="K75" s="96">
        <f t="shared" si="7"/>
        <v>522.54999999999995</v>
      </c>
      <c r="L75" s="96">
        <f t="shared" si="7"/>
        <v>95.249999999999986</v>
      </c>
      <c r="M75" s="96">
        <f t="shared" si="7"/>
        <v>392.28999999999996</v>
      </c>
      <c r="N75" s="96">
        <f t="shared" si="7"/>
        <v>95.249999999999986</v>
      </c>
      <c r="O75" s="96">
        <f t="shared" si="7"/>
        <v>357.96</v>
      </c>
      <c r="P75" s="96">
        <f t="shared" si="7"/>
        <v>95.249999999999986</v>
      </c>
      <c r="Q75" s="96">
        <f t="shared" si="7"/>
        <v>359.46999999999997</v>
      </c>
      <c r="R75" s="96">
        <f t="shared" si="7"/>
        <v>95.249999999999986</v>
      </c>
      <c r="S75" s="96">
        <f t="shared" si="7"/>
        <v>374.65</v>
      </c>
      <c r="T75" s="96">
        <f t="shared" si="7"/>
        <v>95.249999999999986</v>
      </c>
      <c r="U75" s="96">
        <f t="shared" si="7"/>
        <v>840.06000000000006</v>
      </c>
      <c r="V75" s="96">
        <f t="shared" si="7"/>
        <v>100.53999999999999</v>
      </c>
      <c r="W75" s="96">
        <f t="shared" si="7"/>
        <v>334.78</v>
      </c>
      <c r="X75" s="96">
        <f t="shared" si="7"/>
        <v>95.249999999999986</v>
      </c>
      <c r="Y75" s="96">
        <f t="shared" si="7"/>
        <v>377.46999999999997</v>
      </c>
      <c r="Z75" s="96">
        <f t="shared" si="7"/>
        <v>1007.3599999999999</v>
      </c>
      <c r="AA75" s="96">
        <f t="shared" si="7"/>
        <v>402.08</v>
      </c>
      <c r="AB75" s="96">
        <f t="shared" si="7"/>
        <v>945.25</v>
      </c>
      <c r="AC75" s="96">
        <f t="shared" si="7"/>
        <v>434.08</v>
      </c>
      <c r="AD75" s="96">
        <f t="shared" si="7"/>
        <v>839.05000000000007</v>
      </c>
      <c r="AE75" s="96">
        <f t="shared" si="7"/>
        <v>736.03</v>
      </c>
      <c r="AF75" s="96">
        <f t="shared" si="7"/>
        <v>95.249999999999986</v>
      </c>
      <c r="AG75" s="96">
        <f t="shared" si="7"/>
        <v>428.08</v>
      </c>
      <c r="AH75" s="96">
        <f t="shared" si="7"/>
        <v>95.249999999999986</v>
      </c>
      <c r="AI75" s="96">
        <f t="shared" si="7"/>
        <v>402.08</v>
      </c>
      <c r="AJ75" s="96">
        <f t="shared" si="7"/>
        <v>1420.01</v>
      </c>
      <c r="AK75" s="96">
        <f t="shared" si="7"/>
        <v>587.66</v>
      </c>
      <c r="AL75" s="96">
        <f t="shared" si="7"/>
        <v>95.249999999999986</v>
      </c>
      <c r="AM75" s="96">
        <f t="shared" si="7"/>
        <v>402.08</v>
      </c>
      <c r="AN75" s="96">
        <f t="shared" si="7"/>
        <v>95.249999999999986</v>
      </c>
      <c r="AO75" s="96">
        <f t="shared" si="7"/>
        <v>838.79</v>
      </c>
      <c r="AP75" s="96">
        <f t="shared" si="7"/>
        <v>95.249999999999986</v>
      </c>
      <c r="AQ75" s="96">
        <f t="shared" si="7"/>
        <v>593.66000000000008</v>
      </c>
      <c r="AR75" s="96">
        <f t="shared" si="7"/>
        <v>95.249999999999986</v>
      </c>
      <c r="AS75" s="96">
        <f t="shared" si="7"/>
        <v>428.08</v>
      </c>
      <c r="AT75" s="96">
        <f t="shared" si="7"/>
        <v>95.249999999999986</v>
      </c>
      <c r="AU75" s="96">
        <f t="shared" si="7"/>
        <v>402.08</v>
      </c>
      <c r="AV75" s="96">
        <f t="shared" si="7"/>
        <v>95.249999999999986</v>
      </c>
      <c r="AW75" s="96">
        <f t="shared" si="7"/>
        <v>587.66</v>
      </c>
      <c r="AX75" s="96">
        <f t="shared" si="7"/>
        <v>95.249999999999986</v>
      </c>
      <c r="AY75" s="96">
        <f t="shared" si="7"/>
        <v>1485.2399999999998</v>
      </c>
      <c r="AZ75" s="83">
        <f t="shared" si="6"/>
        <v>18965.919999999998</v>
      </c>
    </row>
    <row r="76" spans="1:52" ht="14.25" customHeight="1"/>
    <row r="77" spans="1:52" ht="14.25" customHeight="1"/>
    <row r="78" spans="1:52" ht="14.25" customHeight="1"/>
    <row r="79" spans="1:52" ht="14.25" customHeight="1"/>
    <row r="80" spans="1:5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000"/>
  <sheetViews>
    <sheetView workbookViewId="0"/>
  </sheetViews>
  <sheetFormatPr baseColWidth="10" defaultColWidth="14.44140625" defaultRowHeight="15" customHeight="1"/>
  <cols>
    <col min="1" max="1" width="8.5546875" customWidth="1"/>
    <col min="2" max="2" width="43.33203125" customWidth="1"/>
    <col min="3" max="3" width="10.33203125" hidden="1" customWidth="1"/>
    <col min="4" max="4" width="10.88671875" hidden="1" customWidth="1"/>
    <col min="5" max="5" width="12.33203125" customWidth="1"/>
    <col min="6" max="6" width="52.109375" hidden="1" customWidth="1"/>
    <col min="7" max="7" width="11.44140625" hidden="1" customWidth="1"/>
    <col min="8" max="8" width="50.109375" hidden="1" customWidth="1"/>
    <col min="9" max="10" width="11.5546875" customWidth="1"/>
    <col min="11" max="11" width="12.44140625" customWidth="1"/>
    <col min="12" max="12" width="11.5546875" customWidth="1"/>
    <col min="13" max="13" width="12.5546875" customWidth="1"/>
    <col min="14" max="26" width="10.6640625" customWidth="1"/>
  </cols>
  <sheetData>
    <row r="1" spans="1:13" ht="14.25" customHeight="1">
      <c r="A1" s="97" t="s">
        <v>99</v>
      </c>
      <c r="B1" s="98" t="s">
        <v>100</v>
      </c>
      <c r="C1" s="98"/>
      <c r="D1" s="98"/>
      <c r="E1" s="98"/>
      <c r="F1" s="98"/>
      <c r="G1" s="19"/>
      <c r="H1" s="19"/>
      <c r="I1" s="19"/>
      <c r="J1" s="19"/>
      <c r="K1" s="19"/>
      <c r="L1" s="19"/>
      <c r="M1" s="19"/>
    </row>
    <row r="2" spans="1:13" ht="14.25" customHeight="1">
      <c r="A2" s="97" t="s">
        <v>101</v>
      </c>
      <c r="B2" s="98" t="s">
        <v>0</v>
      </c>
      <c r="C2" s="223" t="s">
        <v>102</v>
      </c>
      <c r="D2" s="224"/>
      <c r="E2" s="224"/>
      <c r="F2" s="224"/>
      <c r="G2" s="224"/>
      <c r="H2" s="224"/>
      <c r="I2" s="224"/>
      <c r="J2" s="224"/>
      <c r="K2" s="224"/>
      <c r="L2" s="225"/>
      <c r="M2" s="19"/>
    </row>
    <row r="3" spans="1:13" ht="14.25" customHeight="1">
      <c r="A3" s="97" t="s">
        <v>103</v>
      </c>
      <c r="B3" s="98" t="s">
        <v>104</v>
      </c>
      <c r="C3" s="98" t="s">
        <v>105</v>
      </c>
      <c r="D3" s="98" t="s">
        <v>106</v>
      </c>
      <c r="E3" s="98" t="s">
        <v>21</v>
      </c>
      <c r="F3" s="98" t="s">
        <v>107</v>
      </c>
      <c r="G3" s="99"/>
      <c r="H3" s="98" t="s">
        <v>108</v>
      </c>
      <c r="I3" s="100" t="s">
        <v>109</v>
      </c>
      <c r="J3" s="98" t="s">
        <v>51</v>
      </c>
      <c r="K3" s="99" t="s">
        <v>110</v>
      </c>
      <c r="L3" s="98" t="s">
        <v>111</v>
      </c>
      <c r="M3" s="99" t="s">
        <v>27</v>
      </c>
    </row>
    <row r="4" spans="1:13" ht="14.25" customHeight="1">
      <c r="A4" s="97">
        <v>1</v>
      </c>
      <c r="B4" s="19" t="s">
        <v>112</v>
      </c>
      <c r="C4" s="19">
        <v>1</v>
      </c>
      <c r="D4" s="19">
        <v>1170</v>
      </c>
      <c r="E4" s="76">
        <f>D4*C4</f>
        <v>1170</v>
      </c>
      <c r="F4" s="76" t="s">
        <v>113</v>
      </c>
      <c r="G4" s="101">
        <v>72.599999999999994</v>
      </c>
      <c r="H4" s="76" t="s">
        <v>114</v>
      </c>
      <c r="I4" s="102">
        <v>147.6</v>
      </c>
      <c r="J4" s="76"/>
      <c r="K4" s="76">
        <f t="shared" ref="K4:K27" si="0">+E4+I4+J4</f>
        <v>1317.6</v>
      </c>
      <c r="L4" s="76">
        <f t="shared" ref="L4:L27" si="1">+K4*0.12</f>
        <v>158.11199999999999</v>
      </c>
      <c r="M4" s="76">
        <f t="shared" ref="M4:M27" si="2">+K4+L4</f>
        <v>1475.712</v>
      </c>
    </row>
    <row r="5" spans="1:13" ht="14.25" customHeight="1">
      <c r="A5" s="97">
        <v>2</v>
      </c>
      <c r="B5" s="19" t="s">
        <v>115</v>
      </c>
      <c r="C5" s="19">
        <v>1</v>
      </c>
      <c r="D5" s="19">
        <v>99.09</v>
      </c>
      <c r="E5" s="76">
        <v>126.34</v>
      </c>
      <c r="F5" s="76" t="s">
        <v>116</v>
      </c>
      <c r="G5" s="101">
        <v>57.75</v>
      </c>
      <c r="H5" s="76" t="s">
        <v>114</v>
      </c>
      <c r="I5" s="102">
        <v>132.75</v>
      </c>
      <c r="J5" s="76"/>
      <c r="K5" s="76">
        <f t="shared" si="0"/>
        <v>259.09000000000003</v>
      </c>
      <c r="L5" s="76">
        <f t="shared" si="1"/>
        <v>31.090800000000002</v>
      </c>
      <c r="M5" s="76">
        <f t="shared" si="2"/>
        <v>290.18080000000003</v>
      </c>
    </row>
    <row r="6" spans="1:13" ht="14.25" customHeight="1">
      <c r="A6" s="97">
        <v>3</v>
      </c>
      <c r="B6" s="19" t="s">
        <v>117</v>
      </c>
      <c r="C6" s="19">
        <v>1</v>
      </c>
      <c r="D6" s="19">
        <v>187.49</v>
      </c>
      <c r="E6" s="76">
        <f t="shared" ref="E6:E7" si="3">D6*C6</f>
        <v>187.49</v>
      </c>
      <c r="F6" s="76" t="s">
        <v>118</v>
      </c>
      <c r="G6" s="101">
        <v>49.5</v>
      </c>
      <c r="H6" s="76" t="s">
        <v>119</v>
      </c>
      <c r="I6" s="102">
        <v>82.5</v>
      </c>
      <c r="J6" s="76">
        <v>15</v>
      </c>
      <c r="K6" s="76">
        <f t="shared" si="0"/>
        <v>284.99</v>
      </c>
      <c r="L6" s="76">
        <f t="shared" si="1"/>
        <v>34.198799999999999</v>
      </c>
      <c r="M6" s="76">
        <f t="shared" si="2"/>
        <v>319.18880000000001</v>
      </c>
    </row>
    <row r="7" spans="1:13" ht="14.25" customHeight="1">
      <c r="A7" s="97">
        <v>4</v>
      </c>
      <c r="B7" s="19" t="s">
        <v>120</v>
      </c>
      <c r="C7" s="19">
        <v>2</v>
      </c>
      <c r="D7" s="19">
        <v>78.760000000000005</v>
      </c>
      <c r="E7" s="76">
        <f t="shared" si="3"/>
        <v>157.52000000000001</v>
      </c>
      <c r="F7" s="76" t="s">
        <v>121</v>
      </c>
      <c r="G7" s="101">
        <v>28.5</v>
      </c>
      <c r="H7" s="76"/>
      <c r="I7" s="102">
        <v>28.5</v>
      </c>
      <c r="J7" s="76"/>
      <c r="K7" s="76">
        <f t="shared" si="0"/>
        <v>186.02</v>
      </c>
      <c r="L7" s="76">
        <f t="shared" si="1"/>
        <v>22.322400000000002</v>
      </c>
      <c r="M7" s="76">
        <f t="shared" si="2"/>
        <v>208.3424</v>
      </c>
    </row>
    <row r="8" spans="1:13" ht="14.25" customHeight="1">
      <c r="A8" s="97">
        <v>5</v>
      </c>
      <c r="B8" s="19" t="s">
        <v>122</v>
      </c>
      <c r="C8" s="19">
        <v>2</v>
      </c>
      <c r="D8" s="19">
        <v>58</v>
      </c>
      <c r="E8" s="76">
        <v>81.42</v>
      </c>
      <c r="F8" s="76" t="s">
        <v>123</v>
      </c>
      <c r="G8" s="101">
        <v>28.5</v>
      </c>
      <c r="H8" s="76"/>
      <c r="I8" s="102">
        <v>28.5</v>
      </c>
      <c r="J8" s="76"/>
      <c r="K8" s="76">
        <f t="shared" si="0"/>
        <v>109.92</v>
      </c>
      <c r="L8" s="76">
        <f t="shared" si="1"/>
        <v>13.1904</v>
      </c>
      <c r="M8" s="76">
        <f t="shared" si="2"/>
        <v>123.1104</v>
      </c>
    </row>
    <row r="9" spans="1:13" ht="14.25" customHeight="1">
      <c r="A9" s="97">
        <v>6</v>
      </c>
      <c r="B9" s="19" t="s">
        <v>124</v>
      </c>
      <c r="C9" s="19">
        <v>1</v>
      </c>
      <c r="D9" s="19">
        <f>23.31+68+113.13</f>
        <v>204.44</v>
      </c>
      <c r="E9" s="76">
        <v>271.51</v>
      </c>
      <c r="F9" s="76" t="s">
        <v>125</v>
      </c>
      <c r="G9" s="101">
        <v>123.75</v>
      </c>
      <c r="H9" s="76"/>
      <c r="I9" s="102">
        <v>123.75</v>
      </c>
      <c r="J9" s="76"/>
      <c r="K9" s="76">
        <f t="shared" si="0"/>
        <v>395.26</v>
      </c>
      <c r="L9" s="76">
        <f t="shared" si="1"/>
        <v>47.431199999999997</v>
      </c>
      <c r="M9" s="76">
        <f t="shared" si="2"/>
        <v>442.69119999999998</v>
      </c>
    </row>
    <row r="10" spans="1:13" ht="14.25" customHeight="1">
      <c r="A10" s="97">
        <v>7</v>
      </c>
      <c r="B10" s="19" t="s">
        <v>126</v>
      </c>
      <c r="C10" s="19">
        <v>4</v>
      </c>
      <c r="D10" s="19">
        <v>12.22</v>
      </c>
      <c r="E10" s="76">
        <v>50.66</v>
      </c>
      <c r="F10" s="76" t="s">
        <v>127</v>
      </c>
      <c r="G10" s="101">
        <v>61.05</v>
      </c>
      <c r="H10" s="76"/>
      <c r="I10" s="102">
        <v>61.05</v>
      </c>
      <c r="J10" s="76"/>
      <c r="K10" s="76">
        <f t="shared" si="0"/>
        <v>111.71</v>
      </c>
      <c r="L10" s="76">
        <f t="shared" si="1"/>
        <v>13.405199999999999</v>
      </c>
      <c r="M10" s="76">
        <f t="shared" si="2"/>
        <v>125.11519999999999</v>
      </c>
    </row>
    <row r="11" spans="1:13" ht="14.25" customHeight="1">
      <c r="A11" s="97">
        <v>8</v>
      </c>
      <c r="B11" s="19" t="s">
        <v>128</v>
      </c>
      <c r="C11" s="19">
        <v>2</v>
      </c>
      <c r="D11" s="19">
        <v>3.88</v>
      </c>
      <c r="E11" s="76">
        <f t="shared" ref="E11:E13" si="4">D11*C11</f>
        <v>7.76</v>
      </c>
      <c r="F11" s="76" t="s">
        <v>129</v>
      </c>
      <c r="G11" s="101">
        <v>82</v>
      </c>
      <c r="H11" s="76"/>
      <c r="I11" s="102">
        <v>82</v>
      </c>
      <c r="J11" s="76"/>
      <c r="K11" s="76">
        <f t="shared" si="0"/>
        <v>89.76</v>
      </c>
      <c r="L11" s="76">
        <f t="shared" si="1"/>
        <v>10.7712</v>
      </c>
      <c r="M11" s="76">
        <f t="shared" si="2"/>
        <v>100.53120000000001</v>
      </c>
    </row>
    <row r="12" spans="1:13" ht="14.25" customHeight="1">
      <c r="A12" s="97">
        <v>9</v>
      </c>
      <c r="B12" s="19" t="s">
        <v>130</v>
      </c>
      <c r="C12" s="19">
        <v>2</v>
      </c>
      <c r="D12" s="19">
        <v>59.59</v>
      </c>
      <c r="E12" s="76">
        <f t="shared" si="4"/>
        <v>119.18</v>
      </c>
      <c r="F12" s="76" t="s">
        <v>131</v>
      </c>
      <c r="G12" s="101">
        <v>30</v>
      </c>
      <c r="H12" s="76"/>
      <c r="I12" s="102">
        <v>30</v>
      </c>
      <c r="J12" s="76"/>
      <c r="K12" s="76">
        <f t="shared" si="0"/>
        <v>149.18</v>
      </c>
      <c r="L12" s="76">
        <f t="shared" si="1"/>
        <v>17.901599999999998</v>
      </c>
      <c r="M12" s="76">
        <f t="shared" si="2"/>
        <v>167.08160000000001</v>
      </c>
    </row>
    <row r="13" spans="1:13" ht="14.25" customHeight="1">
      <c r="A13" s="97">
        <v>10</v>
      </c>
      <c r="B13" s="19" t="s">
        <v>132</v>
      </c>
      <c r="C13" s="19">
        <v>2</v>
      </c>
      <c r="D13" s="19">
        <v>70.739999999999995</v>
      </c>
      <c r="E13" s="76">
        <f t="shared" si="4"/>
        <v>141.47999999999999</v>
      </c>
      <c r="F13" s="76" t="s">
        <v>133</v>
      </c>
      <c r="G13" s="101">
        <v>30</v>
      </c>
      <c r="H13" s="76"/>
      <c r="I13" s="102">
        <v>30</v>
      </c>
      <c r="J13" s="76"/>
      <c r="K13" s="76">
        <f t="shared" si="0"/>
        <v>171.48</v>
      </c>
      <c r="L13" s="76">
        <f t="shared" si="1"/>
        <v>20.577599999999997</v>
      </c>
      <c r="M13" s="76">
        <f t="shared" si="2"/>
        <v>192.05759999999998</v>
      </c>
    </row>
    <row r="14" spans="1:13" ht="14.25" customHeight="1">
      <c r="A14" s="97">
        <v>11</v>
      </c>
      <c r="B14" s="19" t="s">
        <v>134</v>
      </c>
      <c r="C14" s="19">
        <v>4</v>
      </c>
      <c r="D14" s="19">
        <v>10</v>
      </c>
      <c r="E14" s="76">
        <v>38.96</v>
      </c>
      <c r="F14" s="76" t="s">
        <v>135</v>
      </c>
      <c r="G14" s="101">
        <v>82.5</v>
      </c>
      <c r="H14" s="76"/>
      <c r="I14" s="102">
        <v>82.5</v>
      </c>
      <c r="J14" s="76"/>
      <c r="K14" s="76">
        <f t="shared" si="0"/>
        <v>121.46000000000001</v>
      </c>
      <c r="L14" s="76">
        <f t="shared" si="1"/>
        <v>14.575200000000001</v>
      </c>
      <c r="M14" s="76">
        <f t="shared" si="2"/>
        <v>136.0352</v>
      </c>
    </row>
    <row r="15" spans="1:13" ht="14.25" customHeight="1">
      <c r="A15" s="97">
        <v>12</v>
      </c>
      <c r="B15" s="19" t="s">
        <v>136</v>
      </c>
      <c r="C15" s="19">
        <v>1</v>
      </c>
      <c r="D15" s="19">
        <v>12.96</v>
      </c>
      <c r="E15" s="76">
        <f>D15*C15</f>
        <v>12.96</v>
      </c>
      <c r="F15" s="76" t="s">
        <v>137</v>
      </c>
      <c r="G15" s="101">
        <v>49.5</v>
      </c>
      <c r="H15" s="76" t="s">
        <v>138</v>
      </c>
      <c r="I15" s="102">
        <v>82.5</v>
      </c>
      <c r="J15" s="76"/>
      <c r="K15" s="76">
        <f t="shared" si="0"/>
        <v>95.460000000000008</v>
      </c>
      <c r="L15" s="76">
        <f t="shared" si="1"/>
        <v>11.455200000000001</v>
      </c>
      <c r="M15" s="76">
        <f t="shared" si="2"/>
        <v>106.91520000000001</v>
      </c>
    </row>
    <row r="16" spans="1:13" ht="14.25" customHeight="1">
      <c r="A16" s="97">
        <v>13</v>
      </c>
      <c r="B16" s="19" t="s">
        <v>139</v>
      </c>
      <c r="C16" s="19">
        <v>1</v>
      </c>
      <c r="D16" s="19">
        <v>201.37</v>
      </c>
      <c r="E16" s="76">
        <v>188.24</v>
      </c>
      <c r="F16" s="76" t="s">
        <v>140</v>
      </c>
      <c r="G16" s="101">
        <v>61.05</v>
      </c>
      <c r="H16" s="76" t="s">
        <v>141</v>
      </c>
      <c r="I16" s="102">
        <v>86.05</v>
      </c>
      <c r="J16" s="76"/>
      <c r="K16" s="76">
        <f t="shared" si="0"/>
        <v>274.29000000000002</v>
      </c>
      <c r="L16" s="76">
        <f t="shared" si="1"/>
        <v>32.9148</v>
      </c>
      <c r="M16" s="76">
        <f t="shared" si="2"/>
        <v>307.20480000000003</v>
      </c>
    </row>
    <row r="17" spans="1:13" ht="14.25" customHeight="1">
      <c r="A17" s="97">
        <v>14</v>
      </c>
      <c r="B17" s="19" t="s">
        <v>142</v>
      </c>
      <c r="C17" s="19">
        <v>1</v>
      </c>
      <c r="D17" s="19">
        <v>30.44</v>
      </c>
      <c r="E17" s="76">
        <f t="shared" ref="E17:E19" si="5">D17*C17</f>
        <v>30.44</v>
      </c>
      <c r="F17" s="76" t="s">
        <v>143</v>
      </c>
      <c r="G17" s="103">
        <v>25.05</v>
      </c>
      <c r="H17" s="76" t="s">
        <v>141</v>
      </c>
      <c r="I17" s="102">
        <v>50.05</v>
      </c>
      <c r="J17" s="76"/>
      <c r="K17" s="76">
        <f t="shared" si="0"/>
        <v>80.489999999999995</v>
      </c>
      <c r="L17" s="76">
        <f t="shared" si="1"/>
        <v>9.6587999999999994</v>
      </c>
      <c r="M17" s="76">
        <f t="shared" si="2"/>
        <v>90.148799999999994</v>
      </c>
    </row>
    <row r="18" spans="1:13" ht="14.25" customHeight="1">
      <c r="A18" s="97">
        <v>15</v>
      </c>
      <c r="B18" s="19" t="s">
        <v>144</v>
      </c>
      <c r="C18" s="19">
        <v>4</v>
      </c>
      <c r="D18" s="19">
        <v>389.39</v>
      </c>
      <c r="E18" s="76">
        <f t="shared" si="5"/>
        <v>1557.56</v>
      </c>
      <c r="F18" s="76" t="s">
        <v>145</v>
      </c>
      <c r="G18" s="101">
        <v>41.25</v>
      </c>
      <c r="H18" s="76"/>
      <c r="I18" s="102">
        <v>41.25</v>
      </c>
      <c r="J18" s="76"/>
      <c r="K18" s="76">
        <f t="shared" si="0"/>
        <v>1598.81</v>
      </c>
      <c r="L18" s="76">
        <f t="shared" si="1"/>
        <v>191.85719999999998</v>
      </c>
      <c r="M18" s="76">
        <f t="shared" si="2"/>
        <v>1790.6671999999999</v>
      </c>
    </row>
    <row r="19" spans="1:13" ht="14.25" customHeight="1">
      <c r="A19" s="97">
        <v>16</v>
      </c>
      <c r="B19" s="19" t="s">
        <v>146</v>
      </c>
      <c r="C19" s="19">
        <v>1</v>
      </c>
      <c r="D19" s="19">
        <v>1340.14</v>
      </c>
      <c r="E19" s="76">
        <f t="shared" si="5"/>
        <v>1340.14</v>
      </c>
      <c r="F19" s="76" t="s">
        <v>147</v>
      </c>
      <c r="G19" s="101">
        <v>49.5</v>
      </c>
      <c r="H19" s="76" t="s">
        <v>148</v>
      </c>
      <c r="I19" s="102">
        <v>99.5</v>
      </c>
      <c r="J19" s="76"/>
      <c r="K19" s="76">
        <f t="shared" si="0"/>
        <v>1439.64</v>
      </c>
      <c r="L19" s="76">
        <f t="shared" si="1"/>
        <v>172.7568</v>
      </c>
      <c r="M19" s="76">
        <f t="shared" si="2"/>
        <v>1612.3968</v>
      </c>
    </row>
    <row r="20" spans="1:13" ht="14.25" customHeight="1">
      <c r="A20" s="97">
        <v>17</v>
      </c>
      <c r="B20" s="19" t="s">
        <v>149</v>
      </c>
      <c r="C20" s="19">
        <v>1</v>
      </c>
      <c r="D20" s="19">
        <v>500</v>
      </c>
      <c r="E20" s="76">
        <v>642.29999999999995</v>
      </c>
      <c r="F20" s="76" t="s">
        <v>150</v>
      </c>
      <c r="G20" s="101">
        <v>82.5</v>
      </c>
      <c r="H20" s="76"/>
      <c r="I20" s="102">
        <v>82.5</v>
      </c>
      <c r="J20" s="76">
        <v>15</v>
      </c>
      <c r="K20" s="76">
        <f t="shared" si="0"/>
        <v>739.8</v>
      </c>
      <c r="L20" s="76">
        <f t="shared" si="1"/>
        <v>88.775999999999996</v>
      </c>
      <c r="M20" s="76">
        <f t="shared" si="2"/>
        <v>828.57599999999991</v>
      </c>
    </row>
    <row r="21" spans="1:13" ht="14.25" customHeight="1">
      <c r="A21" s="97">
        <v>18</v>
      </c>
      <c r="B21" s="19" t="s">
        <v>151</v>
      </c>
      <c r="C21" s="19">
        <v>2</v>
      </c>
      <c r="D21" s="19">
        <v>35.68</v>
      </c>
      <c r="E21" s="76">
        <f t="shared" ref="E21:E22" si="6">D21*C21</f>
        <v>71.36</v>
      </c>
      <c r="F21" s="76" t="s">
        <v>152</v>
      </c>
      <c r="G21" s="101">
        <v>33</v>
      </c>
      <c r="H21" s="76" t="s">
        <v>153</v>
      </c>
      <c r="I21" s="102">
        <v>51</v>
      </c>
      <c r="J21" s="76"/>
      <c r="K21" s="76">
        <f t="shared" si="0"/>
        <v>122.36</v>
      </c>
      <c r="L21" s="76">
        <f t="shared" si="1"/>
        <v>14.683199999999999</v>
      </c>
      <c r="M21" s="76">
        <f t="shared" si="2"/>
        <v>137.04320000000001</v>
      </c>
    </row>
    <row r="22" spans="1:13" ht="14.25" customHeight="1">
      <c r="A22" s="97">
        <v>19</v>
      </c>
      <c r="B22" s="19" t="s">
        <v>154</v>
      </c>
      <c r="C22" s="19">
        <v>2</v>
      </c>
      <c r="D22" s="19">
        <v>35.54</v>
      </c>
      <c r="E22" s="76">
        <f t="shared" si="6"/>
        <v>71.08</v>
      </c>
      <c r="F22" s="76" t="s">
        <v>152</v>
      </c>
      <c r="G22" s="101">
        <v>33</v>
      </c>
      <c r="H22" s="76" t="s">
        <v>153</v>
      </c>
      <c r="I22" s="102">
        <v>51</v>
      </c>
      <c r="J22" s="76"/>
      <c r="K22" s="76">
        <f t="shared" si="0"/>
        <v>122.08</v>
      </c>
      <c r="L22" s="76">
        <f t="shared" si="1"/>
        <v>14.6496</v>
      </c>
      <c r="M22" s="76">
        <f t="shared" si="2"/>
        <v>136.7296</v>
      </c>
    </row>
    <row r="23" spans="1:13" ht="14.25" customHeight="1">
      <c r="A23" s="97">
        <v>20</v>
      </c>
      <c r="B23" s="19" t="s">
        <v>155</v>
      </c>
      <c r="C23" s="19">
        <v>1</v>
      </c>
      <c r="D23" s="19">
        <v>390.18</v>
      </c>
      <c r="E23" s="76">
        <v>352.87</v>
      </c>
      <c r="F23" s="76" t="s">
        <v>156</v>
      </c>
      <c r="G23" s="101">
        <v>49.5</v>
      </c>
      <c r="H23" s="76" t="s">
        <v>157</v>
      </c>
      <c r="I23" s="102">
        <v>109.5</v>
      </c>
      <c r="J23" s="76"/>
      <c r="K23" s="76">
        <f t="shared" si="0"/>
        <v>462.37</v>
      </c>
      <c r="L23" s="76">
        <f t="shared" si="1"/>
        <v>55.484400000000001</v>
      </c>
      <c r="M23" s="76">
        <f t="shared" si="2"/>
        <v>517.85440000000006</v>
      </c>
    </row>
    <row r="24" spans="1:13" ht="14.25" customHeight="1">
      <c r="A24" s="97">
        <v>21</v>
      </c>
      <c r="B24" s="19" t="s">
        <v>158</v>
      </c>
      <c r="C24" s="19">
        <v>1</v>
      </c>
      <c r="D24" s="19">
        <v>48.27</v>
      </c>
      <c r="E24" s="76">
        <v>26.6</v>
      </c>
      <c r="F24" s="76" t="s">
        <v>159</v>
      </c>
      <c r="G24" s="101">
        <v>14.85</v>
      </c>
      <c r="H24" s="76"/>
      <c r="I24" s="102">
        <v>14.85</v>
      </c>
      <c r="J24" s="76"/>
      <c r="K24" s="76">
        <f t="shared" si="0"/>
        <v>41.45</v>
      </c>
      <c r="L24" s="76">
        <f t="shared" si="1"/>
        <v>4.9740000000000002</v>
      </c>
      <c r="M24" s="76">
        <f t="shared" si="2"/>
        <v>46.424000000000007</v>
      </c>
    </row>
    <row r="25" spans="1:13" ht="14.25" customHeight="1">
      <c r="A25" s="97">
        <v>22</v>
      </c>
      <c r="B25" s="19" t="s">
        <v>160</v>
      </c>
      <c r="C25" s="19">
        <v>1</v>
      </c>
      <c r="D25" s="19">
        <f>35.53+28.1+21.75+4.84+16.97+10.45+16.55+14.43+10.45+18.77</f>
        <v>177.84</v>
      </c>
      <c r="E25" s="76">
        <v>172.6</v>
      </c>
      <c r="F25" s="76" t="s">
        <v>161</v>
      </c>
      <c r="G25" s="101">
        <v>165</v>
      </c>
      <c r="H25" s="76" t="s">
        <v>162</v>
      </c>
      <c r="I25" s="102">
        <v>240</v>
      </c>
      <c r="J25" s="76">
        <v>48</v>
      </c>
      <c r="K25" s="76">
        <f t="shared" si="0"/>
        <v>460.6</v>
      </c>
      <c r="L25" s="76">
        <f t="shared" si="1"/>
        <v>55.271999999999998</v>
      </c>
      <c r="M25" s="76">
        <f t="shared" si="2"/>
        <v>515.87200000000007</v>
      </c>
    </row>
    <row r="26" spans="1:13" ht="14.25" customHeight="1">
      <c r="A26" s="97">
        <v>23</v>
      </c>
      <c r="B26" s="19" t="s">
        <v>163</v>
      </c>
      <c r="C26" s="19">
        <v>1</v>
      </c>
      <c r="D26" s="19">
        <f>42.99+66.16+26.91+28.13*2</f>
        <v>192.32</v>
      </c>
      <c r="E26" s="76">
        <v>161.59</v>
      </c>
      <c r="F26" s="76" t="s">
        <v>164</v>
      </c>
      <c r="G26" s="101">
        <v>165</v>
      </c>
      <c r="H26" s="76" t="s">
        <v>162</v>
      </c>
      <c r="I26" s="102">
        <v>240</v>
      </c>
      <c r="J26" s="76">
        <v>48</v>
      </c>
      <c r="K26" s="76">
        <f t="shared" si="0"/>
        <v>449.59000000000003</v>
      </c>
      <c r="L26" s="76">
        <f t="shared" si="1"/>
        <v>53.950800000000001</v>
      </c>
      <c r="M26" s="76">
        <f t="shared" si="2"/>
        <v>503.54080000000005</v>
      </c>
    </row>
    <row r="27" spans="1:13" ht="14.25" customHeight="1">
      <c r="A27" s="97">
        <v>24</v>
      </c>
      <c r="B27" s="19" t="s">
        <v>165</v>
      </c>
      <c r="C27" s="19">
        <v>2</v>
      </c>
      <c r="D27" s="19">
        <v>164.59</v>
      </c>
      <c r="E27" s="76">
        <v>184.34</v>
      </c>
      <c r="F27" s="76" t="s">
        <v>166</v>
      </c>
      <c r="G27" s="101">
        <v>66</v>
      </c>
      <c r="H27" s="76"/>
      <c r="I27" s="102">
        <v>66</v>
      </c>
      <c r="J27" s="76"/>
      <c r="K27" s="76">
        <f t="shared" si="0"/>
        <v>250.34</v>
      </c>
      <c r="L27" s="76">
        <f t="shared" si="1"/>
        <v>30.040800000000001</v>
      </c>
      <c r="M27" s="76">
        <f t="shared" si="2"/>
        <v>280.38080000000002</v>
      </c>
    </row>
    <row r="28" spans="1:13" ht="14.25" customHeight="1">
      <c r="A28" s="104"/>
      <c r="B28" s="19" t="s">
        <v>110</v>
      </c>
      <c r="C28" s="19"/>
      <c r="D28" s="19"/>
      <c r="E28" s="76">
        <f>SUM(E4:E27)</f>
        <v>7164.4000000000015</v>
      </c>
      <c r="F28" s="19"/>
      <c r="G28" s="19"/>
      <c r="H28" s="19"/>
      <c r="I28" s="76">
        <f t="shared" ref="I28:M28" si="7">SUM(I4:I27)</f>
        <v>2043.35</v>
      </c>
      <c r="J28" s="76">
        <f t="shared" si="7"/>
        <v>126</v>
      </c>
      <c r="K28" s="76">
        <f t="shared" si="7"/>
        <v>9333.75</v>
      </c>
      <c r="L28" s="76">
        <f t="shared" si="7"/>
        <v>1120.05</v>
      </c>
      <c r="M28" s="76">
        <f t="shared" si="7"/>
        <v>10453.800000000001</v>
      </c>
    </row>
    <row r="29" spans="1:13" ht="14.25" customHeight="1">
      <c r="A29" s="104"/>
      <c r="B29" s="19" t="s">
        <v>111</v>
      </c>
      <c r="C29" s="19"/>
      <c r="D29" s="19"/>
      <c r="E29" s="76">
        <f>+E28*0.12</f>
        <v>859.72800000000018</v>
      </c>
      <c r="F29" s="19"/>
      <c r="G29" s="19"/>
      <c r="H29" s="19"/>
      <c r="I29" s="76">
        <f t="shared" ref="I29:M29" si="8">+I28*0.12</f>
        <v>245.20199999999997</v>
      </c>
      <c r="J29" s="76">
        <f t="shared" si="8"/>
        <v>15.12</v>
      </c>
      <c r="K29" s="76">
        <f t="shared" si="8"/>
        <v>1120.05</v>
      </c>
      <c r="L29" s="76">
        <f t="shared" si="8"/>
        <v>134.40599999999998</v>
      </c>
      <c r="M29" s="76">
        <f t="shared" si="8"/>
        <v>1254.4560000000001</v>
      </c>
    </row>
    <row r="30" spans="1:13" ht="14.25" customHeight="1">
      <c r="A30" s="104"/>
      <c r="B30" s="19" t="s">
        <v>27</v>
      </c>
      <c r="C30" s="19"/>
      <c r="D30" s="19"/>
      <c r="E30" s="76">
        <f>+E28+E29</f>
        <v>8024.1280000000015</v>
      </c>
      <c r="F30" s="19"/>
      <c r="G30" s="19"/>
      <c r="H30" s="19"/>
      <c r="I30" s="76">
        <f t="shared" ref="I30:M30" si="9">+I28+I29</f>
        <v>2288.5519999999997</v>
      </c>
      <c r="J30" s="76">
        <f t="shared" si="9"/>
        <v>141.12</v>
      </c>
      <c r="K30" s="76">
        <f t="shared" si="9"/>
        <v>10453.799999999999</v>
      </c>
      <c r="L30" s="76">
        <f t="shared" si="9"/>
        <v>1254.4559999999999</v>
      </c>
      <c r="M30" s="76">
        <f t="shared" si="9"/>
        <v>11708.256000000001</v>
      </c>
    </row>
    <row r="31" spans="1:13" ht="14.25" customHeight="1">
      <c r="A31" s="104"/>
    </row>
    <row r="32" spans="1:13" ht="14.25" customHeight="1">
      <c r="A32" s="104"/>
    </row>
    <row r="33" spans="1:1" ht="14.25" customHeight="1">
      <c r="A33" s="104"/>
    </row>
    <row r="34" spans="1:1" ht="14.25" customHeight="1">
      <c r="A34" s="104"/>
    </row>
    <row r="35" spans="1:1" ht="14.25" customHeight="1">
      <c r="A35" s="104"/>
    </row>
    <row r="36" spans="1:1" ht="14.25" customHeight="1">
      <c r="A36" s="104"/>
    </row>
    <row r="37" spans="1:1" ht="14.25" customHeight="1">
      <c r="A37" s="104"/>
    </row>
    <row r="38" spans="1:1" ht="14.25" customHeight="1">
      <c r="A38" s="104"/>
    </row>
    <row r="39" spans="1:1" ht="14.25" customHeight="1">
      <c r="A39" s="104"/>
    </row>
    <row r="40" spans="1:1" ht="14.25" customHeight="1">
      <c r="A40" s="104"/>
    </row>
    <row r="41" spans="1:1" ht="14.25" customHeight="1">
      <c r="A41" s="104"/>
    </row>
    <row r="42" spans="1:1" ht="14.25" customHeight="1">
      <c r="A42" s="104"/>
    </row>
    <row r="43" spans="1:1" ht="14.25" customHeight="1">
      <c r="A43" s="104"/>
    </row>
    <row r="44" spans="1:1" ht="14.25" customHeight="1">
      <c r="A44" s="104"/>
    </row>
    <row r="45" spans="1:1" ht="14.25" customHeight="1">
      <c r="A45" s="104"/>
    </row>
    <row r="46" spans="1:1" ht="14.25" customHeight="1">
      <c r="A46" s="104"/>
    </row>
    <row r="47" spans="1:1" ht="14.25" customHeight="1">
      <c r="A47" s="104"/>
    </row>
    <row r="48" spans="1:1" ht="14.25" customHeight="1">
      <c r="A48" s="104"/>
    </row>
    <row r="49" spans="1:1" ht="14.25" customHeight="1">
      <c r="A49" s="104"/>
    </row>
    <row r="50" spans="1:1" ht="14.25" customHeight="1">
      <c r="A50" s="104"/>
    </row>
    <row r="51" spans="1:1" ht="14.25" customHeight="1">
      <c r="A51" s="104"/>
    </row>
    <row r="52" spans="1:1" ht="14.25" customHeight="1">
      <c r="A52" s="104"/>
    </row>
    <row r="53" spans="1:1" ht="14.25" customHeight="1">
      <c r="A53" s="104"/>
    </row>
    <row r="54" spans="1:1" ht="14.25" customHeight="1">
      <c r="A54" s="104"/>
    </row>
    <row r="55" spans="1:1" ht="14.25" customHeight="1">
      <c r="A55" s="104"/>
    </row>
    <row r="56" spans="1:1" ht="14.25" customHeight="1">
      <c r="A56" s="104"/>
    </row>
    <row r="57" spans="1:1" ht="14.25" customHeight="1">
      <c r="A57" s="104"/>
    </row>
    <row r="58" spans="1:1" ht="14.25" customHeight="1">
      <c r="A58" s="104"/>
    </row>
    <row r="59" spans="1:1" ht="14.25" customHeight="1">
      <c r="A59" s="104"/>
    </row>
    <row r="60" spans="1:1" ht="14.25" customHeight="1">
      <c r="A60" s="104"/>
    </row>
    <row r="61" spans="1:1" ht="14.25" customHeight="1">
      <c r="A61" s="104"/>
    </row>
    <row r="62" spans="1:1" ht="14.25" customHeight="1">
      <c r="A62" s="104"/>
    </row>
    <row r="63" spans="1:1" ht="14.25" customHeight="1">
      <c r="A63" s="104"/>
    </row>
    <row r="64" spans="1:1" ht="14.25" customHeight="1">
      <c r="A64" s="104"/>
    </row>
    <row r="65" spans="1:1" ht="14.25" customHeight="1">
      <c r="A65" s="104"/>
    </row>
    <row r="66" spans="1:1" ht="14.25" customHeight="1">
      <c r="A66" s="104"/>
    </row>
    <row r="67" spans="1:1" ht="14.25" customHeight="1">
      <c r="A67" s="104"/>
    </row>
    <row r="68" spans="1:1" ht="14.25" customHeight="1">
      <c r="A68" s="104"/>
    </row>
    <row r="69" spans="1:1" ht="14.25" customHeight="1">
      <c r="A69" s="104"/>
    </row>
    <row r="70" spans="1:1" ht="14.25" customHeight="1">
      <c r="A70" s="104"/>
    </row>
    <row r="71" spans="1:1" ht="14.25" customHeight="1">
      <c r="A71" s="104"/>
    </row>
    <row r="72" spans="1:1" ht="14.25" customHeight="1">
      <c r="A72" s="104"/>
    </row>
    <row r="73" spans="1:1" ht="14.25" customHeight="1">
      <c r="A73" s="104"/>
    </row>
    <row r="74" spans="1:1" ht="14.25" customHeight="1">
      <c r="A74" s="104"/>
    </row>
    <row r="75" spans="1:1" ht="14.25" customHeight="1">
      <c r="A75" s="104"/>
    </row>
    <row r="76" spans="1:1" ht="14.25" customHeight="1">
      <c r="A76" s="104"/>
    </row>
    <row r="77" spans="1:1" ht="14.25" customHeight="1">
      <c r="A77" s="104"/>
    </row>
    <row r="78" spans="1:1" ht="14.25" customHeight="1">
      <c r="A78" s="104"/>
    </row>
    <row r="79" spans="1:1" ht="14.25" customHeight="1">
      <c r="A79" s="104"/>
    </row>
    <row r="80" spans="1:1" ht="14.25" customHeight="1">
      <c r="A80" s="104"/>
    </row>
    <row r="81" spans="1:1" ht="14.25" customHeight="1">
      <c r="A81" s="104"/>
    </row>
    <row r="82" spans="1:1" ht="14.25" customHeight="1">
      <c r="A82" s="104"/>
    </row>
    <row r="83" spans="1:1" ht="14.25" customHeight="1">
      <c r="A83" s="104"/>
    </row>
    <row r="84" spans="1:1" ht="14.25" customHeight="1">
      <c r="A84" s="104"/>
    </row>
    <row r="85" spans="1:1" ht="14.25" customHeight="1">
      <c r="A85" s="104"/>
    </row>
    <row r="86" spans="1:1" ht="14.25" customHeight="1">
      <c r="A86" s="104"/>
    </row>
    <row r="87" spans="1:1" ht="14.25" customHeight="1">
      <c r="A87" s="104"/>
    </row>
    <row r="88" spans="1:1" ht="14.25" customHeight="1">
      <c r="A88" s="104"/>
    </row>
    <row r="89" spans="1:1" ht="14.25" customHeight="1">
      <c r="A89" s="104"/>
    </row>
    <row r="90" spans="1:1" ht="14.25" customHeight="1">
      <c r="A90" s="104"/>
    </row>
    <row r="91" spans="1:1" ht="14.25" customHeight="1">
      <c r="A91" s="104"/>
    </row>
    <row r="92" spans="1:1" ht="14.25" customHeight="1">
      <c r="A92" s="104"/>
    </row>
    <row r="93" spans="1:1" ht="14.25" customHeight="1">
      <c r="A93" s="104"/>
    </row>
    <row r="94" spans="1:1" ht="14.25" customHeight="1">
      <c r="A94" s="104"/>
    </row>
    <row r="95" spans="1:1" ht="14.25" customHeight="1">
      <c r="A95" s="104"/>
    </row>
    <row r="96" spans="1:1" ht="14.25" customHeight="1">
      <c r="A96" s="104"/>
    </row>
    <row r="97" spans="1:1" ht="14.25" customHeight="1">
      <c r="A97" s="104"/>
    </row>
    <row r="98" spans="1:1" ht="14.25" customHeight="1">
      <c r="A98" s="104"/>
    </row>
    <row r="99" spans="1:1" ht="14.25" customHeight="1">
      <c r="A99" s="104"/>
    </row>
    <row r="100" spans="1:1" ht="14.25" customHeight="1">
      <c r="A100" s="104"/>
    </row>
    <row r="101" spans="1:1" ht="14.25" customHeight="1">
      <c r="A101" s="104"/>
    </row>
    <row r="102" spans="1:1" ht="14.25" customHeight="1">
      <c r="A102" s="104"/>
    </row>
    <row r="103" spans="1:1" ht="14.25" customHeight="1">
      <c r="A103" s="104"/>
    </row>
    <row r="104" spans="1:1" ht="14.25" customHeight="1">
      <c r="A104" s="104"/>
    </row>
    <row r="105" spans="1:1" ht="14.25" customHeight="1">
      <c r="A105" s="104"/>
    </row>
    <row r="106" spans="1:1" ht="14.25" customHeight="1">
      <c r="A106" s="104"/>
    </row>
    <row r="107" spans="1:1" ht="14.25" customHeight="1">
      <c r="A107" s="104"/>
    </row>
    <row r="108" spans="1:1" ht="14.25" customHeight="1">
      <c r="A108" s="104"/>
    </row>
    <row r="109" spans="1:1" ht="14.25" customHeight="1">
      <c r="A109" s="104"/>
    </row>
    <row r="110" spans="1:1" ht="14.25" customHeight="1">
      <c r="A110" s="104"/>
    </row>
    <row r="111" spans="1:1" ht="14.25" customHeight="1">
      <c r="A111" s="104"/>
    </row>
    <row r="112" spans="1:1" ht="14.25" customHeight="1">
      <c r="A112" s="104"/>
    </row>
    <row r="113" spans="1:1" ht="14.25" customHeight="1">
      <c r="A113" s="104"/>
    </row>
    <row r="114" spans="1:1" ht="14.25" customHeight="1">
      <c r="A114" s="104"/>
    </row>
    <row r="115" spans="1:1" ht="14.25" customHeight="1">
      <c r="A115" s="104"/>
    </row>
    <row r="116" spans="1:1" ht="14.25" customHeight="1">
      <c r="A116" s="104"/>
    </row>
    <row r="117" spans="1:1" ht="14.25" customHeight="1">
      <c r="A117" s="104"/>
    </row>
    <row r="118" spans="1:1" ht="14.25" customHeight="1">
      <c r="A118" s="104"/>
    </row>
    <row r="119" spans="1:1" ht="14.25" customHeight="1">
      <c r="A119" s="104"/>
    </row>
    <row r="120" spans="1:1" ht="14.25" customHeight="1">
      <c r="A120" s="104"/>
    </row>
    <row r="121" spans="1:1" ht="14.25" customHeight="1">
      <c r="A121" s="104"/>
    </row>
    <row r="122" spans="1:1" ht="14.25" customHeight="1">
      <c r="A122" s="104"/>
    </row>
    <row r="123" spans="1:1" ht="14.25" customHeight="1">
      <c r="A123" s="104"/>
    </row>
    <row r="124" spans="1:1" ht="14.25" customHeight="1">
      <c r="A124" s="104"/>
    </row>
    <row r="125" spans="1:1" ht="14.25" customHeight="1">
      <c r="A125" s="104"/>
    </row>
    <row r="126" spans="1:1" ht="14.25" customHeight="1">
      <c r="A126" s="104"/>
    </row>
    <row r="127" spans="1:1" ht="14.25" customHeight="1">
      <c r="A127" s="104"/>
    </row>
    <row r="128" spans="1:1" ht="14.25" customHeight="1">
      <c r="A128" s="104"/>
    </row>
    <row r="129" spans="1:1" ht="14.25" customHeight="1">
      <c r="A129" s="104"/>
    </row>
    <row r="130" spans="1:1" ht="14.25" customHeight="1">
      <c r="A130" s="104"/>
    </row>
    <row r="131" spans="1:1" ht="14.25" customHeight="1">
      <c r="A131" s="104"/>
    </row>
    <row r="132" spans="1:1" ht="14.25" customHeight="1">
      <c r="A132" s="104"/>
    </row>
    <row r="133" spans="1:1" ht="14.25" customHeight="1">
      <c r="A133" s="104"/>
    </row>
    <row r="134" spans="1:1" ht="14.25" customHeight="1">
      <c r="A134" s="104"/>
    </row>
    <row r="135" spans="1:1" ht="14.25" customHeight="1">
      <c r="A135" s="104"/>
    </row>
    <row r="136" spans="1:1" ht="14.25" customHeight="1">
      <c r="A136" s="104"/>
    </row>
    <row r="137" spans="1:1" ht="14.25" customHeight="1">
      <c r="A137" s="104"/>
    </row>
    <row r="138" spans="1:1" ht="14.25" customHeight="1">
      <c r="A138" s="104"/>
    </row>
    <row r="139" spans="1:1" ht="14.25" customHeight="1">
      <c r="A139" s="104"/>
    </row>
    <row r="140" spans="1:1" ht="14.25" customHeight="1">
      <c r="A140" s="104"/>
    </row>
    <row r="141" spans="1:1" ht="14.25" customHeight="1">
      <c r="A141" s="104"/>
    </row>
    <row r="142" spans="1:1" ht="14.25" customHeight="1">
      <c r="A142" s="104"/>
    </row>
    <row r="143" spans="1:1" ht="14.25" customHeight="1">
      <c r="A143" s="104"/>
    </row>
    <row r="144" spans="1:1" ht="14.25" customHeight="1">
      <c r="A144" s="104"/>
    </row>
    <row r="145" spans="1:1" ht="14.25" customHeight="1">
      <c r="A145" s="104"/>
    </row>
    <row r="146" spans="1:1" ht="14.25" customHeight="1">
      <c r="A146" s="104"/>
    </row>
    <row r="147" spans="1:1" ht="14.25" customHeight="1">
      <c r="A147" s="104"/>
    </row>
    <row r="148" spans="1:1" ht="14.25" customHeight="1">
      <c r="A148" s="104"/>
    </row>
    <row r="149" spans="1:1" ht="14.25" customHeight="1">
      <c r="A149" s="104"/>
    </row>
    <row r="150" spans="1:1" ht="14.25" customHeight="1">
      <c r="A150" s="104"/>
    </row>
    <row r="151" spans="1:1" ht="14.25" customHeight="1">
      <c r="A151" s="104"/>
    </row>
    <row r="152" spans="1:1" ht="14.25" customHeight="1">
      <c r="A152" s="104"/>
    </row>
    <row r="153" spans="1:1" ht="14.25" customHeight="1">
      <c r="A153" s="104"/>
    </row>
    <row r="154" spans="1:1" ht="14.25" customHeight="1">
      <c r="A154" s="104"/>
    </row>
    <row r="155" spans="1:1" ht="14.25" customHeight="1">
      <c r="A155" s="104"/>
    </row>
    <row r="156" spans="1:1" ht="14.25" customHeight="1">
      <c r="A156" s="104"/>
    </row>
    <row r="157" spans="1:1" ht="14.25" customHeight="1">
      <c r="A157" s="104"/>
    </row>
    <row r="158" spans="1:1" ht="14.25" customHeight="1">
      <c r="A158" s="104"/>
    </row>
    <row r="159" spans="1:1" ht="14.25" customHeight="1">
      <c r="A159" s="104"/>
    </row>
    <row r="160" spans="1:1" ht="14.25" customHeight="1">
      <c r="A160" s="104"/>
    </row>
    <row r="161" spans="1:1" ht="14.25" customHeight="1">
      <c r="A161" s="104"/>
    </row>
    <row r="162" spans="1:1" ht="14.25" customHeight="1">
      <c r="A162" s="104"/>
    </row>
    <row r="163" spans="1:1" ht="14.25" customHeight="1">
      <c r="A163" s="104"/>
    </row>
    <row r="164" spans="1:1" ht="14.25" customHeight="1">
      <c r="A164" s="104"/>
    </row>
    <row r="165" spans="1:1" ht="14.25" customHeight="1">
      <c r="A165" s="104"/>
    </row>
    <row r="166" spans="1:1" ht="14.25" customHeight="1">
      <c r="A166" s="104"/>
    </row>
    <row r="167" spans="1:1" ht="14.25" customHeight="1">
      <c r="A167" s="104"/>
    </row>
    <row r="168" spans="1:1" ht="14.25" customHeight="1">
      <c r="A168" s="104"/>
    </row>
    <row r="169" spans="1:1" ht="14.25" customHeight="1">
      <c r="A169" s="104"/>
    </row>
    <row r="170" spans="1:1" ht="14.25" customHeight="1">
      <c r="A170" s="104"/>
    </row>
    <row r="171" spans="1:1" ht="14.25" customHeight="1">
      <c r="A171" s="104"/>
    </row>
    <row r="172" spans="1:1" ht="14.25" customHeight="1">
      <c r="A172" s="104"/>
    </row>
    <row r="173" spans="1:1" ht="14.25" customHeight="1">
      <c r="A173" s="104"/>
    </row>
    <row r="174" spans="1:1" ht="14.25" customHeight="1">
      <c r="A174" s="104"/>
    </row>
    <row r="175" spans="1:1" ht="14.25" customHeight="1">
      <c r="A175" s="104"/>
    </row>
    <row r="176" spans="1:1" ht="14.25" customHeight="1">
      <c r="A176" s="104"/>
    </row>
    <row r="177" spans="1:1" ht="14.25" customHeight="1">
      <c r="A177" s="104"/>
    </row>
    <row r="178" spans="1:1" ht="14.25" customHeight="1">
      <c r="A178" s="104"/>
    </row>
    <row r="179" spans="1:1" ht="14.25" customHeight="1">
      <c r="A179" s="104"/>
    </row>
    <row r="180" spans="1:1" ht="14.25" customHeight="1">
      <c r="A180" s="104"/>
    </row>
    <row r="181" spans="1:1" ht="14.25" customHeight="1">
      <c r="A181" s="104"/>
    </row>
    <row r="182" spans="1:1" ht="14.25" customHeight="1">
      <c r="A182" s="104"/>
    </row>
    <row r="183" spans="1:1" ht="14.25" customHeight="1">
      <c r="A183" s="104"/>
    </row>
    <row r="184" spans="1:1" ht="14.25" customHeight="1">
      <c r="A184" s="104"/>
    </row>
    <row r="185" spans="1:1" ht="14.25" customHeight="1">
      <c r="A185" s="104"/>
    </row>
    <row r="186" spans="1:1" ht="14.25" customHeight="1">
      <c r="A186" s="104"/>
    </row>
    <row r="187" spans="1:1" ht="14.25" customHeight="1">
      <c r="A187" s="104"/>
    </row>
    <row r="188" spans="1:1" ht="14.25" customHeight="1">
      <c r="A188" s="104"/>
    </row>
    <row r="189" spans="1:1" ht="14.25" customHeight="1">
      <c r="A189" s="104"/>
    </row>
    <row r="190" spans="1:1" ht="14.25" customHeight="1">
      <c r="A190" s="104"/>
    </row>
    <row r="191" spans="1:1" ht="14.25" customHeight="1">
      <c r="A191" s="104"/>
    </row>
    <row r="192" spans="1:1" ht="14.25" customHeight="1">
      <c r="A192" s="104"/>
    </row>
    <row r="193" spans="1:1" ht="14.25" customHeight="1">
      <c r="A193" s="104"/>
    </row>
    <row r="194" spans="1:1" ht="14.25" customHeight="1">
      <c r="A194" s="104"/>
    </row>
    <row r="195" spans="1:1" ht="14.25" customHeight="1">
      <c r="A195" s="104"/>
    </row>
    <row r="196" spans="1:1" ht="14.25" customHeight="1">
      <c r="A196" s="104"/>
    </row>
    <row r="197" spans="1:1" ht="14.25" customHeight="1">
      <c r="A197" s="104"/>
    </row>
    <row r="198" spans="1:1" ht="14.25" customHeight="1">
      <c r="A198" s="104"/>
    </row>
    <row r="199" spans="1:1" ht="14.25" customHeight="1">
      <c r="A199" s="104"/>
    </row>
    <row r="200" spans="1:1" ht="14.25" customHeight="1">
      <c r="A200" s="104"/>
    </row>
    <row r="201" spans="1:1" ht="14.25" customHeight="1">
      <c r="A201" s="104"/>
    </row>
    <row r="202" spans="1:1" ht="14.25" customHeight="1">
      <c r="A202" s="104"/>
    </row>
    <row r="203" spans="1:1" ht="14.25" customHeight="1">
      <c r="A203" s="104"/>
    </row>
    <row r="204" spans="1:1" ht="14.25" customHeight="1">
      <c r="A204" s="104"/>
    </row>
    <row r="205" spans="1:1" ht="14.25" customHeight="1">
      <c r="A205" s="104"/>
    </row>
    <row r="206" spans="1:1" ht="14.25" customHeight="1">
      <c r="A206" s="104"/>
    </row>
    <row r="207" spans="1:1" ht="14.25" customHeight="1">
      <c r="A207" s="104"/>
    </row>
    <row r="208" spans="1:1" ht="14.25" customHeight="1">
      <c r="A208" s="104"/>
    </row>
    <row r="209" spans="1:1" ht="14.25" customHeight="1">
      <c r="A209" s="104"/>
    </row>
    <row r="210" spans="1:1" ht="14.25" customHeight="1">
      <c r="A210" s="104"/>
    </row>
    <row r="211" spans="1:1" ht="14.25" customHeight="1">
      <c r="A211" s="104"/>
    </row>
    <row r="212" spans="1:1" ht="14.25" customHeight="1">
      <c r="A212" s="104"/>
    </row>
    <row r="213" spans="1:1" ht="14.25" customHeight="1">
      <c r="A213" s="104"/>
    </row>
    <row r="214" spans="1:1" ht="14.25" customHeight="1">
      <c r="A214" s="104"/>
    </row>
    <row r="215" spans="1:1" ht="14.25" customHeight="1">
      <c r="A215" s="104"/>
    </row>
    <row r="216" spans="1:1" ht="14.25" customHeight="1">
      <c r="A216" s="104"/>
    </row>
    <row r="217" spans="1:1" ht="14.25" customHeight="1">
      <c r="A217" s="104"/>
    </row>
    <row r="218" spans="1:1" ht="14.25" customHeight="1">
      <c r="A218" s="104"/>
    </row>
    <row r="219" spans="1:1" ht="14.25" customHeight="1">
      <c r="A219" s="104"/>
    </row>
    <row r="220" spans="1:1" ht="14.25" customHeight="1">
      <c r="A220" s="104"/>
    </row>
    <row r="221" spans="1:1" ht="14.25" customHeight="1">
      <c r="A221" s="104"/>
    </row>
    <row r="222" spans="1:1" ht="14.25" customHeight="1">
      <c r="A222" s="104"/>
    </row>
    <row r="223" spans="1:1" ht="14.25" customHeight="1">
      <c r="A223" s="104"/>
    </row>
    <row r="224" spans="1:1" ht="14.25" customHeight="1">
      <c r="A224" s="104"/>
    </row>
    <row r="225" spans="1:1" ht="14.25" customHeight="1">
      <c r="A225" s="104"/>
    </row>
    <row r="226" spans="1:1" ht="14.25" customHeight="1">
      <c r="A226" s="104"/>
    </row>
    <row r="227" spans="1:1" ht="14.25" customHeight="1">
      <c r="A227" s="104"/>
    </row>
    <row r="228" spans="1:1" ht="14.25" customHeight="1">
      <c r="A228" s="104"/>
    </row>
    <row r="229" spans="1:1" ht="14.25" customHeight="1">
      <c r="A229" s="104"/>
    </row>
    <row r="230" spans="1:1" ht="14.25" customHeight="1">
      <c r="A230" s="104"/>
    </row>
    <row r="231" spans="1:1" ht="14.25" customHeight="1">
      <c r="A231" s="104"/>
    </row>
    <row r="232" spans="1:1" ht="14.25" customHeight="1">
      <c r="A232" s="104"/>
    </row>
    <row r="233" spans="1:1" ht="14.25" customHeight="1">
      <c r="A233" s="104"/>
    </row>
    <row r="234" spans="1:1" ht="14.25" customHeight="1">
      <c r="A234" s="104"/>
    </row>
    <row r="235" spans="1:1" ht="14.25" customHeight="1">
      <c r="A235" s="104"/>
    </row>
    <row r="236" spans="1:1" ht="14.25" customHeight="1">
      <c r="A236" s="104"/>
    </row>
    <row r="237" spans="1:1" ht="14.25" customHeight="1">
      <c r="A237" s="104"/>
    </row>
    <row r="238" spans="1:1" ht="14.25" customHeight="1">
      <c r="A238" s="104"/>
    </row>
    <row r="239" spans="1:1" ht="14.25" customHeight="1">
      <c r="A239" s="104"/>
    </row>
    <row r="240" spans="1:1" ht="14.25" customHeight="1">
      <c r="A240" s="104"/>
    </row>
    <row r="241" spans="1:1" ht="14.25" customHeight="1">
      <c r="A241" s="104"/>
    </row>
    <row r="242" spans="1:1" ht="14.25" customHeight="1">
      <c r="A242" s="104"/>
    </row>
    <row r="243" spans="1:1" ht="14.25" customHeight="1">
      <c r="A243" s="104"/>
    </row>
    <row r="244" spans="1:1" ht="14.25" customHeight="1">
      <c r="A244" s="104"/>
    </row>
    <row r="245" spans="1:1" ht="14.25" customHeight="1">
      <c r="A245" s="104"/>
    </row>
    <row r="246" spans="1:1" ht="14.25" customHeight="1">
      <c r="A246" s="104"/>
    </row>
    <row r="247" spans="1:1" ht="14.25" customHeight="1">
      <c r="A247" s="104"/>
    </row>
    <row r="248" spans="1:1" ht="14.25" customHeight="1">
      <c r="A248" s="104"/>
    </row>
    <row r="249" spans="1:1" ht="14.25" customHeight="1">
      <c r="A249" s="104"/>
    </row>
    <row r="250" spans="1:1" ht="14.25" customHeight="1">
      <c r="A250" s="104"/>
    </row>
    <row r="251" spans="1:1" ht="14.25" customHeight="1">
      <c r="A251" s="104"/>
    </row>
    <row r="252" spans="1:1" ht="14.25" customHeight="1">
      <c r="A252" s="104"/>
    </row>
    <row r="253" spans="1:1" ht="14.25" customHeight="1">
      <c r="A253" s="104"/>
    </row>
    <row r="254" spans="1:1" ht="14.25" customHeight="1">
      <c r="A254" s="104"/>
    </row>
    <row r="255" spans="1:1" ht="14.25" customHeight="1">
      <c r="A255" s="104"/>
    </row>
    <row r="256" spans="1:1" ht="14.25" customHeight="1">
      <c r="A256" s="104"/>
    </row>
    <row r="257" spans="1:1" ht="14.25" customHeight="1">
      <c r="A257" s="104"/>
    </row>
    <row r="258" spans="1:1" ht="14.25" customHeight="1">
      <c r="A258" s="104"/>
    </row>
    <row r="259" spans="1:1" ht="14.25" customHeight="1">
      <c r="A259" s="104"/>
    </row>
    <row r="260" spans="1:1" ht="14.25" customHeight="1">
      <c r="A260" s="104"/>
    </row>
    <row r="261" spans="1:1" ht="14.25" customHeight="1">
      <c r="A261" s="104"/>
    </row>
    <row r="262" spans="1:1" ht="14.25" customHeight="1">
      <c r="A262" s="104"/>
    </row>
    <row r="263" spans="1:1" ht="14.25" customHeight="1">
      <c r="A263" s="104"/>
    </row>
    <row r="264" spans="1:1" ht="14.25" customHeight="1">
      <c r="A264" s="104"/>
    </row>
    <row r="265" spans="1:1" ht="14.25" customHeight="1">
      <c r="A265" s="104"/>
    </row>
    <row r="266" spans="1:1" ht="14.25" customHeight="1">
      <c r="A266" s="104"/>
    </row>
    <row r="267" spans="1:1" ht="14.25" customHeight="1">
      <c r="A267" s="104"/>
    </row>
    <row r="268" spans="1:1" ht="14.25" customHeight="1">
      <c r="A268" s="104"/>
    </row>
    <row r="269" spans="1:1" ht="14.25" customHeight="1">
      <c r="A269" s="104"/>
    </row>
    <row r="270" spans="1:1" ht="14.25" customHeight="1">
      <c r="A270" s="104"/>
    </row>
    <row r="271" spans="1:1" ht="14.25" customHeight="1">
      <c r="A271" s="104"/>
    </row>
    <row r="272" spans="1:1" ht="14.25" customHeight="1">
      <c r="A272" s="104"/>
    </row>
    <row r="273" spans="1:1" ht="14.25" customHeight="1">
      <c r="A273" s="104"/>
    </row>
    <row r="274" spans="1:1" ht="14.25" customHeight="1">
      <c r="A274" s="104"/>
    </row>
    <row r="275" spans="1:1" ht="14.25" customHeight="1">
      <c r="A275" s="104"/>
    </row>
    <row r="276" spans="1:1" ht="14.25" customHeight="1">
      <c r="A276" s="104"/>
    </row>
    <row r="277" spans="1:1" ht="14.25" customHeight="1">
      <c r="A277" s="104"/>
    </row>
    <row r="278" spans="1:1" ht="14.25" customHeight="1">
      <c r="A278" s="104"/>
    </row>
    <row r="279" spans="1:1" ht="14.25" customHeight="1">
      <c r="A279" s="104"/>
    </row>
    <row r="280" spans="1:1" ht="14.25" customHeight="1">
      <c r="A280" s="104"/>
    </row>
    <row r="281" spans="1:1" ht="14.25" customHeight="1">
      <c r="A281" s="104"/>
    </row>
    <row r="282" spans="1:1" ht="14.25" customHeight="1">
      <c r="A282" s="104"/>
    </row>
    <row r="283" spans="1:1" ht="14.25" customHeight="1">
      <c r="A283" s="104"/>
    </row>
    <row r="284" spans="1:1" ht="14.25" customHeight="1">
      <c r="A284" s="104"/>
    </row>
    <row r="285" spans="1:1" ht="14.25" customHeight="1">
      <c r="A285" s="104"/>
    </row>
    <row r="286" spans="1:1" ht="14.25" customHeight="1">
      <c r="A286" s="104"/>
    </row>
    <row r="287" spans="1:1" ht="14.25" customHeight="1">
      <c r="A287" s="104"/>
    </row>
    <row r="288" spans="1:1" ht="14.25" customHeight="1">
      <c r="A288" s="104"/>
    </row>
    <row r="289" spans="1:1" ht="14.25" customHeight="1">
      <c r="A289" s="104"/>
    </row>
    <row r="290" spans="1:1" ht="14.25" customHeight="1">
      <c r="A290" s="104"/>
    </row>
    <row r="291" spans="1:1" ht="14.25" customHeight="1">
      <c r="A291" s="104"/>
    </row>
    <row r="292" spans="1:1" ht="14.25" customHeight="1">
      <c r="A292" s="104"/>
    </row>
    <row r="293" spans="1:1" ht="14.25" customHeight="1">
      <c r="A293" s="104"/>
    </row>
    <row r="294" spans="1:1" ht="14.25" customHeight="1">
      <c r="A294" s="104"/>
    </row>
    <row r="295" spans="1:1" ht="14.25" customHeight="1">
      <c r="A295" s="104"/>
    </row>
    <row r="296" spans="1:1" ht="14.25" customHeight="1">
      <c r="A296" s="104"/>
    </row>
    <row r="297" spans="1:1" ht="14.25" customHeight="1">
      <c r="A297" s="104"/>
    </row>
    <row r="298" spans="1:1" ht="14.25" customHeight="1">
      <c r="A298" s="104"/>
    </row>
    <row r="299" spans="1:1" ht="14.25" customHeight="1">
      <c r="A299" s="104"/>
    </row>
    <row r="300" spans="1:1" ht="14.25" customHeight="1">
      <c r="A300" s="104"/>
    </row>
    <row r="301" spans="1:1" ht="14.25" customHeight="1">
      <c r="A301" s="104"/>
    </row>
    <row r="302" spans="1:1" ht="14.25" customHeight="1">
      <c r="A302" s="104"/>
    </row>
    <row r="303" spans="1:1" ht="14.25" customHeight="1">
      <c r="A303" s="104"/>
    </row>
    <row r="304" spans="1:1" ht="14.25" customHeight="1">
      <c r="A304" s="104"/>
    </row>
    <row r="305" spans="1:1" ht="14.25" customHeight="1">
      <c r="A305" s="104"/>
    </row>
    <row r="306" spans="1:1" ht="14.25" customHeight="1">
      <c r="A306" s="104"/>
    </row>
    <row r="307" spans="1:1" ht="14.25" customHeight="1">
      <c r="A307" s="104"/>
    </row>
    <row r="308" spans="1:1" ht="14.25" customHeight="1">
      <c r="A308" s="104"/>
    </row>
    <row r="309" spans="1:1" ht="14.25" customHeight="1">
      <c r="A309" s="104"/>
    </row>
    <row r="310" spans="1:1" ht="14.25" customHeight="1">
      <c r="A310" s="104"/>
    </row>
    <row r="311" spans="1:1" ht="14.25" customHeight="1">
      <c r="A311" s="104"/>
    </row>
    <row r="312" spans="1:1" ht="14.25" customHeight="1">
      <c r="A312" s="104"/>
    </row>
    <row r="313" spans="1:1" ht="14.25" customHeight="1">
      <c r="A313" s="104"/>
    </row>
    <row r="314" spans="1:1" ht="14.25" customHeight="1">
      <c r="A314" s="104"/>
    </row>
    <row r="315" spans="1:1" ht="14.25" customHeight="1">
      <c r="A315" s="104"/>
    </row>
    <row r="316" spans="1:1" ht="14.25" customHeight="1">
      <c r="A316" s="104"/>
    </row>
    <row r="317" spans="1:1" ht="14.25" customHeight="1">
      <c r="A317" s="104"/>
    </row>
    <row r="318" spans="1:1" ht="14.25" customHeight="1">
      <c r="A318" s="104"/>
    </row>
    <row r="319" spans="1:1" ht="14.25" customHeight="1">
      <c r="A319" s="104"/>
    </row>
    <row r="320" spans="1:1" ht="14.25" customHeight="1">
      <c r="A320" s="104"/>
    </row>
    <row r="321" spans="1:1" ht="14.25" customHeight="1">
      <c r="A321" s="104"/>
    </row>
    <row r="322" spans="1:1" ht="14.25" customHeight="1">
      <c r="A322" s="104"/>
    </row>
    <row r="323" spans="1:1" ht="14.25" customHeight="1">
      <c r="A323" s="104"/>
    </row>
    <row r="324" spans="1:1" ht="14.25" customHeight="1">
      <c r="A324" s="104"/>
    </row>
    <row r="325" spans="1:1" ht="14.25" customHeight="1">
      <c r="A325" s="104"/>
    </row>
    <row r="326" spans="1:1" ht="14.25" customHeight="1">
      <c r="A326" s="104"/>
    </row>
    <row r="327" spans="1:1" ht="14.25" customHeight="1">
      <c r="A327" s="104"/>
    </row>
    <row r="328" spans="1:1" ht="14.25" customHeight="1">
      <c r="A328" s="104"/>
    </row>
    <row r="329" spans="1:1" ht="14.25" customHeight="1">
      <c r="A329" s="104"/>
    </row>
    <row r="330" spans="1:1" ht="14.25" customHeight="1">
      <c r="A330" s="104"/>
    </row>
    <row r="331" spans="1:1" ht="14.25" customHeight="1">
      <c r="A331" s="104"/>
    </row>
    <row r="332" spans="1:1" ht="14.25" customHeight="1">
      <c r="A332" s="104"/>
    </row>
    <row r="333" spans="1:1" ht="14.25" customHeight="1">
      <c r="A333" s="104"/>
    </row>
    <row r="334" spans="1:1" ht="14.25" customHeight="1">
      <c r="A334" s="104"/>
    </row>
    <row r="335" spans="1:1" ht="14.25" customHeight="1">
      <c r="A335" s="104"/>
    </row>
    <row r="336" spans="1:1" ht="14.25" customHeight="1">
      <c r="A336" s="104"/>
    </row>
    <row r="337" spans="1:1" ht="14.25" customHeight="1">
      <c r="A337" s="104"/>
    </row>
    <row r="338" spans="1:1" ht="14.25" customHeight="1">
      <c r="A338" s="104"/>
    </row>
    <row r="339" spans="1:1" ht="14.25" customHeight="1">
      <c r="A339" s="104"/>
    </row>
    <row r="340" spans="1:1" ht="14.25" customHeight="1">
      <c r="A340" s="104"/>
    </row>
    <row r="341" spans="1:1" ht="14.25" customHeight="1">
      <c r="A341" s="104"/>
    </row>
    <row r="342" spans="1:1" ht="14.25" customHeight="1">
      <c r="A342" s="104"/>
    </row>
    <row r="343" spans="1:1" ht="14.25" customHeight="1">
      <c r="A343" s="104"/>
    </row>
    <row r="344" spans="1:1" ht="14.25" customHeight="1">
      <c r="A344" s="104"/>
    </row>
    <row r="345" spans="1:1" ht="14.25" customHeight="1">
      <c r="A345" s="104"/>
    </row>
    <row r="346" spans="1:1" ht="14.25" customHeight="1">
      <c r="A346" s="104"/>
    </row>
    <row r="347" spans="1:1" ht="14.25" customHeight="1">
      <c r="A347" s="104"/>
    </row>
    <row r="348" spans="1:1" ht="14.25" customHeight="1">
      <c r="A348" s="104"/>
    </row>
    <row r="349" spans="1:1" ht="14.25" customHeight="1">
      <c r="A349" s="104"/>
    </row>
    <row r="350" spans="1:1" ht="14.25" customHeight="1">
      <c r="A350" s="104"/>
    </row>
    <row r="351" spans="1:1" ht="14.25" customHeight="1">
      <c r="A351" s="104"/>
    </row>
    <row r="352" spans="1:1" ht="14.25" customHeight="1">
      <c r="A352" s="104"/>
    </row>
    <row r="353" spans="1:1" ht="14.25" customHeight="1">
      <c r="A353" s="104"/>
    </row>
    <row r="354" spans="1:1" ht="14.25" customHeight="1">
      <c r="A354" s="104"/>
    </row>
    <row r="355" spans="1:1" ht="14.25" customHeight="1">
      <c r="A355" s="104"/>
    </row>
    <row r="356" spans="1:1" ht="14.25" customHeight="1">
      <c r="A356" s="104"/>
    </row>
    <row r="357" spans="1:1" ht="14.25" customHeight="1">
      <c r="A357" s="104"/>
    </row>
    <row r="358" spans="1:1" ht="14.25" customHeight="1">
      <c r="A358" s="104"/>
    </row>
    <row r="359" spans="1:1" ht="14.25" customHeight="1">
      <c r="A359" s="104"/>
    </row>
    <row r="360" spans="1:1" ht="14.25" customHeight="1">
      <c r="A360" s="104"/>
    </row>
    <row r="361" spans="1:1" ht="14.25" customHeight="1">
      <c r="A361" s="104"/>
    </row>
    <row r="362" spans="1:1" ht="14.25" customHeight="1">
      <c r="A362" s="104"/>
    </row>
    <row r="363" spans="1:1" ht="14.25" customHeight="1">
      <c r="A363" s="104"/>
    </row>
    <row r="364" spans="1:1" ht="14.25" customHeight="1">
      <c r="A364" s="104"/>
    </row>
    <row r="365" spans="1:1" ht="14.25" customHeight="1">
      <c r="A365" s="104"/>
    </row>
    <row r="366" spans="1:1" ht="14.25" customHeight="1">
      <c r="A366" s="104"/>
    </row>
    <row r="367" spans="1:1" ht="14.25" customHeight="1">
      <c r="A367" s="104"/>
    </row>
    <row r="368" spans="1:1" ht="14.25" customHeight="1">
      <c r="A368" s="104"/>
    </row>
    <row r="369" spans="1:1" ht="14.25" customHeight="1">
      <c r="A369" s="104"/>
    </row>
    <row r="370" spans="1:1" ht="14.25" customHeight="1">
      <c r="A370" s="104"/>
    </row>
    <row r="371" spans="1:1" ht="14.25" customHeight="1">
      <c r="A371" s="104"/>
    </row>
    <row r="372" spans="1:1" ht="14.25" customHeight="1">
      <c r="A372" s="104"/>
    </row>
    <row r="373" spans="1:1" ht="14.25" customHeight="1">
      <c r="A373" s="104"/>
    </row>
    <row r="374" spans="1:1" ht="14.25" customHeight="1">
      <c r="A374" s="104"/>
    </row>
    <row r="375" spans="1:1" ht="14.25" customHeight="1">
      <c r="A375" s="104"/>
    </row>
    <row r="376" spans="1:1" ht="14.25" customHeight="1">
      <c r="A376" s="104"/>
    </row>
    <row r="377" spans="1:1" ht="14.25" customHeight="1">
      <c r="A377" s="104"/>
    </row>
    <row r="378" spans="1:1" ht="14.25" customHeight="1">
      <c r="A378" s="104"/>
    </row>
    <row r="379" spans="1:1" ht="14.25" customHeight="1">
      <c r="A379" s="104"/>
    </row>
    <row r="380" spans="1:1" ht="14.25" customHeight="1">
      <c r="A380" s="104"/>
    </row>
    <row r="381" spans="1:1" ht="14.25" customHeight="1">
      <c r="A381" s="104"/>
    </row>
    <row r="382" spans="1:1" ht="14.25" customHeight="1">
      <c r="A382" s="104"/>
    </row>
    <row r="383" spans="1:1" ht="14.25" customHeight="1">
      <c r="A383" s="104"/>
    </row>
    <row r="384" spans="1:1" ht="14.25" customHeight="1">
      <c r="A384" s="104"/>
    </row>
    <row r="385" spans="1:1" ht="14.25" customHeight="1">
      <c r="A385" s="104"/>
    </row>
    <row r="386" spans="1:1" ht="14.25" customHeight="1">
      <c r="A386" s="104"/>
    </row>
    <row r="387" spans="1:1" ht="14.25" customHeight="1">
      <c r="A387" s="104"/>
    </row>
    <row r="388" spans="1:1" ht="14.25" customHeight="1">
      <c r="A388" s="104"/>
    </row>
    <row r="389" spans="1:1" ht="14.25" customHeight="1">
      <c r="A389" s="104"/>
    </row>
    <row r="390" spans="1:1" ht="14.25" customHeight="1">
      <c r="A390" s="104"/>
    </row>
    <row r="391" spans="1:1" ht="14.25" customHeight="1">
      <c r="A391" s="104"/>
    </row>
    <row r="392" spans="1:1" ht="14.25" customHeight="1">
      <c r="A392" s="104"/>
    </row>
    <row r="393" spans="1:1" ht="14.25" customHeight="1">
      <c r="A393" s="104"/>
    </row>
    <row r="394" spans="1:1" ht="14.25" customHeight="1">
      <c r="A394" s="104"/>
    </row>
    <row r="395" spans="1:1" ht="14.25" customHeight="1">
      <c r="A395" s="104"/>
    </row>
    <row r="396" spans="1:1" ht="14.25" customHeight="1">
      <c r="A396" s="104"/>
    </row>
    <row r="397" spans="1:1" ht="14.25" customHeight="1">
      <c r="A397" s="104"/>
    </row>
    <row r="398" spans="1:1" ht="14.25" customHeight="1">
      <c r="A398" s="104"/>
    </row>
    <row r="399" spans="1:1" ht="14.25" customHeight="1">
      <c r="A399" s="104"/>
    </row>
    <row r="400" spans="1:1" ht="14.25" customHeight="1">
      <c r="A400" s="104"/>
    </row>
    <row r="401" spans="1:1" ht="14.25" customHeight="1">
      <c r="A401" s="104"/>
    </row>
    <row r="402" spans="1:1" ht="14.25" customHeight="1">
      <c r="A402" s="104"/>
    </row>
    <row r="403" spans="1:1" ht="14.25" customHeight="1">
      <c r="A403" s="104"/>
    </row>
    <row r="404" spans="1:1" ht="14.25" customHeight="1">
      <c r="A404" s="104"/>
    </row>
    <row r="405" spans="1:1" ht="14.25" customHeight="1">
      <c r="A405" s="104"/>
    </row>
    <row r="406" spans="1:1" ht="14.25" customHeight="1">
      <c r="A406" s="104"/>
    </row>
    <row r="407" spans="1:1" ht="14.25" customHeight="1">
      <c r="A407" s="104"/>
    </row>
    <row r="408" spans="1:1" ht="14.25" customHeight="1">
      <c r="A408" s="104"/>
    </row>
    <row r="409" spans="1:1" ht="14.25" customHeight="1">
      <c r="A409" s="104"/>
    </row>
    <row r="410" spans="1:1" ht="14.25" customHeight="1">
      <c r="A410" s="104"/>
    </row>
    <row r="411" spans="1:1" ht="14.25" customHeight="1">
      <c r="A411" s="104"/>
    </row>
    <row r="412" spans="1:1" ht="14.25" customHeight="1">
      <c r="A412" s="104"/>
    </row>
    <row r="413" spans="1:1" ht="14.25" customHeight="1">
      <c r="A413" s="104"/>
    </row>
    <row r="414" spans="1:1" ht="14.25" customHeight="1">
      <c r="A414" s="104"/>
    </row>
    <row r="415" spans="1:1" ht="14.25" customHeight="1">
      <c r="A415" s="104"/>
    </row>
    <row r="416" spans="1:1" ht="14.25" customHeight="1">
      <c r="A416" s="104"/>
    </row>
    <row r="417" spans="1:1" ht="14.25" customHeight="1">
      <c r="A417" s="104"/>
    </row>
    <row r="418" spans="1:1" ht="14.25" customHeight="1">
      <c r="A418" s="104"/>
    </row>
    <row r="419" spans="1:1" ht="14.25" customHeight="1">
      <c r="A419" s="104"/>
    </row>
    <row r="420" spans="1:1" ht="14.25" customHeight="1">
      <c r="A420" s="104"/>
    </row>
    <row r="421" spans="1:1" ht="14.25" customHeight="1">
      <c r="A421" s="104"/>
    </row>
    <row r="422" spans="1:1" ht="14.25" customHeight="1">
      <c r="A422" s="104"/>
    </row>
    <row r="423" spans="1:1" ht="14.25" customHeight="1">
      <c r="A423" s="104"/>
    </row>
    <row r="424" spans="1:1" ht="14.25" customHeight="1">
      <c r="A424" s="104"/>
    </row>
    <row r="425" spans="1:1" ht="14.25" customHeight="1">
      <c r="A425" s="104"/>
    </row>
    <row r="426" spans="1:1" ht="14.25" customHeight="1">
      <c r="A426" s="104"/>
    </row>
    <row r="427" spans="1:1" ht="14.25" customHeight="1">
      <c r="A427" s="104"/>
    </row>
    <row r="428" spans="1:1" ht="14.25" customHeight="1">
      <c r="A428" s="104"/>
    </row>
    <row r="429" spans="1:1" ht="14.25" customHeight="1">
      <c r="A429" s="104"/>
    </row>
    <row r="430" spans="1:1" ht="14.25" customHeight="1">
      <c r="A430" s="104"/>
    </row>
    <row r="431" spans="1:1" ht="14.25" customHeight="1">
      <c r="A431" s="104"/>
    </row>
    <row r="432" spans="1:1" ht="14.25" customHeight="1">
      <c r="A432" s="104"/>
    </row>
    <row r="433" spans="1:1" ht="14.25" customHeight="1">
      <c r="A433" s="104"/>
    </row>
    <row r="434" spans="1:1" ht="14.25" customHeight="1">
      <c r="A434" s="104"/>
    </row>
    <row r="435" spans="1:1" ht="14.25" customHeight="1">
      <c r="A435" s="104"/>
    </row>
    <row r="436" spans="1:1" ht="14.25" customHeight="1">
      <c r="A436" s="104"/>
    </row>
    <row r="437" spans="1:1" ht="14.25" customHeight="1">
      <c r="A437" s="104"/>
    </row>
    <row r="438" spans="1:1" ht="14.25" customHeight="1">
      <c r="A438" s="104"/>
    </row>
    <row r="439" spans="1:1" ht="14.25" customHeight="1">
      <c r="A439" s="104"/>
    </row>
    <row r="440" spans="1:1" ht="14.25" customHeight="1">
      <c r="A440" s="104"/>
    </row>
    <row r="441" spans="1:1" ht="14.25" customHeight="1">
      <c r="A441" s="104"/>
    </row>
    <row r="442" spans="1:1" ht="14.25" customHeight="1">
      <c r="A442" s="104"/>
    </row>
    <row r="443" spans="1:1" ht="14.25" customHeight="1">
      <c r="A443" s="104"/>
    </row>
    <row r="444" spans="1:1" ht="14.25" customHeight="1">
      <c r="A444" s="104"/>
    </row>
    <row r="445" spans="1:1" ht="14.25" customHeight="1">
      <c r="A445" s="104"/>
    </row>
    <row r="446" spans="1:1" ht="14.25" customHeight="1">
      <c r="A446" s="104"/>
    </row>
    <row r="447" spans="1:1" ht="14.25" customHeight="1">
      <c r="A447" s="104"/>
    </row>
    <row r="448" spans="1:1" ht="14.25" customHeight="1">
      <c r="A448" s="104"/>
    </row>
    <row r="449" spans="1:1" ht="14.25" customHeight="1">
      <c r="A449" s="104"/>
    </row>
    <row r="450" spans="1:1" ht="14.25" customHeight="1">
      <c r="A450" s="104"/>
    </row>
    <row r="451" spans="1:1" ht="14.25" customHeight="1">
      <c r="A451" s="104"/>
    </row>
    <row r="452" spans="1:1" ht="14.25" customHeight="1">
      <c r="A452" s="104"/>
    </row>
    <row r="453" spans="1:1" ht="14.25" customHeight="1">
      <c r="A453" s="104"/>
    </row>
    <row r="454" spans="1:1" ht="14.25" customHeight="1">
      <c r="A454" s="104"/>
    </row>
    <row r="455" spans="1:1" ht="14.25" customHeight="1">
      <c r="A455" s="104"/>
    </row>
    <row r="456" spans="1:1" ht="14.25" customHeight="1">
      <c r="A456" s="104"/>
    </row>
    <row r="457" spans="1:1" ht="14.25" customHeight="1">
      <c r="A457" s="104"/>
    </row>
    <row r="458" spans="1:1" ht="14.25" customHeight="1">
      <c r="A458" s="104"/>
    </row>
    <row r="459" spans="1:1" ht="14.25" customHeight="1">
      <c r="A459" s="104"/>
    </row>
    <row r="460" spans="1:1" ht="14.25" customHeight="1">
      <c r="A460" s="104"/>
    </row>
    <row r="461" spans="1:1" ht="14.25" customHeight="1">
      <c r="A461" s="104"/>
    </row>
    <row r="462" spans="1:1" ht="14.25" customHeight="1">
      <c r="A462" s="104"/>
    </row>
    <row r="463" spans="1:1" ht="14.25" customHeight="1">
      <c r="A463" s="104"/>
    </row>
    <row r="464" spans="1:1" ht="14.25" customHeight="1">
      <c r="A464" s="104"/>
    </row>
    <row r="465" spans="1:1" ht="14.25" customHeight="1">
      <c r="A465" s="104"/>
    </row>
    <row r="466" spans="1:1" ht="14.25" customHeight="1">
      <c r="A466" s="104"/>
    </row>
    <row r="467" spans="1:1" ht="14.25" customHeight="1">
      <c r="A467" s="104"/>
    </row>
    <row r="468" spans="1:1" ht="14.25" customHeight="1">
      <c r="A468" s="104"/>
    </row>
    <row r="469" spans="1:1" ht="14.25" customHeight="1">
      <c r="A469" s="104"/>
    </row>
    <row r="470" spans="1:1" ht="14.25" customHeight="1">
      <c r="A470" s="104"/>
    </row>
    <row r="471" spans="1:1" ht="14.25" customHeight="1">
      <c r="A471" s="104"/>
    </row>
    <row r="472" spans="1:1" ht="14.25" customHeight="1">
      <c r="A472" s="104"/>
    </row>
    <row r="473" spans="1:1" ht="14.25" customHeight="1">
      <c r="A473" s="104"/>
    </row>
    <row r="474" spans="1:1" ht="14.25" customHeight="1">
      <c r="A474" s="104"/>
    </row>
    <row r="475" spans="1:1" ht="14.25" customHeight="1">
      <c r="A475" s="104"/>
    </row>
    <row r="476" spans="1:1" ht="14.25" customHeight="1">
      <c r="A476" s="104"/>
    </row>
    <row r="477" spans="1:1" ht="14.25" customHeight="1">
      <c r="A477" s="104"/>
    </row>
    <row r="478" spans="1:1" ht="14.25" customHeight="1">
      <c r="A478" s="104"/>
    </row>
    <row r="479" spans="1:1" ht="14.25" customHeight="1">
      <c r="A479" s="104"/>
    </row>
    <row r="480" spans="1:1" ht="14.25" customHeight="1">
      <c r="A480" s="104"/>
    </row>
    <row r="481" spans="1:1" ht="14.25" customHeight="1">
      <c r="A481" s="104"/>
    </row>
    <row r="482" spans="1:1" ht="14.25" customHeight="1">
      <c r="A482" s="104"/>
    </row>
    <row r="483" spans="1:1" ht="14.25" customHeight="1">
      <c r="A483" s="104"/>
    </row>
    <row r="484" spans="1:1" ht="14.25" customHeight="1">
      <c r="A484" s="104"/>
    </row>
    <row r="485" spans="1:1" ht="14.25" customHeight="1">
      <c r="A485" s="104"/>
    </row>
    <row r="486" spans="1:1" ht="14.25" customHeight="1">
      <c r="A486" s="104"/>
    </row>
    <row r="487" spans="1:1" ht="14.25" customHeight="1">
      <c r="A487" s="104"/>
    </row>
    <row r="488" spans="1:1" ht="14.25" customHeight="1">
      <c r="A488" s="104"/>
    </row>
    <row r="489" spans="1:1" ht="14.25" customHeight="1">
      <c r="A489" s="104"/>
    </row>
    <row r="490" spans="1:1" ht="14.25" customHeight="1">
      <c r="A490" s="104"/>
    </row>
    <row r="491" spans="1:1" ht="14.25" customHeight="1">
      <c r="A491" s="104"/>
    </row>
    <row r="492" spans="1:1" ht="14.25" customHeight="1">
      <c r="A492" s="104"/>
    </row>
    <row r="493" spans="1:1" ht="14.25" customHeight="1">
      <c r="A493" s="104"/>
    </row>
    <row r="494" spans="1:1" ht="14.25" customHeight="1">
      <c r="A494" s="104"/>
    </row>
    <row r="495" spans="1:1" ht="14.25" customHeight="1">
      <c r="A495" s="104"/>
    </row>
    <row r="496" spans="1:1" ht="14.25" customHeight="1">
      <c r="A496" s="104"/>
    </row>
    <row r="497" spans="1:1" ht="14.25" customHeight="1">
      <c r="A497" s="104"/>
    </row>
    <row r="498" spans="1:1" ht="14.25" customHeight="1">
      <c r="A498" s="104"/>
    </row>
    <row r="499" spans="1:1" ht="14.25" customHeight="1">
      <c r="A499" s="104"/>
    </row>
    <row r="500" spans="1:1" ht="14.25" customHeight="1">
      <c r="A500" s="104"/>
    </row>
    <row r="501" spans="1:1" ht="14.25" customHeight="1">
      <c r="A501" s="104"/>
    </row>
    <row r="502" spans="1:1" ht="14.25" customHeight="1">
      <c r="A502" s="104"/>
    </row>
    <row r="503" spans="1:1" ht="14.25" customHeight="1">
      <c r="A503" s="104"/>
    </row>
    <row r="504" spans="1:1" ht="14.25" customHeight="1">
      <c r="A504" s="104"/>
    </row>
    <row r="505" spans="1:1" ht="14.25" customHeight="1">
      <c r="A505" s="104"/>
    </row>
    <row r="506" spans="1:1" ht="14.25" customHeight="1">
      <c r="A506" s="104"/>
    </row>
    <row r="507" spans="1:1" ht="14.25" customHeight="1">
      <c r="A507" s="104"/>
    </row>
    <row r="508" spans="1:1" ht="14.25" customHeight="1">
      <c r="A508" s="104"/>
    </row>
    <row r="509" spans="1:1" ht="14.25" customHeight="1">
      <c r="A509" s="104"/>
    </row>
    <row r="510" spans="1:1" ht="14.25" customHeight="1">
      <c r="A510" s="104"/>
    </row>
    <row r="511" spans="1:1" ht="14.25" customHeight="1">
      <c r="A511" s="104"/>
    </row>
    <row r="512" spans="1:1" ht="14.25" customHeight="1">
      <c r="A512" s="104"/>
    </row>
    <row r="513" spans="1:1" ht="14.25" customHeight="1">
      <c r="A513" s="104"/>
    </row>
    <row r="514" spans="1:1" ht="14.25" customHeight="1">
      <c r="A514" s="104"/>
    </row>
    <row r="515" spans="1:1" ht="14.25" customHeight="1">
      <c r="A515" s="104"/>
    </row>
    <row r="516" spans="1:1" ht="14.25" customHeight="1">
      <c r="A516" s="104"/>
    </row>
    <row r="517" spans="1:1" ht="14.25" customHeight="1">
      <c r="A517" s="104"/>
    </row>
    <row r="518" spans="1:1" ht="14.25" customHeight="1">
      <c r="A518" s="104"/>
    </row>
    <row r="519" spans="1:1" ht="14.25" customHeight="1">
      <c r="A519" s="104"/>
    </row>
    <row r="520" spans="1:1" ht="14.25" customHeight="1">
      <c r="A520" s="104"/>
    </row>
    <row r="521" spans="1:1" ht="14.25" customHeight="1">
      <c r="A521" s="104"/>
    </row>
    <row r="522" spans="1:1" ht="14.25" customHeight="1">
      <c r="A522" s="104"/>
    </row>
    <row r="523" spans="1:1" ht="14.25" customHeight="1">
      <c r="A523" s="104"/>
    </row>
    <row r="524" spans="1:1" ht="14.25" customHeight="1">
      <c r="A524" s="104"/>
    </row>
    <row r="525" spans="1:1" ht="14.25" customHeight="1">
      <c r="A525" s="104"/>
    </row>
    <row r="526" spans="1:1" ht="14.25" customHeight="1">
      <c r="A526" s="104"/>
    </row>
    <row r="527" spans="1:1" ht="14.25" customHeight="1">
      <c r="A527" s="104"/>
    </row>
    <row r="528" spans="1:1" ht="14.25" customHeight="1">
      <c r="A528" s="104"/>
    </row>
    <row r="529" spans="1:1" ht="14.25" customHeight="1">
      <c r="A529" s="104"/>
    </row>
    <row r="530" spans="1:1" ht="14.25" customHeight="1">
      <c r="A530" s="104"/>
    </row>
    <row r="531" spans="1:1" ht="14.25" customHeight="1">
      <c r="A531" s="104"/>
    </row>
    <row r="532" spans="1:1" ht="14.25" customHeight="1">
      <c r="A532" s="104"/>
    </row>
    <row r="533" spans="1:1" ht="14.25" customHeight="1">
      <c r="A533" s="104"/>
    </row>
    <row r="534" spans="1:1" ht="14.25" customHeight="1">
      <c r="A534" s="104"/>
    </row>
    <row r="535" spans="1:1" ht="14.25" customHeight="1">
      <c r="A535" s="104"/>
    </row>
    <row r="536" spans="1:1" ht="14.25" customHeight="1">
      <c r="A536" s="104"/>
    </row>
    <row r="537" spans="1:1" ht="14.25" customHeight="1">
      <c r="A537" s="104"/>
    </row>
    <row r="538" spans="1:1" ht="14.25" customHeight="1">
      <c r="A538" s="104"/>
    </row>
    <row r="539" spans="1:1" ht="14.25" customHeight="1">
      <c r="A539" s="104"/>
    </row>
    <row r="540" spans="1:1" ht="14.25" customHeight="1">
      <c r="A540" s="104"/>
    </row>
    <row r="541" spans="1:1" ht="14.25" customHeight="1">
      <c r="A541" s="104"/>
    </row>
    <row r="542" spans="1:1" ht="14.25" customHeight="1">
      <c r="A542" s="104"/>
    </row>
    <row r="543" spans="1:1" ht="14.25" customHeight="1">
      <c r="A543" s="104"/>
    </row>
    <row r="544" spans="1:1" ht="14.25" customHeight="1">
      <c r="A544" s="104"/>
    </row>
    <row r="545" spans="1:1" ht="14.25" customHeight="1">
      <c r="A545" s="104"/>
    </row>
    <row r="546" spans="1:1" ht="14.25" customHeight="1">
      <c r="A546" s="104"/>
    </row>
    <row r="547" spans="1:1" ht="14.25" customHeight="1">
      <c r="A547" s="104"/>
    </row>
    <row r="548" spans="1:1" ht="14.25" customHeight="1">
      <c r="A548" s="104"/>
    </row>
    <row r="549" spans="1:1" ht="14.25" customHeight="1">
      <c r="A549" s="104"/>
    </row>
    <row r="550" spans="1:1" ht="14.25" customHeight="1">
      <c r="A550" s="104"/>
    </row>
    <row r="551" spans="1:1" ht="14.25" customHeight="1">
      <c r="A551" s="104"/>
    </row>
    <row r="552" spans="1:1" ht="14.25" customHeight="1">
      <c r="A552" s="104"/>
    </row>
    <row r="553" spans="1:1" ht="14.25" customHeight="1">
      <c r="A553" s="104"/>
    </row>
    <row r="554" spans="1:1" ht="14.25" customHeight="1">
      <c r="A554" s="104"/>
    </row>
    <row r="555" spans="1:1" ht="14.25" customHeight="1">
      <c r="A555" s="104"/>
    </row>
    <row r="556" spans="1:1" ht="14.25" customHeight="1">
      <c r="A556" s="104"/>
    </row>
    <row r="557" spans="1:1" ht="14.25" customHeight="1">
      <c r="A557" s="104"/>
    </row>
    <row r="558" spans="1:1" ht="14.25" customHeight="1">
      <c r="A558" s="104"/>
    </row>
    <row r="559" spans="1:1" ht="14.25" customHeight="1">
      <c r="A559" s="104"/>
    </row>
    <row r="560" spans="1:1" ht="14.25" customHeight="1">
      <c r="A560" s="104"/>
    </row>
    <row r="561" spans="1:1" ht="14.25" customHeight="1">
      <c r="A561" s="104"/>
    </row>
    <row r="562" spans="1:1" ht="14.25" customHeight="1">
      <c r="A562" s="104"/>
    </row>
    <row r="563" spans="1:1" ht="14.25" customHeight="1">
      <c r="A563" s="104"/>
    </row>
    <row r="564" spans="1:1" ht="14.25" customHeight="1">
      <c r="A564" s="104"/>
    </row>
    <row r="565" spans="1:1" ht="14.25" customHeight="1">
      <c r="A565" s="104"/>
    </row>
    <row r="566" spans="1:1" ht="14.25" customHeight="1">
      <c r="A566" s="104"/>
    </row>
    <row r="567" spans="1:1" ht="14.25" customHeight="1">
      <c r="A567" s="104"/>
    </row>
    <row r="568" spans="1:1" ht="14.25" customHeight="1">
      <c r="A568" s="104"/>
    </row>
    <row r="569" spans="1:1" ht="14.25" customHeight="1">
      <c r="A569" s="104"/>
    </row>
    <row r="570" spans="1:1" ht="14.25" customHeight="1">
      <c r="A570" s="104"/>
    </row>
    <row r="571" spans="1:1" ht="14.25" customHeight="1">
      <c r="A571" s="104"/>
    </row>
    <row r="572" spans="1:1" ht="14.25" customHeight="1">
      <c r="A572" s="104"/>
    </row>
    <row r="573" spans="1:1" ht="14.25" customHeight="1">
      <c r="A573" s="104"/>
    </row>
    <row r="574" spans="1:1" ht="14.25" customHeight="1">
      <c r="A574" s="104"/>
    </row>
    <row r="575" spans="1:1" ht="14.25" customHeight="1">
      <c r="A575" s="104"/>
    </row>
    <row r="576" spans="1:1" ht="14.25" customHeight="1">
      <c r="A576" s="104"/>
    </row>
    <row r="577" spans="1:1" ht="14.25" customHeight="1">
      <c r="A577" s="104"/>
    </row>
    <row r="578" spans="1:1" ht="14.25" customHeight="1">
      <c r="A578" s="104"/>
    </row>
    <row r="579" spans="1:1" ht="14.25" customHeight="1">
      <c r="A579" s="104"/>
    </row>
    <row r="580" spans="1:1" ht="14.25" customHeight="1">
      <c r="A580" s="104"/>
    </row>
    <row r="581" spans="1:1" ht="14.25" customHeight="1">
      <c r="A581" s="104"/>
    </row>
    <row r="582" spans="1:1" ht="14.25" customHeight="1">
      <c r="A582" s="104"/>
    </row>
    <row r="583" spans="1:1" ht="14.25" customHeight="1">
      <c r="A583" s="104"/>
    </row>
    <row r="584" spans="1:1" ht="14.25" customHeight="1">
      <c r="A584" s="104"/>
    </row>
    <row r="585" spans="1:1" ht="14.25" customHeight="1">
      <c r="A585" s="104"/>
    </row>
    <row r="586" spans="1:1" ht="14.25" customHeight="1">
      <c r="A586" s="104"/>
    </row>
    <row r="587" spans="1:1" ht="14.25" customHeight="1">
      <c r="A587" s="104"/>
    </row>
    <row r="588" spans="1:1" ht="14.25" customHeight="1">
      <c r="A588" s="104"/>
    </row>
    <row r="589" spans="1:1" ht="14.25" customHeight="1">
      <c r="A589" s="104"/>
    </row>
    <row r="590" spans="1:1" ht="14.25" customHeight="1">
      <c r="A590" s="104"/>
    </row>
    <row r="591" spans="1:1" ht="14.25" customHeight="1">
      <c r="A591" s="104"/>
    </row>
    <row r="592" spans="1:1" ht="14.25" customHeight="1">
      <c r="A592" s="104"/>
    </row>
    <row r="593" spans="1:1" ht="14.25" customHeight="1">
      <c r="A593" s="104"/>
    </row>
    <row r="594" spans="1:1" ht="14.25" customHeight="1">
      <c r="A594" s="104"/>
    </row>
    <row r="595" spans="1:1" ht="14.25" customHeight="1">
      <c r="A595" s="104"/>
    </row>
    <row r="596" spans="1:1" ht="14.25" customHeight="1">
      <c r="A596" s="104"/>
    </row>
    <row r="597" spans="1:1" ht="14.25" customHeight="1">
      <c r="A597" s="104"/>
    </row>
    <row r="598" spans="1:1" ht="14.25" customHeight="1">
      <c r="A598" s="104"/>
    </row>
    <row r="599" spans="1:1" ht="14.25" customHeight="1">
      <c r="A599" s="104"/>
    </row>
    <row r="600" spans="1:1" ht="14.25" customHeight="1">
      <c r="A600" s="104"/>
    </row>
    <row r="601" spans="1:1" ht="14.25" customHeight="1">
      <c r="A601" s="104"/>
    </row>
    <row r="602" spans="1:1" ht="14.25" customHeight="1">
      <c r="A602" s="104"/>
    </row>
    <row r="603" spans="1:1" ht="14.25" customHeight="1">
      <c r="A603" s="104"/>
    </row>
    <row r="604" spans="1:1" ht="14.25" customHeight="1">
      <c r="A604" s="104"/>
    </row>
    <row r="605" spans="1:1" ht="14.25" customHeight="1">
      <c r="A605" s="104"/>
    </row>
    <row r="606" spans="1:1" ht="14.25" customHeight="1">
      <c r="A606" s="104"/>
    </row>
    <row r="607" spans="1:1" ht="14.25" customHeight="1">
      <c r="A607" s="104"/>
    </row>
    <row r="608" spans="1:1" ht="14.25" customHeight="1">
      <c r="A608" s="104"/>
    </row>
    <row r="609" spans="1:1" ht="14.25" customHeight="1">
      <c r="A609" s="104"/>
    </row>
    <row r="610" spans="1:1" ht="14.25" customHeight="1">
      <c r="A610" s="104"/>
    </row>
    <row r="611" spans="1:1" ht="14.25" customHeight="1">
      <c r="A611" s="104"/>
    </row>
    <row r="612" spans="1:1" ht="14.25" customHeight="1">
      <c r="A612" s="104"/>
    </row>
    <row r="613" spans="1:1" ht="14.25" customHeight="1">
      <c r="A613" s="104"/>
    </row>
    <row r="614" spans="1:1" ht="14.25" customHeight="1">
      <c r="A614" s="104"/>
    </row>
    <row r="615" spans="1:1" ht="14.25" customHeight="1">
      <c r="A615" s="104"/>
    </row>
    <row r="616" spans="1:1" ht="14.25" customHeight="1">
      <c r="A616" s="104"/>
    </row>
    <row r="617" spans="1:1" ht="14.25" customHeight="1">
      <c r="A617" s="104"/>
    </row>
    <row r="618" spans="1:1" ht="14.25" customHeight="1">
      <c r="A618" s="104"/>
    </row>
    <row r="619" spans="1:1" ht="14.25" customHeight="1">
      <c r="A619" s="104"/>
    </row>
    <row r="620" spans="1:1" ht="14.25" customHeight="1">
      <c r="A620" s="104"/>
    </row>
    <row r="621" spans="1:1" ht="14.25" customHeight="1">
      <c r="A621" s="104"/>
    </row>
    <row r="622" spans="1:1" ht="14.25" customHeight="1">
      <c r="A622" s="104"/>
    </row>
    <row r="623" spans="1:1" ht="14.25" customHeight="1">
      <c r="A623" s="104"/>
    </row>
    <row r="624" spans="1:1" ht="14.25" customHeight="1">
      <c r="A624" s="104"/>
    </row>
    <row r="625" spans="1:1" ht="14.25" customHeight="1">
      <c r="A625" s="104"/>
    </row>
    <row r="626" spans="1:1" ht="14.25" customHeight="1">
      <c r="A626" s="104"/>
    </row>
    <row r="627" spans="1:1" ht="14.25" customHeight="1">
      <c r="A627" s="104"/>
    </row>
    <row r="628" spans="1:1" ht="14.25" customHeight="1">
      <c r="A628" s="104"/>
    </row>
    <row r="629" spans="1:1" ht="14.25" customHeight="1">
      <c r="A629" s="104"/>
    </row>
    <row r="630" spans="1:1" ht="14.25" customHeight="1">
      <c r="A630" s="104"/>
    </row>
    <row r="631" spans="1:1" ht="14.25" customHeight="1">
      <c r="A631" s="104"/>
    </row>
    <row r="632" spans="1:1" ht="14.25" customHeight="1">
      <c r="A632" s="104"/>
    </row>
    <row r="633" spans="1:1" ht="14.25" customHeight="1">
      <c r="A633" s="104"/>
    </row>
    <row r="634" spans="1:1" ht="14.25" customHeight="1">
      <c r="A634" s="104"/>
    </row>
    <row r="635" spans="1:1" ht="14.25" customHeight="1">
      <c r="A635" s="104"/>
    </row>
    <row r="636" spans="1:1" ht="14.25" customHeight="1">
      <c r="A636" s="104"/>
    </row>
    <row r="637" spans="1:1" ht="14.25" customHeight="1">
      <c r="A637" s="104"/>
    </row>
    <row r="638" spans="1:1" ht="14.25" customHeight="1">
      <c r="A638" s="104"/>
    </row>
    <row r="639" spans="1:1" ht="14.25" customHeight="1">
      <c r="A639" s="104"/>
    </row>
    <row r="640" spans="1:1" ht="14.25" customHeight="1">
      <c r="A640" s="104"/>
    </row>
    <row r="641" spans="1:1" ht="14.25" customHeight="1">
      <c r="A641" s="104"/>
    </row>
    <row r="642" spans="1:1" ht="14.25" customHeight="1">
      <c r="A642" s="104"/>
    </row>
    <row r="643" spans="1:1" ht="14.25" customHeight="1">
      <c r="A643" s="104"/>
    </row>
    <row r="644" spans="1:1" ht="14.25" customHeight="1">
      <c r="A644" s="104"/>
    </row>
    <row r="645" spans="1:1" ht="14.25" customHeight="1">
      <c r="A645" s="104"/>
    </row>
    <row r="646" spans="1:1" ht="14.25" customHeight="1">
      <c r="A646" s="104"/>
    </row>
    <row r="647" spans="1:1" ht="14.25" customHeight="1">
      <c r="A647" s="104"/>
    </row>
    <row r="648" spans="1:1" ht="14.25" customHeight="1">
      <c r="A648" s="104"/>
    </row>
    <row r="649" spans="1:1" ht="14.25" customHeight="1">
      <c r="A649" s="104"/>
    </row>
    <row r="650" spans="1:1" ht="14.25" customHeight="1">
      <c r="A650" s="104"/>
    </row>
    <row r="651" spans="1:1" ht="14.25" customHeight="1">
      <c r="A651" s="104"/>
    </row>
    <row r="652" spans="1:1" ht="14.25" customHeight="1">
      <c r="A652" s="104"/>
    </row>
    <row r="653" spans="1:1" ht="14.25" customHeight="1">
      <c r="A653" s="104"/>
    </row>
    <row r="654" spans="1:1" ht="14.25" customHeight="1">
      <c r="A654" s="104"/>
    </row>
    <row r="655" spans="1:1" ht="14.25" customHeight="1">
      <c r="A655" s="104"/>
    </row>
    <row r="656" spans="1:1" ht="14.25" customHeight="1">
      <c r="A656" s="104"/>
    </row>
    <row r="657" spans="1:1" ht="14.25" customHeight="1">
      <c r="A657" s="104"/>
    </row>
    <row r="658" spans="1:1" ht="14.25" customHeight="1">
      <c r="A658" s="104"/>
    </row>
    <row r="659" spans="1:1" ht="14.25" customHeight="1">
      <c r="A659" s="104"/>
    </row>
    <row r="660" spans="1:1" ht="14.25" customHeight="1">
      <c r="A660" s="104"/>
    </row>
    <row r="661" spans="1:1" ht="14.25" customHeight="1">
      <c r="A661" s="104"/>
    </row>
    <row r="662" spans="1:1" ht="14.25" customHeight="1">
      <c r="A662" s="104"/>
    </row>
    <row r="663" spans="1:1" ht="14.25" customHeight="1">
      <c r="A663" s="104"/>
    </row>
    <row r="664" spans="1:1" ht="14.25" customHeight="1">
      <c r="A664" s="104"/>
    </row>
    <row r="665" spans="1:1" ht="14.25" customHeight="1">
      <c r="A665" s="104"/>
    </row>
    <row r="666" spans="1:1" ht="14.25" customHeight="1">
      <c r="A666" s="104"/>
    </row>
    <row r="667" spans="1:1" ht="14.25" customHeight="1">
      <c r="A667" s="104"/>
    </row>
    <row r="668" spans="1:1" ht="14.25" customHeight="1">
      <c r="A668" s="104"/>
    </row>
    <row r="669" spans="1:1" ht="14.25" customHeight="1">
      <c r="A669" s="104"/>
    </row>
    <row r="670" spans="1:1" ht="14.25" customHeight="1">
      <c r="A670" s="104"/>
    </row>
    <row r="671" spans="1:1" ht="14.25" customHeight="1">
      <c r="A671" s="104"/>
    </row>
    <row r="672" spans="1:1" ht="14.25" customHeight="1">
      <c r="A672" s="104"/>
    </row>
    <row r="673" spans="1:1" ht="14.25" customHeight="1">
      <c r="A673" s="104"/>
    </row>
    <row r="674" spans="1:1" ht="14.25" customHeight="1">
      <c r="A674" s="104"/>
    </row>
    <row r="675" spans="1:1" ht="14.25" customHeight="1">
      <c r="A675" s="104"/>
    </row>
    <row r="676" spans="1:1" ht="14.25" customHeight="1">
      <c r="A676" s="104"/>
    </row>
    <row r="677" spans="1:1" ht="14.25" customHeight="1">
      <c r="A677" s="104"/>
    </row>
    <row r="678" spans="1:1" ht="14.25" customHeight="1">
      <c r="A678" s="104"/>
    </row>
    <row r="679" spans="1:1" ht="14.25" customHeight="1">
      <c r="A679" s="104"/>
    </row>
    <row r="680" spans="1:1" ht="14.25" customHeight="1">
      <c r="A680" s="104"/>
    </row>
    <row r="681" spans="1:1" ht="14.25" customHeight="1">
      <c r="A681" s="104"/>
    </row>
    <row r="682" spans="1:1" ht="14.25" customHeight="1">
      <c r="A682" s="104"/>
    </row>
    <row r="683" spans="1:1" ht="14.25" customHeight="1">
      <c r="A683" s="104"/>
    </row>
    <row r="684" spans="1:1" ht="14.25" customHeight="1">
      <c r="A684" s="104"/>
    </row>
    <row r="685" spans="1:1" ht="14.25" customHeight="1">
      <c r="A685" s="104"/>
    </row>
    <row r="686" spans="1:1" ht="14.25" customHeight="1">
      <c r="A686" s="104"/>
    </row>
    <row r="687" spans="1:1" ht="14.25" customHeight="1">
      <c r="A687" s="104"/>
    </row>
    <row r="688" spans="1:1" ht="14.25" customHeight="1">
      <c r="A688" s="104"/>
    </row>
    <row r="689" spans="1:1" ht="14.25" customHeight="1">
      <c r="A689" s="104"/>
    </row>
    <row r="690" spans="1:1" ht="14.25" customHeight="1">
      <c r="A690" s="104"/>
    </row>
    <row r="691" spans="1:1" ht="14.25" customHeight="1">
      <c r="A691" s="104"/>
    </row>
    <row r="692" spans="1:1" ht="14.25" customHeight="1">
      <c r="A692" s="104"/>
    </row>
    <row r="693" spans="1:1" ht="14.25" customHeight="1">
      <c r="A693" s="104"/>
    </row>
    <row r="694" spans="1:1" ht="14.25" customHeight="1">
      <c r="A694" s="104"/>
    </row>
    <row r="695" spans="1:1" ht="14.25" customHeight="1">
      <c r="A695" s="104"/>
    </row>
    <row r="696" spans="1:1" ht="14.25" customHeight="1">
      <c r="A696" s="104"/>
    </row>
    <row r="697" spans="1:1" ht="14.25" customHeight="1">
      <c r="A697" s="104"/>
    </row>
    <row r="698" spans="1:1" ht="14.25" customHeight="1">
      <c r="A698" s="104"/>
    </row>
    <row r="699" spans="1:1" ht="14.25" customHeight="1">
      <c r="A699" s="104"/>
    </row>
    <row r="700" spans="1:1" ht="14.25" customHeight="1">
      <c r="A700" s="104"/>
    </row>
    <row r="701" spans="1:1" ht="14.25" customHeight="1">
      <c r="A701" s="104"/>
    </row>
    <row r="702" spans="1:1" ht="14.25" customHeight="1">
      <c r="A702" s="104"/>
    </row>
    <row r="703" spans="1:1" ht="14.25" customHeight="1">
      <c r="A703" s="104"/>
    </row>
    <row r="704" spans="1:1" ht="14.25" customHeight="1">
      <c r="A704" s="104"/>
    </row>
    <row r="705" spans="1:1" ht="14.25" customHeight="1">
      <c r="A705" s="104"/>
    </row>
    <row r="706" spans="1:1" ht="14.25" customHeight="1">
      <c r="A706" s="104"/>
    </row>
    <row r="707" spans="1:1" ht="14.25" customHeight="1">
      <c r="A707" s="104"/>
    </row>
    <row r="708" spans="1:1" ht="14.25" customHeight="1">
      <c r="A708" s="104"/>
    </row>
    <row r="709" spans="1:1" ht="14.25" customHeight="1">
      <c r="A709" s="104"/>
    </row>
    <row r="710" spans="1:1" ht="14.25" customHeight="1">
      <c r="A710" s="104"/>
    </row>
    <row r="711" spans="1:1" ht="14.25" customHeight="1">
      <c r="A711" s="104"/>
    </row>
    <row r="712" spans="1:1" ht="14.25" customHeight="1">
      <c r="A712" s="104"/>
    </row>
    <row r="713" spans="1:1" ht="14.25" customHeight="1">
      <c r="A713" s="104"/>
    </row>
    <row r="714" spans="1:1" ht="14.25" customHeight="1">
      <c r="A714" s="104"/>
    </row>
    <row r="715" spans="1:1" ht="14.25" customHeight="1">
      <c r="A715" s="104"/>
    </row>
    <row r="716" spans="1:1" ht="14.25" customHeight="1">
      <c r="A716" s="104"/>
    </row>
    <row r="717" spans="1:1" ht="14.25" customHeight="1">
      <c r="A717" s="104"/>
    </row>
    <row r="718" spans="1:1" ht="14.25" customHeight="1">
      <c r="A718" s="104"/>
    </row>
    <row r="719" spans="1:1" ht="14.25" customHeight="1">
      <c r="A719" s="104"/>
    </row>
    <row r="720" spans="1:1" ht="14.25" customHeight="1">
      <c r="A720" s="104"/>
    </row>
    <row r="721" spans="1:1" ht="14.25" customHeight="1">
      <c r="A721" s="104"/>
    </row>
    <row r="722" spans="1:1" ht="14.25" customHeight="1">
      <c r="A722" s="104"/>
    </row>
    <row r="723" spans="1:1" ht="14.25" customHeight="1">
      <c r="A723" s="104"/>
    </row>
    <row r="724" spans="1:1" ht="14.25" customHeight="1">
      <c r="A724" s="104"/>
    </row>
    <row r="725" spans="1:1" ht="14.25" customHeight="1">
      <c r="A725" s="104"/>
    </row>
    <row r="726" spans="1:1" ht="14.25" customHeight="1">
      <c r="A726" s="104"/>
    </row>
    <row r="727" spans="1:1" ht="14.25" customHeight="1">
      <c r="A727" s="104"/>
    </row>
    <row r="728" spans="1:1" ht="14.25" customHeight="1">
      <c r="A728" s="104"/>
    </row>
    <row r="729" spans="1:1" ht="14.25" customHeight="1">
      <c r="A729" s="104"/>
    </row>
    <row r="730" spans="1:1" ht="14.25" customHeight="1">
      <c r="A730" s="104"/>
    </row>
    <row r="731" spans="1:1" ht="14.25" customHeight="1">
      <c r="A731" s="104"/>
    </row>
    <row r="732" spans="1:1" ht="14.25" customHeight="1">
      <c r="A732" s="104"/>
    </row>
    <row r="733" spans="1:1" ht="14.25" customHeight="1">
      <c r="A733" s="104"/>
    </row>
    <row r="734" spans="1:1" ht="14.25" customHeight="1">
      <c r="A734" s="104"/>
    </row>
    <row r="735" spans="1:1" ht="14.25" customHeight="1">
      <c r="A735" s="104"/>
    </row>
    <row r="736" spans="1:1" ht="14.25" customHeight="1">
      <c r="A736" s="104"/>
    </row>
    <row r="737" spans="1:1" ht="14.25" customHeight="1">
      <c r="A737" s="104"/>
    </row>
    <row r="738" spans="1:1" ht="14.25" customHeight="1">
      <c r="A738" s="104"/>
    </row>
    <row r="739" spans="1:1" ht="14.25" customHeight="1">
      <c r="A739" s="104"/>
    </row>
    <row r="740" spans="1:1" ht="14.25" customHeight="1">
      <c r="A740" s="104"/>
    </row>
    <row r="741" spans="1:1" ht="14.25" customHeight="1">
      <c r="A741" s="104"/>
    </row>
    <row r="742" spans="1:1" ht="14.25" customHeight="1">
      <c r="A742" s="104"/>
    </row>
    <row r="743" spans="1:1" ht="14.25" customHeight="1">
      <c r="A743" s="104"/>
    </row>
    <row r="744" spans="1:1" ht="14.25" customHeight="1">
      <c r="A744" s="104"/>
    </row>
    <row r="745" spans="1:1" ht="14.25" customHeight="1">
      <c r="A745" s="104"/>
    </row>
    <row r="746" spans="1:1" ht="14.25" customHeight="1">
      <c r="A746" s="104"/>
    </row>
    <row r="747" spans="1:1" ht="14.25" customHeight="1">
      <c r="A747" s="104"/>
    </row>
    <row r="748" spans="1:1" ht="14.25" customHeight="1">
      <c r="A748" s="104"/>
    </row>
    <row r="749" spans="1:1" ht="14.25" customHeight="1">
      <c r="A749" s="104"/>
    </row>
    <row r="750" spans="1:1" ht="14.25" customHeight="1">
      <c r="A750" s="104"/>
    </row>
    <row r="751" spans="1:1" ht="14.25" customHeight="1">
      <c r="A751" s="104"/>
    </row>
    <row r="752" spans="1:1" ht="14.25" customHeight="1">
      <c r="A752" s="104"/>
    </row>
    <row r="753" spans="1:1" ht="14.25" customHeight="1">
      <c r="A753" s="104"/>
    </row>
    <row r="754" spans="1:1" ht="14.25" customHeight="1">
      <c r="A754" s="104"/>
    </row>
    <row r="755" spans="1:1" ht="14.25" customHeight="1">
      <c r="A755" s="104"/>
    </row>
    <row r="756" spans="1:1" ht="14.25" customHeight="1">
      <c r="A756" s="104"/>
    </row>
    <row r="757" spans="1:1" ht="14.25" customHeight="1">
      <c r="A757" s="104"/>
    </row>
    <row r="758" spans="1:1" ht="14.25" customHeight="1">
      <c r="A758" s="104"/>
    </row>
    <row r="759" spans="1:1" ht="14.25" customHeight="1">
      <c r="A759" s="104"/>
    </row>
    <row r="760" spans="1:1" ht="14.25" customHeight="1">
      <c r="A760" s="104"/>
    </row>
    <row r="761" spans="1:1" ht="14.25" customHeight="1">
      <c r="A761" s="104"/>
    </row>
    <row r="762" spans="1:1" ht="14.25" customHeight="1">
      <c r="A762" s="104"/>
    </row>
    <row r="763" spans="1:1" ht="14.25" customHeight="1">
      <c r="A763" s="104"/>
    </row>
    <row r="764" spans="1:1" ht="14.25" customHeight="1">
      <c r="A764" s="104"/>
    </row>
    <row r="765" spans="1:1" ht="14.25" customHeight="1">
      <c r="A765" s="104"/>
    </row>
    <row r="766" spans="1:1" ht="14.25" customHeight="1">
      <c r="A766" s="104"/>
    </row>
    <row r="767" spans="1:1" ht="14.25" customHeight="1">
      <c r="A767" s="104"/>
    </row>
    <row r="768" spans="1:1" ht="14.25" customHeight="1">
      <c r="A768" s="104"/>
    </row>
    <row r="769" spans="1:1" ht="14.25" customHeight="1">
      <c r="A769" s="104"/>
    </row>
    <row r="770" spans="1:1" ht="14.25" customHeight="1">
      <c r="A770" s="104"/>
    </row>
    <row r="771" spans="1:1" ht="14.25" customHeight="1">
      <c r="A771" s="104"/>
    </row>
    <row r="772" spans="1:1" ht="14.25" customHeight="1">
      <c r="A772" s="104"/>
    </row>
    <row r="773" spans="1:1" ht="14.25" customHeight="1">
      <c r="A773" s="104"/>
    </row>
    <row r="774" spans="1:1" ht="14.25" customHeight="1">
      <c r="A774" s="104"/>
    </row>
    <row r="775" spans="1:1" ht="14.25" customHeight="1">
      <c r="A775" s="104"/>
    </row>
    <row r="776" spans="1:1" ht="14.25" customHeight="1">
      <c r="A776" s="104"/>
    </row>
    <row r="777" spans="1:1" ht="14.25" customHeight="1">
      <c r="A777" s="104"/>
    </row>
    <row r="778" spans="1:1" ht="14.25" customHeight="1">
      <c r="A778" s="104"/>
    </row>
    <row r="779" spans="1:1" ht="14.25" customHeight="1">
      <c r="A779" s="104"/>
    </row>
    <row r="780" spans="1:1" ht="14.25" customHeight="1">
      <c r="A780" s="104"/>
    </row>
    <row r="781" spans="1:1" ht="14.25" customHeight="1">
      <c r="A781" s="104"/>
    </row>
    <row r="782" spans="1:1" ht="14.25" customHeight="1">
      <c r="A782" s="104"/>
    </row>
    <row r="783" spans="1:1" ht="14.25" customHeight="1">
      <c r="A783" s="104"/>
    </row>
    <row r="784" spans="1:1" ht="14.25" customHeight="1">
      <c r="A784" s="104"/>
    </row>
    <row r="785" spans="1:1" ht="14.25" customHeight="1">
      <c r="A785" s="104"/>
    </row>
    <row r="786" spans="1:1" ht="14.25" customHeight="1">
      <c r="A786" s="104"/>
    </row>
    <row r="787" spans="1:1" ht="14.25" customHeight="1">
      <c r="A787" s="104"/>
    </row>
    <row r="788" spans="1:1" ht="14.25" customHeight="1">
      <c r="A788" s="104"/>
    </row>
    <row r="789" spans="1:1" ht="14.25" customHeight="1">
      <c r="A789" s="104"/>
    </row>
    <row r="790" spans="1:1" ht="14.25" customHeight="1">
      <c r="A790" s="104"/>
    </row>
    <row r="791" spans="1:1" ht="14.25" customHeight="1">
      <c r="A791" s="104"/>
    </row>
    <row r="792" spans="1:1" ht="14.25" customHeight="1">
      <c r="A792" s="104"/>
    </row>
    <row r="793" spans="1:1" ht="14.25" customHeight="1">
      <c r="A793" s="104"/>
    </row>
    <row r="794" spans="1:1" ht="14.25" customHeight="1">
      <c r="A794" s="104"/>
    </row>
    <row r="795" spans="1:1" ht="14.25" customHeight="1">
      <c r="A795" s="104"/>
    </row>
    <row r="796" spans="1:1" ht="14.25" customHeight="1">
      <c r="A796" s="104"/>
    </row>
    <row r="797" spans="1:1" ht="14.25" customHeight="1">
      <c r="A797" s="104"/>
    </row>
    <row r="798" spans="1:1" ht="14.25" customHeight="1">
      <c r="A798" s="104"/>
    </row>
    <row r="799" spans="1:1" ht="14.25" customHeight="1">
      <c r="A799" s="104"/>
    </row>
    <row r="800" spans="1:1" ht="14.25" customHeight="1">
      <c r="A800" s="104"/>
    </row>
    <row r="801" spans="1:1" ht="14.25" customHeight="1">
      <c r="A801" s="104"/>
    </row>
    <row r="802" spans="1:1" ht="14.25" customHeight="1">
      <c r="A802" s="104"/>
    </row>
    <row r="803" spans="1:1" ht="14.25" customHeight="1">
      <c r="A803" s="104"/>
    </row>
    <row r="804" spans="1:1" ht="14.25" customHeight="1">
      <c r="A804" s="104"/>
    </row>
    <row r="805" spans="1:1" ht="14.25" customHeight="1">
      <c r="A805" s="104"/>
    </row>
    <row r="806" spans="1:1" ht="14.25" customHeight="1">
      <c r="A806" s="104"/>
    </row>
    <row r="807" spans="1:1" ht="14.25" customHeight="1">
      <c r="A807" s="104"/>
    </row>
    <row r="808" spans="1:1" ht="14.25" customHeight="1">
      <c r="A808" s="104"/>
    </row>
    <row r="809" spans="1:1" ht="14.25" customHeight="1">
      <c r="A809" s="104"/>
    </row>
    <row r="810" spans="1:1" ht="14.25" customHeight="1">
      <c r="A810" s="104"/>
    </row>
    <row r="811" spans="1:1" ht="14.25" customHeight="1">
      <c r="A811" s="104"/>
    </row>
    <row r="812" spans="1:1" ht="14.25" customHeight="1">
      <c r="A812" s="104"/>
    </row>
    <row r="813" spans="1:1" ht="14.25" customHeight="1">
      <c r="A813" s="104"/>
    </row>
    <row r="814" spans="1:1" ht="14.25" customHeight="1">
      <c r="A814" s="104"/>
    </row>
    <row r="815" spans="1:1" ht="14.25" customHeight="1">
      <c r="A815" s="104"/>
    </row>
    <row r="816" spans="1:1" ht="14.25" customHeight="1">
      <c r="A816" s="104"/>
    </row>
    <row r="817" spans="1:1" ht="14.25" customHeight="1">
      <c r="A817" s="104"/>
    </row>
    <row r="818" spans="1:1" ht="14.25" customHeight="1">
      <c r="A818" s="104"/>
    </row>
    <row r="819" spans="1:1" ht="14.25" customHeight="1">
      <c r="A819" s="104"/>
    </row>
    <row r="820" spans="1:1" ht="14.25" customHeight="1">
      <c r="A820" s="104"/>
    </row>
    <row r="821" spans="1:1" ht="14.25" customHeight="1">
      <c r="A821" s="104"/>
    </row>
    <row r="822" spans="1:1" ht="14.25" customHeight="1">
      <c r="A822" s="104"/>
    </row>
    <row r="823" spans="1:1" ht="14.25" customHeight="1">
      <c r="A823" s="104"/>
    </row>
    <row r="824" spans="1:1" ht="14.25" customHeight="1">
      <c r="A824" s="104"/>
    </row>
    <row r="825" spans="1:1" ht="14.25" customHeight="1">
      <c r="A825" s="104"/>
    </row>
    <row r="826" spans="1:1" ht="14.25" customHeight="1">
      <c r="A826" s="104"/>
    </row>
    <row r="827" spans="1:1" ht="14.25" customHeight="1">
      <c r="A827" s="104"/>
    </row>
    <row r="828" spans="1:1" ht="14.25" customHeight="1">
      <c r="A828" s="104"/>
    </row>
    <row r="829" spans="1:1" ht="14.25" customHeight="1">
      <c r="A829" s="104"/>
    </row>
    <row r="830" spans="1:1" ht="14.25" customHeight="1">
      <c r="A830" s="104"/>
    </row>
    <row r="831" spans="1:1" ht="14.25" customHeight="1">
      <c r="A831" s="104"/>
    </row>
    <row r="832" spans="1:1" ht="14.25" customHeight="1">
      <c r="A832" s="104"/>
    </row>
    <row r="833" spans="1:1" ht="14.25" customHeight="1">
      <c r="A833" s="104"/>
    </row>
    <row r="834" spans="1:1" ht="14.25" customHeight="1">
      <c r="A834" s="104"/>
    </row>
    <row r="835" spans="1:1" ht="14.25" customHeight="1">
      <c r="A835" s="104"/>
    </row>
    <row r="836" spans="1:1" ht="14.25" customHeight="1">
      <c r="A836" s="104"/>
    </row>
    <row r="837" spans="1:1" ht="14.25" customHeight="1">
      <c r="A837" s="104"/>
    </row>
    <row r="838" spans="1:1" ht="14.25" customHeight="1">
      <c r="A838" s="104"/>
    </row>
    <row r="839" spans="1:1" ht="14.25" customHeight="1">
      <c r="A839" s="104"/>
    </row>
    <row r="840" spans="1:1" ht="14.25" customHeight="1">
      <c r="A840" s="104"/>
    </row>
    <row r="841" spans="1:1" ht="14.25" customHeight="1">
      <c r="A841" s="104"/>
    </row>
    <row r="842" spans="1:1" ht="14.25" customHeight="1">
      <c r="A842" s="104"/>
    </row>
    <row r="843" spans="1:1" ht="14.25" customHeight="1">
      <c r="A843" s="104"/>
    </row>
    <row r="844" spans="1:1" ht="14.25" customHeight="1">
      <c r="A844" s="104"/>
    </row>
    <row r="845" spans="1:1" ht="14.25" customHeight="1">
      <c r="A845" s="104"/>
    </row>
    <row r="846" spans="1:1" ht="14.25" customHeight="1">
      <c r="A846" s="104"/>
    </row>
    <row r="847" spans="1:1" ht="14.25" customHeight="1">
      <c r="A847" s="104"/>
    </row>
    <row r="848" spans="1:1" ht="14.25" customHeight="1">
      <c r="A848" s="104"/>
    </row>
    <row r="849" spans="1:1" ht="14.25" customHeight="1">
      <c r="A849" s="104"/>
    </row>
    <row r="850" spans="1:1" ht="14.25" customHeight="1">
      <c r="A850" s="104"/>
    </row>
    <row r="851" spans="1:1" ht="14.25" customHeight="1">
      <c r="A851" s="104"/>
    </row>
    <row r="852" spans="1:1" ht="14.25" customHeight="1">
      <c r="A852" s="104"/>
    </row>
    <row r="853" spans="1:1" ht="14.25" customHeight="1">
      <c r="A853" s="104"/>
    </row>
    <row r="854" spans="1:1" ht="14.25" customHeight="1">
      <c r="A854" s="104"/>
    </row>
    <row r="855" spans="1:1" ht="14.25" customHeight="1">
      <c r="A855" s="104"/>
    </row>
    <row r="856" spans="1:1" ht="14.25" customHeight="1">
      <c r="A856" s="104"/>
    </row>
    <row r="857" spans="1:1" ht="14.25" customHeight="1">
      <c r="A857" s="104"/>
    </row>
    <row r="858" spans="1:1" ht="14.25" customHeight="1">
      <c r="A858" s="104"/>
    </row>
    <row r="859" spans="1:1" ht="14.25" customHeight="1">
      <c r="A859" s="104"/>
    </row>
    <row r="860" spans="1:1" ht="14.25" customHeight="1">
      <c r="A860" s="104"/>
    </row>
    <row r="861" spans="1:1" ht="14.25" customHeight="1">
      <c r="A861" s="104"/>
    </row>
    <row r="862" spans="1:1" ht="14.25" customHeight="1">
      <c r="A862" s="104"/>
    </row>
    <row r="863" spans="1:1" ht="14.25" customHeight="1">
      <c r="A863" s="104"/>
    </row>
    <row r="864" spans="1:1" ht="14.25" customHeight="1">
      <c r="A864" s="104"/>
    </row>
    <row r="865" spans="1:1" ht="14.25" customHeight="1">
      <c r="A865" s="104"/>
    </row>
    <row r="866" spans="1:1" ht="14.25" customHeight="1">
      <c r="A866" s="104"/>
    </row>
    <row r="867" spans="1:1" ht="14.25" customHeight="1">
      <c r="A867" s="104"/>
    </row>
    <row r="868" spans="1:1" ht="14.25" customHeight="1">
      <c r="A868" s="104"/>
    </row>
    <row r="869" spans="1:1" ht="14.25" customHeight="1">
      <c r="A869" s="104"/>
    </row>
    <row r="870" spans="1:1" ht="14.25" customHeight="1">
      <c r="A870" s="104"/>
    </row>
    <row r="871" spans="1:1" ht="14.25" customHeight="1">
      <c r="A871" s="104"/>
    </row>
    <row r="872" spans="1:1" ht="14.25" customHeight="1">
      <c r="A872" s="104"/>
    </row>
    <row r="873" spans="1:1" ht="14.25" customHeight="1">
      <c r="A873" s="104"/>
    </row>
    <row r="874" spans="1:1" ht="14.25" customHeight="1">
      <c r="A874" s="104"/>
    </row>
    <row r="875" spans="1:1" ht="14.25" customHeight="1">
      <c r="A875" s="104"/>
    </row>
    <row r="876" spans="1:1" ht="14.25" customHeight="1">
      <c r="A876" s="104"/>
    </row>
    <row r="877" spans="1:1" ht="14.25" customHeight="1">
      <c r="A877" s="104"/>
    </row>
    <row r="878" spans="1:1" ht="14.25" customHeight="1">
      <c r="A878" s="104"/>
    </row>
    <row r="879" spans="1:1" ht="14.25" customHeight="1">
      <c r="A879" s="104"/>
    </row>
    <row r="880" spans="1:1" ht="14.25" customHeight="1">
      <c r="A880" s="104"/>
    </row>
    <row r="881" spans="1:1" ht="14.25" customHeight="1">
      <c r="A881" s="104"/>
    </row>
    <row r="882" spans="1:1" ht="14.25" customHeight="1">
      <c r="A882" s="104"/>
    </row>
    <row r="883" spans="1:1" ht="14.25" customHeight="1">
      <c r="A883" s="104"/>
    </row>
    <row r="884" spans="1:1" ht="14.25" customHeight="1">
      <c r="A884" s="104"/>
    </row>
    <row r="885" spans="1:1" ht="14.25" customHeight="1">
      <c r="A885" s="104"/>
    </row>
    <row r="886" spans="1:1" ht="14.25" customHeight="1">
      <c r="A886" s="104"/>
    </row>
    <row r="887" spans="1:1" ht="14.25" customHeight="1">
      <c r="A887" s="104"/>
    </row>
    <row r="888" spans="1:1" ht="14.25" customHeight="1">
      <c r="A888" s="104"/>
    </row>
    <row r="889" spans="1:1" ht="14.25" customHeight="1">
      <c r="A889" s="104"/>
    </row>
    <row r="890" spans="1:1" ht="14.25" customHeight="1">
      <c r="A890" s="104"/>
    </row>
    <row r="891" spans="1:1" ht="14.25" customHeight="1">
      <c r="A891" s="104"/>
    </row>
    <row r="892" spans="1:1" ht="14.25" customHeight="1">
      <c r="A892" s="104"/>
    </row>
    <row r="893" spans="1:1" ht="14.25" customHeight="1">
      <c r="A893" s="104"/>
    </row>
    <row r="894" spans="1:1" ht="14.25" customHeight="1">
      <c r="A894" s="104"/>
    </row>
    <row r="895" spans="1:1" ht="14.25" customHeight="1">
      <c r="A895" s="104"/>
    </row>
    <row r="896" spans="1:1" ht="14.25" customHeight="1">
      <c r="A896" s="104"/>
    </row>
    <row r="897" spans="1:1" ht="14.25" customHeight="1">
      <c r="A897" s="104"/>
    </row>
    <row r="898" spans="1:1" ht="14.25" customHeight="1">
      <c r="A898" s="104"/>
    </row>
    <row r="899" spans="1:1" ht="14.25" customHeight="1">
      <c r="A899" s="104"/>
    </row>
    <row r="900" spans="1:1" ht="14.25" customHeight="1">
      <c r="A900" s="104"/>
    </row>
    <row r="901" spans="1:1" ht="14.25" customHeight="1">
      <c r="A901" s="104"/>
    </row>
    <row r="902" spans="1:1" ht="14.25" customHeight="1">
      <c r="A902" s="104"/>
    </row>
    <row r="903" spans="1:1" ht="14.25" customHeight="1">
      <c r="A903" s="104"/>
    </row>
    <row r="904" spans="1:1" ht="14.25" customHeight="1">
      <c r="A904" s="104"/>
    </row>
    <row r="905" spans="1:1" ht="14.25" customHeight="1">
      <c r="A905" s="104"/>
    </row>
    <row r="906" spans="1:1" ht="14.25" customHeight="1">
      <c r="A906" s="104"/>
    </row>
    <row r="907" spans="1:1" ht="14.25" customHeight="1">
      <c r="A907" s="104"/>
    </row>
    <row r="908" spans="1:1" ht="14.25" customHeight="1">
      <c r="A908" s="104"/>
    </row>
    <row r="909" spans="1:1" ht="14.25" customHeight="1">
      <c r="A909" s="104"/>
    </row>
    <row r="910" spans="1:1" ht="14.25" customHeight="1">
      <c r="A910" s="104"/>
    </row>
    <row r="911" spans="1:1" ht="14.25" customHeight="1">
      <c r="A911" s="104"/>
    </row>
    <row r="912" spans="1:1" ht="14.25" customHeight="1">
      <c r="A912" s="104"/>
    </row>
    <row r="913" spans="1:1" ht="14.25" customHeight="1">
      <c r="A913" s="104"/>
    </row>
    <row r="914" spans="1:1" ht="14.25" customHeight="1">
      <c r="A914" s="104"/>
    </row>
    <row r="915" spans="1:1" ht="14.25" customHeight="1">
      <c r="A915" s="104"/>
    </row>
    <row r="916" spans="1:1" ht="14.25" customHeight="1">
      <c r="A916" s="104"/>
    </row>
    <row r="917" spans="1:1" ht="14.25" customHeight="1">
      <c r="A917" s="104"/>
    </row>
    <row r="918" spans="1:1" ht="14.25" customHeight="1">
      <c r="A918" s="104"/>
    </row>
    <row r="919" spans="1:1" ht="14.25" customHeight="1">
      <c r="A919" s="104"/>
    </row>
    <row r="920" spans="1:1" ht="14.25" customHeight="1">
      <c r="A920" s="104"/>
    </row>
    <row r="921" spans="1:1" ht="14.25" customHeight="1">
      <c r="A921" s="104"/>
    </row>
    <row r="922" spans="1:1" ht="14.25" customHeight="1">
      <c r="A922" s="104"/>
    </row>
    <row r="923" spans="1:1" ht="14.25" customHeight="1">
      <c r="A923" s="104"/>
    </row>
    <row r="924" spans="1:1" ht="14.25" customHeight="1">
      <c r="A924" s="104"/>
    </row>
    <row r="925" spans="1:1" ht="14.25" customHeight="1">
      <c r="A925" s="104"/>
    </row>
    <row r="926" spans="1:1" ht="14.25" customHeight="1">
      <c r="A926" s="104"/>
    </row>
    <row r="927" spans="1:1" ht="14.25" customHeight="1">
      <c r="A927" s="104"/>
    </row>
    <row r="928" spans="1:1" ht="14.25" customHeight="1">
      <c r="A928" s="104"/>
    </row>
    <row r="929" spans="1:1" ht="14.25" customHeight="1">
      <c r="A929" s="104"/>
    </row>
    <row r="930" spans="1:1" ht="14.25" customHeight="1">
      <c r="A930" s="104"/>
    </row>
    <row r="931" spans="1:1" ht="14.25" customHeight="1">
      <c r="A931" s="104"/>
    </row>
    <row r="932" spans="1:1" ht="14.25" customHeight="1">
      <c r="A932" s="104"/>
    </row>
    <row r="933" spans="1:1" ht="14.25" customHeight="1">
      <c r="A933" s="104"/>
    </row>
    <row r="934" spans="1:1" ht="14.25" customHeight="1">
      <c r="A934" s="104"/>
    </row>
    <row r="935" spans="1:1" ht="14.25" customHeight="1">
      <c r="A935" s="104"/>
    </row>
    <row r="936" spans="1:1" ht="14.25" customHeight="1">
      <c r="A936" s="104"/>
    </row>
    <row r="937" spans="1:1" ht="14.25" customHeight="1">
      <c r="A937" s="104"/>
    </row>
    <row r="938" spans="1:1" ht="14.25" customHeight="1">
      <c r="A938" s="104"/>
    </row>
    <row r="939" spans="1:1" ht="14.25" customHeight="1">
      <c r="A939" s="104"/>
    </row>
    <row r="940" spans="1:1" ht="14.25" customHeight="1">
      <c r="A940" s="104"/>
    </row>
    <row r="941" spans="1:1" ht="14.25" customHeight="1">
      <c r="A941" s="104"/>
    </row>
    <row r="942" spans="1:1" ht="14.25" customHeight="1">
      <c r="A942" s="104"/>
    </row>
    <row r="943" spans="1:1" ht="14.25" customHeight="1">
      <c r="A943" s="104"/>
    </row>
    <row r="944" spans="1:1" ht="14.25" customHeight="1">
      <c r="A944" s="104"/>
    </row>
    <row r="945" spans="1:1" ht="14.25" customHeight="1">
      <c r="A945" s="104"/>
    </row>
    <row r="946" spans="1:1" ht="14.25" customHeight="1">
      <c r="A946" s="104"/>
    </row>
    <row r="947" spans="1:1" ht="14.25" customHeight="1">
      <c r="A947" s="104"/>
    </row>
    <row r="948" spans="1:1" ht="14.25" customHeight="1">
      <c r="A948" s="104"/>
    </row>
    <row r="949" spans="1:1" ht="14.25" customHeight="1">
      <c r="A949" s="104"/>
    </row>
    <row r="950" spans="1:1" ht="14.25" customHeight="1">
      <c r="A950" s="104"/>
    </row>
    <row r="951" spans="1:1" ht="14.25" customHeight="1">
      <c r="A951" s="104"/>
    </row>
    <row r="952" spans="1:1" ht="14.25" customHeight="1">
      <c r="A952" s="104"/>
    </row>
    <row r="953" spans="1:1" ht="14.25" customHeight="1">
      <c r="A953" s="104"/>
    </row>
    <row r="954" spans="1:1" ht="14.25" customHeight="1">
      <c r="A954" s="104"/>
    </row>
    <row r="955" spans="1:1" ht="14.25" customHeight="1">
      <c r="A955" s="104"/>
    </row>
    <row r="956" spans="1:1" ht="14.25" customHeight="1">
      <c r="A956" s="104"/>
    </row>
    <row r="957" spans="1:1" ht="14.25" customHeight="1">
      <c r="A957" s="104"/>
    </row>
    <row r="958" spans="1:1" ht="14.25" customHeight="1">
      <c r="A958" s="104"/>
    </row>
    <row r="959" spans="1:1" ht="14.25" customHeight="1">
      <c r="A959" s="104"/>
    </row>
    <row r="960" spans="1:1" ht="14.25" customHeight="1">
      <c r="A960" s="104"/>
    </row>
    <row r="961" spans="1:1" ht="14.25" customHeight="1">
      <c r="A961" s="104"/>
    </row>
    <row r="962" spans="1:1" ht="14.25" customHeight="1">
      <c r="A962" s="104"/>
    </row>
    <row r="963" spans="1:1" ht="14.25" customHeight="1">
      <c r="A963" s="104"/>
    </row>
    <row r="964" spans="1:1" ht="14.25" customHeight="1">
      <c r="A964" s="104"/>
    </row>
    <row r="965" spans="1:1" ht="14.25" customHeight="1">
      <c r="A965" s="104"/>
    </row>
    <row r="966" spans="1:1" ht="14.25" customHeight="1">
      <c r="A966" s="104"/>
    </row>
    <row r="967" spans="1:1" ht="14.25" customHeight="1">
      <c r="A967" s="104"/>
    </row>
    <row r="968" spans="1:1" ht="14.25" customHeight="1">
      <c r="A968" s="104"/>
    </row>
    <row r="969" spans="1:1" ht="14.25" customHeight="1">
      <c r="A969" s="104"/>
    </row>
    <row r="970" spans="1:1" ht="14.25" customHeight="1">
      <c r="A970" s="104"/>
    </row>
    <row r="971" spans="1:1" ht="14.25" customHeight="1">
      <c r="A971" s="104"/>
    </row>
    <row r="972" spans="1:1" ht="14.25" customHeight="1">
      <c r="A972" s="104"/>
    </row>
    <row r="973" spans="1:1" ht="14.25" customHeight="1">
      <c r="A973" s="104"/>
    </row>
    <row r="974" spans="1:1" ht="14.25" customHeight="1">
      <c r="A974" s="104"/>
    </row>
    <row r="975" spans="1:1" ht="14.25" customHeight="1">
      <c r="A975" s="104"/>
    </row>
    <row r="976" spans="1:1" ht="14.25" customHeight="1">
      <c r="A976" s="104"/>
    </row>
    <row r="977" spans="1:1" ht="14.25" customHeight="1">
      <c r="A977" s="104"/>
    </row>
    <row r="978" spans="1:1" ht="14.25" customHeight="1">
      <c r="A978" s="104"/>
    </row>
    <row r="979" spans="1:1" ht="14.25" customHeight="1">
      <c r="A979" s="104"/>
    </row>
    <row r="980" spans="1:1" ht="14.25" customHeight="1">
      <c r="A980" s="104"/>
    </row>
    <row r="981" spans="1:1" ht="14.25" customHeight="1">
      <c r="A981" s="104"/>
    </row>
    <row r="982" spans="1:1" ht="14.25" customHeight="1">
      <c r="A982" s="104"/>
    </row>
    <row r="983" spans="1:1" ht="14.25" customHeight="1">
      <c r="A983" s="104"/>
    </row>
    <row r="984" spans="1:1" ht="14.25" customHeight="1">
      <c r="A984" s="104"/>
    </row>
    <row r="985" spans="1:1" ht="14.25" customHeight="1">
      <c r="A985" s="104"/>
    </row>
    <row r="986" spans="1:1" ht="14.25" customHeight="1">
      <c r="A986" s="104"/>
    </row>
    <row r="987" spans="1:1" ht="14.25" customHeight="1">
      <c r="A987" s="104"/>
    </row>
    <row r="988" spans="1:1" ht="14.25" customHeight="1">
      <c r="A988" s="104"/>
    </row>
    <row r="989" spans="1:1" ht="14.25" customHeight="1">
      <c r="A989" s="104"/>
    </row>
    <row r="990" spans="1:1" ht="14.25" customHeight="1">
      <c r="A990" s="104"/>
    </row>
    <row r="991" spans="1:1" ht="14.25" customHeight="1">
      <c r="A991" s="104"/>
    </row>
    <row r="992" spans="1:1" ht="14.25" customHeight="1">
      <c r="A992" s="104"/>
    </row>
    <row r="993" spans="1:1" ht="14.25" customHeight="1">
      <c r="A993" s="104"/>
    </row>
    <row r="994" spans="1:1" ht="14.25" customHeight="1">
      <c r="A994" s="104"/>
    </row>
    <row r="995" spans="1:1" ht="14.25" customHeight="1">
      <c r="A995" s="104"/>
    </row>
    <row r="996" spans="1:1" ht="14.25" customHeight="1">
      <c r="A996" s="104"/>
    </row>
    <row r="997" spans="1:1" ht="14.25" customHeight="1">
      <c r="A997" s="104"/>
    </row>
    <row r="998" spans="1:1" ht="14.25" customHeight="1">
      <c r="A998" s="104"/>
    </row>
    <row r="999" spans="1:1" ht="14.25" customHeight="1">
      <c r="A999" s="104"/>
    </row>
    <row r="1000" spans="1:1" ht="14.25" customHeight="1">
      <c r="A1000" s="104"/>
    </row>
  </sheetData>
  <mergeCells count="1">
    <mergeCell ref="C2:L2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15.5546875" customWidth="1"/>
    <col min="3" max="3" width="18.109375" customWidth="1"/>
    <col min="4" max="4" width="16" customWidth="1"/>
    <col min="5" max="5" width="17.109375" customWidth="1"/>
    <col min="6" max="6" width="17.88671875" customWidth="1"/>
    <col min="7" max="7" width="10.6640625" customWidth="1"/>
    <col min="8" max="8" width="13" customWidth="1"/>
    <col min="9" max="26" width="10.6640625" customWidth="1"/>
  </cols>
  <sheetData>
    <row r="1" spans="1:26" ht="30" customHeight="1">
      <c r="A1" s="226" t="s">
        <v>167</v>
      </c>
      <c r="B1" s="227"/>
      <c r="C1" s="227"/>
      <c r="D1" s="227"/>
      <c r="E1" s="227"/>
      <c r="F1" s="228"/>
    </row>
    <row r="2" spans="1:26" ht="15" customHeight="1">
      <c r="A2" s="229" t="s">
        <v>168</v>
      </c>
      <c r="B2" s="224"/>
      <c r="C2" s="224"/>
      <c r="D2" s="224"/>
      <c r="E2" s="225"/>
      <c r="F2" s="105">
        <v>21</v>
      </c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4.25" customHeight="1">
      <c r="A3" s="229" t="s">
        <v>169</v>
      </c>
      <c r="B3" s="225"/>
      <c r="C3" s="107" t="s">
        <v>51</v>
      </c>
      <c r="D3" s="107" t="s">
        <v>21</v>
      </c>
      <c r="E3" s="107" t="s">
        <v>22</v>
      </c>
      <c r="F3" s="105" t="s">
        <v>170</v>
      </c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14.25" customHeight="1">
      <c r="A4" s="230"/>
      <c r="B4" s="108">
        <v>5000</v>
      </c>
      <c r="C4" s="76">
        <f>'W7 DIESEL 120K'!C27</f>
        <v>95.039999999999992</v>
      </c>
      <c r="D4" s="76">
        <f>'W7 DIESEL 120K'!C20</f>
        <v>33.56</v>
      </c>
      <c r="E4" s="76">
        <f>'W7 DIESEL 120K'!C21</f>
        <v>19.399999999999999</v>
      </c>
      <c r="F4" s="77">
        <f t="shared" ref="F4:F27" si="0">SUM(C4:E4)</f>
        <v>148</v>
      </c>
    </row>
    <row r="5" spans="1:26" ht="14.25" customHeight="1">
      <c r="A5" s="231"/>
      <c r="B5" s="108">
        <v>10000</v>
      </c>
      <c r="C5" s="76">
        <f>'W7 DIESEL 120K'!D27</f>
        <v>40.98</v>
      </c>
      <c r="D5" s="76">
        <f>'W7 DIESEL 120K'!D20</f>
        <v>115.97000000000001</v>
      </c>
      <c r="E5" s="76">
        <f>'W7 DIESEL 120K'!D21</f>
        <v>157</v>
      </c>
      <c r="F5" s="77">
        <f t="shared" si="0"/>
        <v>313.95000000000005</v>
      </c>
    </row>
    <row r="6" spans="1:26" ht="14.25" customHeight="1">
      <c r="A6" s="231"/>
      <c r="B6" s="108">
        <v>15000</v>
      </c>
      <c r="C6" s="76">
        <v>40.98</v>
      </c>
      <c r="D6" s="76">
        <v>33.56</v>
      </c>
      <c r="E6" s="76">
        <v>14.11</v>
      </c>
      <c r="F6" s="77">
        <f t="shared" si="0"/>
        <v>88.649999999999991</v>
      </c>
    </row>
    <row r="7" spans="1:26" ht="14.25" customHeight="1">
      <c r="A7" s="231"/>
      <c r="B7" s="108">
        <v>20000</v>
      </c>
      <c r="C7" s="76">
        <f>'W7 DIESEL 120K'!E27</f>
        <v>52.98</v>
      </c>
      <c r="D7" s="76">
        <f>'W7 DIESEL 120K'!E20</f>
        <v>68.600000000000009</v>
      </c>
      <c r="E7" s="76">
        <f>'W7 DIESEL 120K'!E21</f>
        <v>181.69</v>
      </c>
      <c r="F7" s="77">
        <f t="shared" si="0"/>
        <v>303.27</v>
      </c>
    </row>
    <row r="8" spans="1:26" ht="14.25" customHeight="1">
      <c r="A8" s="231"/>
      <c r="B8" s="108">
        <v>25000</v>
      </c>
      <c r="C8" s="76">
        <v>40.98</v>
      </c>
      <c r="D8" s="76">
        <v>33.56</v>
      </c>
      <c r="E8" s="76">
        <v>14.11</v>
      </c>
      <c r="F8" s="77">
        <f t="shared" si="0"/>
        <v>88.649999999999991</v>
      </c>
    </row>
    <row r="9" spans="1:26" ht="14.25" customHeight="1">
      <c r="A9" s="231"/>
      <c r="B9" s="108">
        <v>30000</v>
      </c>
      <c r="C9" s="76">
        <f>'W7 DIESEL 120K'!F27</f>
        <v>48.309999999999995</v>
      </c>
      <c r="D9" s="76">
        <f>'W7 DIESEL 120K'!F20</f>
        <v>115.97000000000001</v>
      </c>
      <c r="E9" s="76">
        <f>'W7 DIESEL 120K'!F21</f>
        <v>175.34</v>
      </c>
      <c r="F9" s="77">
        <f t="shared" si="0"/>
        <v>339.62</v>
      </c>
    </row>
    <row r="10" spans="1:26" ht="14.25" customHeight="1">
      <c r="A10" s="231"/>
      <c r="B10" s="108">
        <v>35000</v>
      </c>
      <c r="C10" s="76">
        <v>40.98</v>
      </c>
      <c r="D10" s="76">
        <v>33.56</v>
      </c>
      <c r="E10" s="76">
        <v>14.11</v>
      </c>
      <c r="F10" s="77">
        <f t="shared" si="0"/>
        <v>88.649999999999991</v>
      </c>
    </row>
    <row r="11" spans="1:26" ht="14.25" customHeight="1">
      <c r="A11" s="231"/>
      <c r="B11" s="108">
        <v>40000</v>
      </c>
      <c r="C11" s="76">
        <f>'W7 DIESEL 120K'!G27</f>
        <v>67.97999999999999</v>
      </c>
      <c r="D11" s="76">
        <f>'W7 DIESEL 120K'!G20</f>
        <v>68.600000000000009</v>
      </c>
      <c r="E11" s="76">
        <f>'W7 DIESEL 120K'!G21</f>
        <v>213.44</v>
      </c>
      <c r="F11" s="77">
        <f t="shared" si="0"/>
        <v>350.02</v>
      </c>
    </row>
    <row r="12" spans="1:26" ht="14.25" customHeight="1">
      <c r="A12" s="231"/>
      <c r="B12" s="108">
        <v>45000</v>
      </c>
      <c r="C12" s="76">
        <v>40.98</v>
      </c>
      <c r="D12" s="76">
        <v>33.56</v>
      </c>
      <c r="E12" s="76">
        <v>14.11</v>
      </c>
      <c r="F12" s="77">
        <f t="shared" si="0"/>
        <v>88.649999999999991</v>
      </c>
    </row>
    <row r="13" spans="1:26" ht="14.25" customHeight="1">
      <c r="A13" s="231"/>
      <c r="B13" s="108">
        <v>50000</v>
      </c>
      <c r="C13" s="76">
        <f>'W7 DIESEL 120K'!H27</f>
        <v>95.039999999999992</v>
      </c>
      <c r="D13" s="76">
        <f>'W7 DIESEL 120K'!H20</f>
        <v>115.97000000000001</v>
      </c>
      <c r="E13" s="76">
        <f>'W7 DIESEL 120K'!H21</f>
        <v>169.34</v>
      </c>
      <c r="F13" s="77">
        <f t="shared" si="0"/>
        <v>380.35</v>
      </c>
    </row>
    <row r="14" spans="1:26" ht="14.25" customHeight="1">
      <c r="A14" s="231"/>
      <c r="B14" s="108">
        <v>55000</v>
      </c>
      <c r="C14" s="76">
        <v>40.98</v>
      </c>
      <c r="D14" s="76">
        <v>33.56</v>
      </c>
      <c r="E14" s="76">
        <v>14.11</v>
      </c>
      <c r="F14" s="77">
        <f t="shared" si="0"/>
        <v>88.649999999999991</v>
      </c>
    </row>
    <row r="15" spans="1:26" ht="14.25" customHeight="1">
      <c r="A15" s="231"/>
      <c r="B15" s="108">
        <v>60000</v>
      </c>
      <c r="C15" s="76">
        <f>'W7 DIESEL 120K'!I27</f>
        <v>60.309999999999995</v>
      </c>
      <c r="D15" s="76">
        <f>'W7 DIESEL 120K'!I20</f>
        <v>68.600000000000009</v>
      </c>
      <c r="E15" s="76">
        <f>'W7 DIESEL 120K'!I21</f>
        <v>196.51</v>
      </c>
      <c r="F15" s="77">
        <f t="shared" si="0"/>
        <v>325.41999999999996</v>
      </c>
    </row>
    <row r="16" spans="1:26" ht="14.25" customHeight="1">
      <c r="A16" s="231"/>
      <c r="B16" s="108">
        <v>65000</v>
      </c>
      <c r="C16" s="76">
        <v>40.98</v>
      </c>
      <c r="D16" s="76">
        <v>33.56</v>
      </c>
      <c r="E16" s="76">
        <v>14.11</v>
      </c>
      <c r="F16" s="77">
        <f t="shared" si="0"/>
        <v>88.649999999999991</v>
      </c>
    </row>
    <row r="17" spans="1:26" ht="14.25" customHeight="1">
      <c r="A17" s="231"/>
      <c r="B17" s="108">
        <v>70000</v>
      </c>
      <c r="C17" s="76">
        <f>'W7 DIESEL 120K'!J27</f>
        <v>40.98</v>
      </c>
      <c r="D17" s="76">
        <f>'W7 DIESEL 120K'!J20</f>
        <v>115.97000000000001</v>
      </c>
      <c r="E17" s="76">
        <f>'W7 DIESEL 120K'!J21</f>
        <v>148.18</v>
      </c>
      <c r="F17" s="77">
        <f t="shared" si="0"/>
        <v>305.13</v>
      </c>
    </row>
    <row r="18" spans="1:26" ht="14.25" customHeight="1">
      <c r="A18" s="231"/>
      <c r="B18" s="108">
        <v>75000</v>
      </c>
      <c r="C18" s="76">
        <v>40.98</v>
      </c>
      <c r="D18" s="76">
        <v>33.56</v>
      </c>
      <c r="E18" s="76">
        <v>14.11</v>
      </c>
      <c r="F18" s="77">
        <f t="shared" si="0"/>
        <v>88.649999999999991</v>
      </c>
    </row>
    <row r="19" spans="1:26" ht="14.25" customHeight="1">
      <c r="A19" s="231"/>
      <c r="B19" s="108">
        <v>80000</v>
      </c>
      <c r="C19" s="76">
        <f>'W7 DIESEL 120K'!K27</f>
        <v>0</v>
      </c>
      <c r="D19" s="76">
        <f>'W7 DIESEL 120K'!K20</f>
        <v>0</v>
      </c>
      <c r="E19" s="76">
        <f>'W7 DIESEL 120K'!K21</f>
        <v>0</v>
      </c>
      <c r="F19" s="77">
        <f t="shared" si="0"/>
        <v>0</v>
      </c>
    </row>
    <row r="20" spans="1:26" ht="14.25" customHeight="1">
      <c r="A20" s="231"/>
      <c r="B20" s="108">
        <v>85000</v>
      </c>
      <c r="C20" s="76">
        <v>40.98</v>
      </c>
      <c r="D20" s="76">
        <v>33.56</v>
      </c>
      <c r="E20" s="76">
        <v>14.11</v>
      </c>
      <c r="F20" s="77">
        <f t="shared" si="0"/>
        <v>88.649999999999991</v>
      </c>
    </row>
    <row r="21" spans="1:26" ht="14.25" customHeight="1">
      <c r="A21" s="231"/>
      <c r="B21" s="108">
        <v>90000</v>
      </c>
      <c r="C21" s="76">
        <f>'W7 DIESEL 120K'!L27</f>
        <v>0</v>
      </c>
      <c r="D21" s="76">
        <f>'W7 DIESEL 120K'!L20</f>
        <v>0</v>
      </c>
      <c r="E21" s="76">
        <f>'W7 DIESEL 120K'!L21</f>
        <v>0</v>
      </c>
      <c r="F21" s="77">
        <f t="shared" si="0"/>
        <v>0</v>
      </c>
    </row>
    <row r="22" spans="1:26" ht="14.25" customHeight="1">
      <c r="A22" s="231"/>
      <c r="B22" s="108">
        <v>95000</v>
      </c>
      <c r="C22" s="76">
        <v>40.98</v>
      </c>
      <c r="D22" s="76">
        <v>33.56</v>
      </c>
      <c r="E22" s="76">
        <v>14.11</v>
      </c>
      <c r="F22" s="77">
        <f t="shared" si="0"/>
        <v>88.649999999999991</v>
      </c>
    </row>
    <row r="23" spans="1:26" ht="14.25" customHeight="1">
      <c r="A23" s="231"/>
      <c r="B23" s="108">
        <v>100000</v>
      </c>
      <c r="C23" s="76">
        <f>'W7 DIESEL 120K'!M27</f>
        <v>0</v>
      </c>
      <c r="D23" s="76">
        <f>'W7 DIESEL 120K'!M20</f>
        <v>0</v>
      </c>
      <c r="E23" s="76">
        <f>'W7 DIESEL 120K'!M21</f>
        <v>0</v>
      </c>
      <c r="F23" s="77">
        <f t="shared" si="0"/>
        <v>0</v>
      </c>
    </row>
    <row r="24" spans="1:26" ht="14.25" customHeight="1">
      <c r="A24" s="231"/>
      <c r="B24" s="108">
        <v>105000</v>
      </c>
      <c r="C24" s="76">
        <v>40.98</v>
      </c>
      <c r="D24" s="76">
        <v>33.56</v>
      </c>
      <c r="E24" s="76">
        <v>14.11</v>
      </c>
      <c r="F24" s="77">
        <f t="shared" si="0"/>
        <v>88.649999999999991</v>
      </c>
    </row>
    <row r="25" spans="1:26" ht="14.25" customHeight="1">
      <c r="A25" s="231"/>
      <c r="B25" s="108">
        <v>110000</v>
      </c>
      <c r="C25" s="76">
        <f>'W7 DIESEL 120K'!N27</f>
        <v>0</v>
      </c>
      <c r="D25" s="76">
        <f>'W7 DIESEL 120K'!N20</f>
        <v>0</v>
      </c>
      <c r="E25" s="76">
        <f>'W7 DIESEL 120K'!N21</f>
        <v>0</v>
      </c>
      <c r="F25" s="77">
        <f t="shared" si="0"/>
        <v>0</v>
      </c>
    </row>
    <row r="26" spans="1:26" ht="14.25" customHeight="1">
      <c r="A26" s="231"/>
      <c r="B26" s="108">
        <v>115000</v>
      </c>
      <c r="C26" s="76">
        <v>40.98</v>
      </c>
      <c r="D26" s="76">
        <v>33.56</v>
      </c>
      <c r="E26" s="76">
        <v>14.11</v>
      </c>
      <c r="F26" s="77">
        <f t="shared" si="0"/>
        <v>88.649999999999991</v>
      </c>
    </row>
    <row r="27" spans="1:26" ht="14.25" customHeight="1">
      <c r="A27" s="231"/>
      <c r="B27" s="108">
        <v>120000</v>
      </c>
      <c r="C27" s="76">
        <f>'W7 DIESEL 120K'!O27</f>
        <v>0</v>
      </c>
      <c r="D27" s="76">
        <f>'W7 DIESEL 120K'!O20</f>
        <v>0</v>
      </c>
      <c r="E27" s="76">
        <f>'W7 DIESEL 120K'!O21</f>
        <v>0</v>
      </c>
      <c r="F27" s="77">
        <f t="shared" si="0"/>
        <v>0</v>
      </c>
    </row>
    <row r="28" spans="1:26" ht="14.25" customHeight="1">
      <c r="A28" s="231"/>
      <c r="B28" s="107" t="s">
        <v>171</v>
      </c>
      <c r="C28" s="109">
        <f t="shared" ref="C28:F28" si="1">SUM(C4:C27)</f>
        <v>952.40000000000009</v>
      </c>
      <c r="D28" s="109">
        <f t="shared" si="1"/>
        <v>1072.3999999999999</v>
      </c>
      <c r="E28" s="109">
        <f t="shared" si="1"/>
        <v>1416.1099999999994</v>
      </c>
      <c r="F28" s="110">
        <f t="shared" si="1"/>
        <v>3440.9100000000008</v>
      </c>
      <c r="G28" s="106"/>
      <c r="H28" s="111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50.25" customHeight="1">
      <c r="A29" s="232"/>
      <c r="B29" s="107" t="s">
        <v>172</v>
      </c>
      <c r="C29" s="109">
        <f t="shared" ref="C29:E29" si="2">C28*$F$2</f>
        <v>20000.400000000001</v>
      </c>
      <c r="D29" s="109">
        <f t="shared" si="2"/>
        <v>22520.399999999998</v>
      </c>
      <c r="E29" s="109">
        <f t="shared" si="2"/>
        <v>29738.309999999987</v>
      </c>
      <c r="F29" s="110">
        <f t="shared" ref="F29:F33" si="3">SUM(C29:E29)</f>
        <v>72259.109999999986</v>
      </c>
      <c r="G29" s="112"/>
      <c r="H29" s="113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63.75" customHeight="1">
      <c r="A30" s="229" t="s">
        <v>173</v>
      </c>
      <c r="B30" s="225"/>
      <c r="C30" s="109">
        <f t="shared" ref="C30:E30" si="4">C29*0.3</f>
        <v>6000.12</v>
      </c>
      <c r="D30" s="109">
        <f t="shared" si="4"/>
        <v>6756.119999999999</v>
      </c>
      <c r="E30" s="109">
        <f t="shared" si="4"/>
        <v>8921.4929999999949</v>
      </c>
      <c r="F30" s="110">
        <f t="shared" si="3"/>
        <v>21677.732999999993</v>
      </c>
      <c r="G30" s="112"/>
      <c r="H30" s="113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45" customHeight="1">
      <c r="A31" s="233" t="s">
        <v>27</v>
      </c>
      <c r="B31" s="234"/>
      <c r="C31" s="114">
        <f t="shared" ref="C31:E31" si="5">C29+C30</f>
        <v>26000.52</v>
      </c>
      <c r="D31" s="114">
        <f t="shared" si="5"/>
        <v>29276.519999999997</v>
      </c>
      <c r="E31" s="114">
        <f t="shared" si="5"/>
        <v>38659.802999999985</v>
      </c>
      <c r="F31" s="115">
        <f t="shared" si="3"/>
        <v>93936.842999999979</v>
      </c>
      <c r="G31" s="112"/>
      <c r="H31" s="113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16"/>
      <c r="B32" s="117" t="s">
        <v>111</v>
      </c>
      <c r="C32" s="118">
        <f t="shared" ref="C32:E32" si="6">C31*0.12</f>
        <v>3120.0623999999998</v>
      </c>
      <c r="D32" s="118">
        <f t="shared" si="6"/>
        <v>3513.1823999999997</v>
      </c>
      <c r="E32" s="118">
        <f t="shared" si="6"/>
        <v>4639.1763599999977</v>
      </c>
      <c r="F32" s="119">
        <f t="shared" si="3"/>
        <v>11272.421159999998</v>
      </c>
    </row>
    <row r="33" spans="1:6" ht="14.25" customHeight="1">
      <c r="A33" s="120"/>
      <c r="B33" s="121" t="s">
        <v>27</v>
      </c>
      <c r="C33" s="122">
        <f t="shared" ref="C33:E33" si="7">SUM(C31:C32)</f>
        <v>29120.582399999999</v>
      </c>
      <c r="D33" s="122">
        <f t="shared" si="7"/>
        <v>32789.702399999995</v>
      </c>
      <c r="E33" s="122">
        <f t="shared" si="7"/>
        <v>43298.979359999983</v>
      </c>
      <c r="F33" s="123">
        <f t="shared" si="3"/>
        <v>105209.26415999998</v>
      </c>
    </row>
    <row r="34" spans="1:6" ht="14.25" customHeight="1"/>
    <row r="35" spans="1:6" ht="14.25" customHeight="1"/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1:B31"/>
    <mergeCell ref="A1:F1"/>
    <mergeCell ref="A2:E2"/>
    <mergeCell ref="A3:B3"/>
    <mergeCell ref="A4:A29"/>
    <mergeCell ref="A30:B3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4140625" defaultRowHeight="15" customHeight="1"/>
  <cols>
    <col min="1" max="3" width="10.6640625" customWidth="1"/>
    <col min="4" max="4" width="72.5546875" customWidth="1"/>
    <col min="5" max="5" width="13.5546875" customWidth="1"/>
    <col min="6" max="7" width="10.6640625" customWidth="1"/>
    <col min="8" max="8" width="14.109375" customWidth="1"/>
    <col min="9" max="26" width="10.6640625" customWidth="1"/>
  </cols>
  <sheetData>
    <row r="1" spans="1:26" ht="14.25" customHeight="1">
      <c r="B1" s="223" t="s">
        <v>174</v>
      </c>
      <c r="C1" s="224"/>
      <c r="D1" s="224"/>
      <c r="E1" s="224"/>
      <c r="F1" s="224"/>
      <c r="G1" s="224"/>
      <c r="H1" s="225"/>
    </row>
    <row r="2" spans="1:26" ht="14.25" customHeight="1">
      <c r="A2" s="106"/>
      <c r="B2" s="107" t="s">
        <v>103</v>
      </c>
      <c r="C2" s="107" t="s">
        <v>175</v>
      </c>
      <c r="D2" s="124" t="s">
        <v>176</v>
      </c>
      <c r="E2" s="107" t="s">
        <v>177</v>
      </c>
      <c r="F2" s="107" t="s">
        <v>178</v>
      </c>
      <c r="G2" s="107" t="s">
        <v>179</v>
      </c>
      <c r="H2" s="107" t="s">
        <v>180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4.25" customHeight="1">
      <c r="B3" s="125">
        <v>1</v>
      </c>
      <c r="C3" s="126"/>
      <c r="D3" s="126" t="s">
        <v>181</v>
      </c>
      <c r="E3" s="125">
        <v>18</v>
      </c>
      <c r="F3" s="125" t="s">
        <v>178</v>
      </c>
      <c r="G3" s="127">
        <v>59.59</v>
      </c>
      <c r="H3" s="128">
        <f t="shared" ref="H3:H15" si="0">E3*G3</f>
        <v>1072.6200000000001</v>
      </c>
    </row>
    <row r="4" spans="1:26" ht="14.25" customHeight="1">
      <c r="B4" s="125">
        <v>2</v>
      </c>
      <c r="C4" s="129"/>
      <c r="D4" s="126" t="s">
        <v>182</v>
      </c>
      <c r="E4" s="125">
        <v>18</v>
      </c>
      <c r="F4" s="125" t="s">
        <v>178</v>
      </c>
      <c r="G4" s="127">
        <v>70.739999999999995</v>
      </c>
      <c r="H4" s="128">
        <f t="shared" si="0"/>
        <v>1273.32</v>
      </c>
    </row>
    <row r="5" spans="1:26" ht="14.25" customHeight="1">
      <c r="B5" s="125">
        <v>3</v>
      </c>
      <c r="C5" s="129"/>
      <c r="D5" s="126" t="s">
        <v>183</v>
      </c>
      <c r="E5" s="125">
        <v>9</v>
      </c>
      <c r="F5" s="125" t="s">
        <v>178</v>
      </c>
      <c r="G5" s="127">
        <v>95</v>
      </c>
      <c r="H5" s="128">
        <f t="shared" si="0"/>
        <v>855</v>
      </c>
    </row>
    <row r="6" spans="1:26" ht="14.25" customHeight="1">
      <c r="B6" s="125">
        <v>4</v>
      </c>
      <c r="C6" s="129"/>
      <c r="D6" s="126" t="s">
        <v>184</v>
      </c>
      <c r="E6" s="125">
        <v>9</v>
      </c>
      <c r="F6" s="125" t="s">
        <v>178</v>
      </c>
      <c r="G6" s="127">
        <v>135</v>
      </c>
      <c r="H6" s="128">
        <f t="shared" si="0"/>
        <v>1215</v>
      </c>
    </row>
    <row r="7" spans="1:26" ht="14.25" customHeight="1">
      <c r="B7" s="125">
        <v>5</v>
      </c>
      <c r="C7" s="129"/>
      <c r="D7" s="126" t="s">
        <v>185</v>
      </c>
      <c r="E7" s="125">
        <v>9</v>
      </c>
      <c r="F7" s="125" t="s">
        <v>178</v>
      </c>
      <c r="G7" s="127">
        <v>27.63</v>
      </c>
      <c r="H7" s="128">
        <f t="shared" si="0"/>
        <v>248.67</v>
      </c>
    </row>
    <row r="8" spans="1:26" ht="14.25" customHeight="1">
      <c r="B8" s="125">
        <v>6</v>
      </c>
      <c r="C8" s="129"/>
      <c r="D8" s="126" t="s">
        <v>186</v>
      </c>
      <c r="E8" s="125">
        <v>9</v>
      </c>
      <c r="F8" s="125" t="s">
        <v>178</v>
      </c>
      <c r="G8" s="127">
        <v>26.6</v>
      </c>
      <c r="H8" s="128">
        <f t="shared" si="0"/>
        <v>239.4</v>
      </c>
    </row>
    <row r="9" spans="1:26" ht="14.25" customHeight="1">
      <c r="B9" s="125">
        <v>7</v>
      </c>
      <c r="C9" s="129"/>
      <c r="D9" s="126" t="s">
        <v>187</v>
      </c>
      <c r="E9" s="125">
        <v>9</v>
      </c>
      <c r="F9" s="125" t="s">
        <v>178</v>
      </c>
      <c r="G9" s="127">
        <v>123.23</v>
      </c>
      <c r="H9" s="128">
        <f t="shared" si="0"/>
        <v>1109.07</v>
      </c>
    </row>
    <row r="10" spans="1:26" ht="14.25" customHeight="1">
      <c r="B10" s="125">
        <v>8</v>
      </c>
      <c r="C10" s="129"/>
      <c r="D10" s="126" t="s">
        <v>188</v>
      </c>
      <c r="E10" s="125">
        <v>9</v>
      </c>
      <c r="F10" s="125" t="s">
        <v>178</v>
      </c>
      <c r="G10" s="127">
        <v>72.599999999999994</v>
      </c>
      <c r="H10" s="128">
        <f t="shared" si="0"/>
        <v>653.4</v>
      </c>
    </row>
    <row r="11" spans="1:26" ht="14.25" customHeight="1">
      <c r="B11" s="125">
        <v>9</v>
      </c>
      <c r="C11" s="126"/>
      <c r="D11" s="126" t="s">
        <v>189</v>
      </c>
      <c r="E11" s="125">
        <v>27</v>
      </c>
      <c r="F11" s="125" t="s">
        <v>178</v>
      </c>
      <c r="G11" s="127">
        <v>55</v>
      </c>
      <c r="H11" s="128">
        <f t="shared" si="0"/>
        <v>1485</v>
      </c>
    </row>
    <row r="12" spans="1:26" ht="14.25" customHeight="1">
      <c r="B12" s="125">
        <v>10</v>
      </c>
      <c r="C12" s="126"/>
      <c r="D12" s="126" t="s">
        <v>190</v>
      </c>
      <c r="E12" s="125">
        <v>9</v>
      </c>
      <c r="F12" s="125" t="s">
        <v>178</v>
      </c>
      <c r="G12" s="127">
        <v>16.5</v>
      </c>
      <c r="H12" s="128">
        <f t="shared" si="0"/>
        <v>148.5</v>
      </c>
    </row>
    <row r="13" spans="1:26" ht="14.25" customHeight="1">
      <c r="B13" s="125">
        <v>11</v>
      </c>
      <c r="C13" s="126"/>
      <c r="D13" s="126" t="s">
        <v>191</v>
      </c>
      <c r="E13" s="125">
        <v>9</v>
      </c>
      <c r="F13" s="125" t="s">
        <v>178</v>
      </c>
      <c r="G13" s="127">
        <v>16.5</v>
      </c>
      <c r="H13" s="128">
        <f t="shared" si="0"/>
        <v>148.5</v>
      </c>
    </row>
    <row r="14" spans="1:26" ht="14.25" customHeight="1">
      <c r="B14" s="125">
        <v>12</v>
      </c>
      <c r="C14" s="129"/>
      <c r="D14" s="126" t="s">
        <v>192</v>
      </c>
      <c r="E14" s="125">
        <v>9</v>
      </c>
      <c r="F14" s="125" t="s">
        <v>178</v>
      </c>
      <c r="G14" s="127">
        <v>123.75</v>
      </c>
      <c r="H14" s="128">
        <f t="shared" si="0"/>
        <v>1113.75</v>
      </c>
    </row>
    <row r="15" spans="1:26" ht="14.25" customHeight="1">
      <c r="B15" s="125">
        <v>13</v>
      </c>
      <c r="C15" s="129"/>
      <c r="D15" s="126" t="s">
        <v>193</v>
      </c>
      <c r="E15" s="125">
        <v>9</v>
      </c>
      <c r="F15" s="125" t="s">
        <v>178</v>
      </c>
      <c r="G15" s="127">
        <v>17.82</v>
      </c>
      <c r="H15" s="128">
        <f t="shared" si="0"/>
        <v>160.38</v>
      </c>
    </row>
    <row r="16" spans="1:26" ht="14.25" customHeight="1">
      <c r="B16" s="235" t="s">
        <v>194</v>
      </c>
      <c r="C16" s="224"/>
      <c r="D16" s="224"/>
      <c r="E16" s="224"/>
      <c r="F16" s="224"/>
      <c r="G16" s="225"/>
      <c r="H16" s="130">
        <f>SUM(H3:H15)</f>
        <v>9722.6099999999988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H1"/>
    <mergeCell ref="B16:G16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4140625" defaultRowHeight="15" customHeight="1"/>
  <cols>
    <col min="1" max="1" width="60.5546875" customWidth="1"/>
    <col min="2" max="2" width="10.6640625" hidden="1" customWidth="1"/>
    <col min="3" max="42" width="10.6640625" customWidth="1"/>
  </cols>
  <sheetData>
    <row r="1" spans="1:42" ht="14.25" customHeight="1">
      <c r="A1" s="236" t="s">
        <v>195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8"/>
    </row>
    <row r="2" spans="1:42" ht="14.25" customHeight="1">
      <c r="A2" s="131" t="s">
        <v>0</v>
      </c>
      <c r="B2" s="132" t="s">
        <v>1</v>
      </c>
      <c r="C2" s="124">
        <v>5000</v>
      </c>
      <c r="D2" s="124">
        <v>10000</v>
      </c>
      <c r="E2" s="124">
        <v>15000</v>
      </c>
      <c r="F2" s="124">
        <v>20000</v>
      </c>
      <c r="G2" s="124">
        <v>25000</v>
      </c>
      <c r="H2" s="124">
        <v>30000</v>
      </c>
      <c r="I2" s="124">
        <v>35000</v>
      </c>
      <c r="J2" s="124">
        <v>40000</v>
      </c>
      <c r="K2" s="124">
        <v>45000</v>
      </c>
      <c r="L2" s="124">
        <v>50000</v>
      </c>
      <c r="M2" s="124">
        <v>55000</v>
      </c>
      <c r="N2" s="124">
        <v>60000</v>
      </c>
      <c r="O2" s="124">
        <v>65000</v>
      </c>
      <c r="P2" s="124">
        <v>70000</v>
      </c>
      <c r="Q2" s="124">
        <v>75000</v>
      </c>
      <c r="R2" s="124">
        <v>80000</v>
      </c>
      <c r="S2" s="124">
        <v>85000</v>
      </c>
      <c r="T2" s="124">
        <v>90000</v>
      </c>
      <c r="U2" s="124">
        <v>95000</v>
      </c>
      <c r="V2" s="124">
        <v>100000</v>
      </c>
      <c r="W2" s="124">
        <v>105000</v>
      </c>
      <c r="X2" s="124">
        <v>110000</v>
      </c>
      <c r="Y2" s="124">
        <v>115000</v>
      </c>
      <c r="Z2" s="133">
        <v>120000</v>
      </c>
      <c r="AA2" s="134">
        <v>125000</v>
      </c>
      <c r="AB2" s="134">
        <v>130000</v>
      </c>
      <c r="AC2" s="134">
        <v>135000</v>
      </c>
      <c r="AD2" s="134">
        <v>140000</v>
      </c>
      <c r="AE2" s="134">
        <v>145000</v>
      </c>
      <c r="AF2" s="134">
        <v>150000</v>
      </c>
      <c r="AG2" s="134">
        <v>155000</v>
      </c>
      <c r="AH2" s="134">
        <v>160000</v>
      </c>
      <c r="AI2" s="134">
        <v>165000</v>
      </c>
      <c r="AJ2" s="134">
        <v>170000</v>
      </c>
      <c r="AK2" s="134">
        <v>175000</v>
      </c>
      <c r="AL2" s="134">
        <v>180000</v>
      </c>
      <c r="AM2" s="134">
        <v>185000</v>
      </c>
      <c r="AN2" s="134">
        <v>190000</v>
      </c>
      <c r="AO2" s="134">
        <v>195000</v>
      </c>
      <c r="AP2" s="134">
        <v>200000</v>
      </c>
    </row>
    <row r="3" spans="1:42" ht="14.25" customHeight="1">
      <c r="A3" s="6" t="s">
        <v>44</v>
      </c>
      <c r="B3" s="7">
        <f>'W7 DIESEL 120K'!U2</f>
        <v>40.98</v>
      </c>
      <c r="C3" s="8">
        <v>43.98</v>
      </c>
      <c r="D3" s="8">
        <v>43.98</v>
      </c>
      <c r="E3" s="8">
        <v>43.98</v>
      </c>
      <c r="F3" s="8">
        <v>43.98</v>
      </c>
      <c r="G3" s="8">
        <v>43.98</v>
      </c>
      <c r="H3" s="8">
        <v>43.98</v>
      </c>
      <c r="I3" s="8">
        <v>43.98</v>
      </c>
      <c r="J3" s="8">
        <v>43.98</v>
      </c>
      <c r="K3" s="8">
        <v>43.98</v>
      </c>
      <c r="L3" s="8">
        <v>43.98</v>
      </c>
      <c r="M3" s="8">
        <v>43.98</v>
      </c>
      <c r="N3" s="8">
        <v>43.98</v>
      </c>
      <c r="O3" s="8">
        <v>43.98</v>
      </c>
      <c r="P3" s="8">
        <v>43.98</v>
      </c>
      <c r="Q3" s="8">
        <v>43.98</v>
      </c>
      <c r="R3" s="8">
        <v>43.98</v>
      </c>
      <c r="S3" s="8">
        <v>43.98</v>
      </c>
      <c r="T3" s="8">
        <v>43.98</v>
      </c>
      <c r="U3" s="8">
        <v>43.98</v>
      </c>
      <c r="V3" s="8">
        <v>43.98</v>
      </c>
      <c r="W3" s="8">
        <v>43.98</v>
      </c>
      <c r="X3" s="8">
        <v>43.98</v>
      </c>
      <c r="Y3" s="8">
        <v>43.98</v>
      </c>
      <c r="Z3" s="9">
        <v>43.98</v>
      </c>
      <c r="AA3" s="135">
        <v>43.98</v>
      </c>
      <c r="AB3" s="135">
        <v>43.98</v>
      </c>
      <c r="AC3" s="135">
        <v>43.98</v>
      </c>
      <c r="AD3" s="135">
        <v>43.98</v>
      </c>
      <c r="AE3" s="135">
        <v>43.98</v>
      </c>
      <c r="AF3" s="135">
        <v>43.98</v>
      </c>
      <c r="AG3" s="135">
        <v>43.98</v>
      </c>
      <c r="AH3" s="135">
        <v>43.98</v>
      </c>
      <c r="AI3" s="135">
        <v>43.98</v>
      </c>
      <c r="AJ3" s="135">
        <v>43.98</v>
      </c>
      <c r="AK3" s="135">
        <v>43.98</v>
      </c>
      <c r="AL3" s="135">
        <v>43.98</v>
      </c>
      <c r="AM3" s="135">
        <v>43.98</v>
      </c>
      <c r="AN3" s="135">
        <v>43.98</v>
      </c>
      <c r="AO3" s="135">
        <v>43.98</v>
      </c>
      <c r="AP3" s="135">
        <v>43.98</v>
      </c>
    </row>
    <row r="4" spans="1:42" ht="14.25" customHeight="1">
      <c r="A4" s="6" t="s">
        <v>45</v>
      </c>
      <c r="B4" s="7" t="e">
        <f>'W7 DIESEL 120K'!#REF!</f>
        <v>#REF!</v>
      </c>
      <c r="C4" s="8"/>
      <c r="D4" s="8"/>
      <c r="E4" s="8"/>
      <c r="F4" s="8"/>
      <c r="G4" s="8"/>
      <c r="H4" s="8">
        <v>28.23</v>
      </c>
      <c r="I4" s="8"/>
      <c r="J4" s="8"/>
      <c r="K4" s="8"/>
      <c r="L4" s="8"/>
      <c r="M4" s="8"/>
      <c r="N4" s="8">
        <v>28.23</v>
      </c>
      <c r="O4" s="8"/>
      <c r="P4" s="8"/>
      <c r="Q4" s="8"/>
      <c r="R4" s="8"/>
      <c r="S4" s="8"/>
      <c r="T4" s="8">
        <v>28.23</v>
      </c>
      <c r="U4" s="8"/>
      <c r="V4" s="8">
        <v>28.23</v>
      </c>
      <c r="W4" s="8"/>
      <c r="X4" s="8"/>
      <c r="Y4" s="8"/>
      <c r="Z4" s="8">
        <v>28.23</v>
      </c>
      <c r="AA4" s="135"/>
      <c r="AB4" s="135"/>
      <c r="AC4" s="135"/>
      <c r="AD4" s="135"/>
      <c r="AE4" s="135"/>
      <c r="AF4" s="135">
        <v>28.23</v>
      </c>
      <c r="AG4" s="135"/>
      <c r="AH4" s="135"/>
      <c r="AI4" s="135"/>
      <c r="AJ4" s="135"/>
      <c r="AK4" s="135"/>
      <c r="AL4" s="135">
        <v>28.23</v>
      </c>
      <c r="AM4" s="135"/>
      <c r="AN4" s="135"/>
      <c r="AO4" s="135"/>
      <c r="AP4" s="135"/>
    </row>
    <row r="5" spans="1:42" ht="14.25" customHeight="1">
      <c r="A5" s="6" t="s">
        <v>46</v>
      </c>
      <c r="B5" s="8" t="e">
        <f>'W7 DIESEL 120K'!#REF!</f>
        <v>#REF!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</row>
    <row r="6" spans="1:42" ht="14.25" customHeight="1">
      <c r="A6" s="6" t="s">
        <v>47</v>
      </c>
      <c r="B6" s="7"/>
      <c r="C6" s="8"/>
      <c r="D6" s="8"/>
      <c r="E6" s="8"/>
      <c r="F6" s="8"/>
      <c r="G6" s="8"/>
      <c r="H6" s="8">
        <v>26.61</v>
      </c>
      <c r="I6" s="8"/>
      <c r="J6" s="8"/>
      <c r="K6" s="8"/>
      <c r="L6" s="8"/>
      <c r="M6" s="8"/>
      <c r="N6" s="8">
        <v>26.61</v>
      </c>
      <c r="O6" s="8"/>
      <c r="P6" s="8"/>
      <c r="Q6" s="8"/>
      <c r="R6" s="8"/>
      <c r="S6" s="8"/>
      <c r="T6" s="8">
        <v>26.61</v>
      </c>
      <c r="U6" s="8"/>
      <c r="V6" s="8"/>
      <c r="W6" s="8"/>
      <c r="X6" s="8"/>
      <c r="Y6" s="8"/>
      <c r="Z6" s="8">
        <v>26.61</v>
      </c>
      <c r="AA6" s="135"/>
      <c r="AB6" s="135"/>
      <c r="AC6" s="135"/>
      <c r="AD6" s="135"/>
      <c r="AE6" s="135"/>
      <c r="AF6" s="135">
        <v>26.61</v>
      </c>
      <c r="AG6" s="135"/>
      <c r="AH6" s="135"/>
      <c r="AI6" s="135"/>
      <c r="AJ6" s="135"/>
      <c r="AK6" s="135"/>
      <c r="AL6" s="135">
        <v>26.61</v>
      </c>
      <c r="AM6" s="135"/>
      <c r="AN6" s="135"/>
      <c r="AO6" s="135"/>
      <c r="AP6" s="135"/>
    </row>
    <row r="7" spans="1:42" ht="14.25" customHeight="1">
      <c r="A7" s="6" t="s">
        <v>48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</row>
    <row r="8" spans="1:42" ht="14.25" customHeight="1">
      <c r="A8" s="6" t="s">
        <v>19</v>
      </c>
      <c r="B8" s="7" t="str">
        <f>'W7 DIESEL 120K'!U1</f>
        <v>INTERMEDIOS</v>
      </c>
      <c r="C8" s="8"/>
      <c r="D8" s="8"/>
      <c r="E8" s="8"/>
      <c r="F8" s="8"/>
      <c r="G8" s="8"/>
      <c r="H8" s="8"/>
      <c r="I8" s="8"/>
      <c r="J8" s="8"/>
      <c r="K8" s="8"/>
      <c r="L8" s="8">
        <v>8.7100000000000009</v>
      </c>
      <c r="M8" s="8"/>
      <c r="N8" s="8"/>
      <c r="O8" s="8"/>
      <c r="P8" s="8"/>
      <c r="Q8" s="8"/>
      <c r="R8" s="8"/>
      <c r="S8" s="8"/>
      <c r="T8" s="8"/>
      <c r="U8" s="8"/>
      <c r="V8" s="8">
        <v>8.7100000000000009</v>
      </c>
      <c r="W8" s="8"/>
      <c r="X8" s="8"/>
      <c r="Y8" s="8"/>
      <c r="Z8" s="9"/>
      <c r="AA8" s="135"/>
      <c r="AB8" s="135"/>
      <c r="AC8" s="135"/>
      <c r="AD8" s="135"/>
      <c r="AE8" s="135"/>
      <c r="AF8" s="135">
        <v>8.7100000000000009</v>
      </c>
      <c r="AG8" s="135"/>
      <c r="AH8" s="135"/>
      <c r="AI8" s="135"/>
      <c r="AJ8" s="135"/>
      <c r="AK8" s="135"/>
      <c r="AL8" s="135"/>
      <c r="AM8" s="135"/>
      <c r="AN8" s="135"/>
      <c r="AO8" s="135"/>
      <c r="AP8" s="135">
        <v>8.7100000000000009</v>
      </c>
    </row>
    <row r="9" spans="1:42" ht="14.25" customHeight="1">
      <c r="A9" s="36" t="s">
        <v>49</v>
      </c>
      <c r="B9" s="136"/>
      <c r="C9" s="137"/>
      <c r="D9" s="137"/>
      <c r="E9" s="137"/>
      <c r="F9" s="137"/>
      <c r="G9" s="137"/>
      <c r="H9" s="137"/>
      <c r="I9" s="137"/>
      <c r="J9" s="137"/>
      <c r="K9" s="137"/>
      <c r="L9" s="137">
        <v>35.44</v>
      </c>
      <c r="M9" s="137"/>
      <c r="N9" s="137"/>
      <c r="O9" s="137"/>
      <c r="P9" s="137"/>
      <c r="Q9" s="137"/>
      <c r="R9" s="137"/>
      <c r="S9" s="137"/>
      <c r="T9" s="137"/>
      <c r="U9" s="137"/>
      <c r="V9" s="137">
        <v>35.44</v>
      </c>
      <c r="W9" s="137"/>
      <c r="X9" s="137"/>
      <c r="Y9" s="137"/>
      <c r="Z9" s="138"/>
      <c r="AA9" s="139"/>
      <c r="AB9" s="139"/>
      <c r="AC9" s="139"/>
      <c r="AD9" s="139"/>
      <c r="AE9" s="139"/>
      <c r="AF9" s="139">
        <v>35.44</v>
      </c>
      <c r="AG9" s="139"/>
      <c r="AH9" s="139"/>
      <c r="AI9" s="139"/>
      <c r="AJ9" s="139"/>
      <c r="AK9" s="139"/>
      <c r="AL9" s="139"/>
      <c r="AM9" s="139"/>
      <c r="AN9" s="139"/>
      <c r="AO9" s="139"/>
      <c r="AP9" s="139">
        <v>35.44</v>
      </c>
    </row>
    <row r="10" spans="1:42" ht="14.25" customHeight="1">
      <c r="A10" s="20" t="s">
        <v>20</v>
      </c>
      <c r="B10" s="137">
        <f>'W7 DIESEL 120K'!U3</f>
        <v>6.01</v>
      </c>
      <c r="C10" s="137"/>
      <c r="D10" s="137"/>
      <c r="E10" s="137"/>
      <c r="F10" s="137"/>
      <c r="G10" s="137"/>
      <c r="H10" s="137">
        <v>12</v>
      </c>
      <c r="I10" s="137"/>
      <c r="J10" s="137"/>
      <c r="K10" s="137"/>
      <c r="L10" s="137"/>
      <c r="M10" s="137"/>
      <c r="N10" s="137">
        <v>12</v>
      </c>
      <c r="O10" s="137"/>
      <c r="P10" s="137"/>
      <c r="Q10" s="137"/>
      <c r="R10" s="137"/>
      <c r="S10" s="137"/>
      <c r="T10" s="137">
        <v>12</v>
      </c>
      <c r="U10" s="137"/>
      <c r="V10" s="137"/>
      <c r="W10" s="137"/>
      <c r="X10" s="137"/>
      <c r="Y10" s="137"/>
      <c r="Z10" s="137">
        <v>12</v>
      </c>
      <c r="AA10" s="139"/>
      <c r="AB10" s="139"/>
      <c r="AC10" s="139"/>
      <c r="AD10" s="139"/>
      <c r="AE10" s="139"/>
      <c r="AF10" s="139">
        <v>12</v>
      </c>
      <c r="AG10" s="139"/>
      <c r="AH10" s="139"/>
      <c r="AI10" s="139"/>
      <c r="AJ10" s="139"/>
      <c r="AK10" s="139"/>
      <c r="AL10" s="139">
        <v>12</v>
      </c>
      <c r="AM10" s="139"/>
      <c r="AN10" s="139"/>
      <c r="AO10" s="139"/>
      <c r="AP10" s="139"/>
    </row>
    <row r="11" spans="1:42" ht="14.25" customHeight="1">
      <c r="A11" s="140" t="s">
        <v>51</v>
      </c>
      <c r="B11" s="141"/>
      <c r="C11" s="141">
        <f t="shared" ref="C11:Z11" si="0">SUM(C3:C10)</f>
        <v>43.98</v>
      </c>
      <c r="D11" s="141">
        <f t="shared" si="0"/>
        <v>43.98</v>
      </c>
      <c r="E11" s="141">
        <f t="shared" si="0"/>
        <v>43.98</v>
      </c>
      <c r="F11" s="141">
        <f t="shared" si="0"/>
        <v>43.98</v>
      </c>
      <c r="G11" s="141">
        <f t="shared" si="0"/>
        <v>43.98</v>
      </c>
      <c r="H11" s="141">
        <f t="shared" si="0"/>
        <v>110.82</v>
      </c>
      <c r="I11" s="141">
        <f t="shared" si="0"/>
        <v>43.98</v>
      </c>
      <c r="J11" s="141">
        <f t="shared" si="0"/>
        <v>43.98</v>
      </c>
      <c r="K11" s="141">
        <f t="shared" si="0"/>
        <v>43.98</v>
      </c>
      <c r="L11" s="141">
        <f t="shared" si="0"/>
        <v>88.13</v>
      </c>
      <c r="M11" s="141">
        <f t="shared" si="0"/>
        <v>43.98</v>
      </c>
      <c r="N11" s="141">
        <f t="shared" si="0"/>
        <v>110.82</v>
      </c>
      <c r="O11" s="141">
        <f t="shared" si="0"/>
        <v>43.98</v>
      </c>
      <c r="P11" s="141">
        <f t="shared" si="0"/>
        <v>43.98</v>
      </c>
      <c r="Q11" s="141">
        <f t="shared" si="0"/>
        <v>43.98</v>
      </c>
      <c r="R11" s="141">
        <f t="shared" si="0"/>
        <v>43.98</v>
      </c>
      <c r="S11" s="141">
        <f t="shared" si="0"/>
        <v>43.98</v>
      </c>
      <c r="T11" s="141">
        <f t="shared" si="0"/>
        <v>110.82</v>
      </c>
      <c r="U11" s="141">
        <f t="shared" si="0"/>
        <v>43.98</v>
      </c>
      <c r="V11" s="141">
        <f t="shared" si="0"/>
        <v>116.35999999999999</v>
      </c>
      <c r="W11" s="141">
        <f t="shared" si="0"/>
        <v>43.98</v>
      </c>
      <c r="X11" s="141">
        <f t="shared" si="0"/>
        <v>43.98</v>
      </c>
      <c r="Y11" s="141">
        <f t="shared" si="0"/>
        <v>43.98</v>
      </c>
      <c r="Z11" s="142">
        <f t="shared" si="0"/>
        <v>110.82</v>
      </c>
      <c r="AA11" s="143">
        <v>43.98</v>
      </c>
      <c r="AB11" s="143">
        <f>SUM(AB3:AB10)</f>
        <v>43.98</v>
      </c>
      <c r="AC11" s="143">
        <v>43.98</v>
      </c>
      <c r="AD11" s="143">
        <f>SUM(AD3:AD10)</f>
        <v>43.98</v>
      </c>
      <c r="AE11" s="143">
        <v>43.98</v>
      </c>
      <c r="AF11" s="143">
        <f>SUM(AF3:AF10)</f>
        <v>154.97</v>
      </c>
      <c r="AG11" s="143">
        <v>43.98</v>
      </c>
      <c r="AH11" s="143">
        <f>SUM(AH3:AH10)</f>
        <v>43.98</v>
      </c>
      <c r="AI11" s="143">
        <v>43.98</v>
      </c>
      <c r="AJ11" s="143">
        <f>SUM(AJ3:AJ10)</f>
        <v>43.98</v>
      </c>
      <c r="AK11" s="143">
        <v>43.98</v>
      </c>
      <c r="AL11" s="143">
        <f>SUM(AL3:AL10)</f>
        <v>110.82</v>
      </c>
      <c r="AM11" s="143">
        <v>43.98</v>
      </c>
      <c r="AN11" s="143">
        <f>SUM(AN3:AN10)</f>
        <v>43.98</v>
      </c>
      <c r="AO11" s="143">
        <v>43.98</v>
      </c>
      <c r="AP11" s="143">
        <f>SUM(AP3:AP10)</f>
        <v>88.13</v>
      </c>
    </row>
    <row r="12" spans="1:42" ht="14.25" customHeight="1">
      <c r="A12" s="6" t="s">
        <v>4</v>
      </c>
      <c r="B12" s="8">
        <f>'W7 DIESEL 120K'!U3</f>
        <v>6.01</v>
      </c>
      <c r="C12" s="8">
        <v>7.07</v>
      </c>
      <c r="D12" s="8">
        <v>7.07</v>
      </c>
      <c r="E12" s="8">
        <v>7.07</v>
      </c>
      <c r="F12" s="8">
        <v>7.07</v>
      </c>
      <c r="G12" s="8">
        <v>7.07</v>
      </c>
      <c r="H12" s="8">
        <v>7.07</v>
      </c>
      <c r="I12" s="8">
        <v>7.07</v>
      </c>
      <c r="J12" s="8">
        <v>7.07</v>
      </c>
      <c r="K12" s="8">
        <v>7.07</v>
      </c>
      <c r="L12" s="8">
        <v>7.07</v>
      </c>
      <c r="M12" s="8">
        <v>7.07</v>
      </c>
      <c r="N12" s="8">
        <v>7.07</v>
      </c>
      <c r="O12" s="8">
        <v>7.07</v>
      </c>
      <c r="P12" s="8">
        <v>7.07</v>
      </c>
      <c r="Q12" s="8">
        <v>7.07</v>
      </c>
      <c r="R12" s="8">
        <v>7.07</v>
      </c>
      <c r="S12" s="8">
        <v>7.07</v>
      </c>
      <c r="T12" s="8">
        <v>7.07</v>
      </c>
      <c r="U12" s="8">
        <v>7.07</v>
      </c>
      <c r="V12" s="8">
        <v>7.07</v>
      </c>
      <c r="W12" s="8">
        <v>7.07</v>
      </c>
      <c r="X12" s="8">
        <v>7.07</v>
      </c>
      <c r="Y12" s="8">
        <v>7.07</v>
      </c>
      <c r="Z12" s="9">
        <v>7.07</v>
      </c>
      <c r="AA12" s="135">
        <v>7.07</v>
      </c>
      <c r="AB12" s="135">
        <v>7.07</v>
      </c>
      <c r="AC12" s="135">
        <v>7.07</v>
      </c>
      <c r="AD12" s="135">
        <v>7.07</v>
      </c>
      <c r="AE12" s="135">
        <v>7.07</v>
      </c>
      <c r="AF12" s="135">
        <v>7.07</v>
      </c>
      <c r="AG12" s="135">
        <v>7.07</v>
      </c>
      <c r="AH12" s="135">
        <v>7.07</v>
      </c>
      <c r="AI12" s="135">
        <v>7.07</v>
      </c>
      <c r="AJ12" s="135">
        <v>7.07</v>
      </c>
      <c r="AK12" s="135">
        <v>7.07</v>
      </c>
      <c r="AL12" s="135">
        <v>7.07</v>
      </c>
      <c r="AM12" s="135">
        <v>7.07</v>
      </c>
      <c r="AN12" s="135">
        <v>7.07</v>
      </c>
      <c r="AO12" s="135">
        <v>7.07</v>
      </c>
      <c r="AP12" s="135">
        <v>7.07</v>
      </c>
    </row>
    <row r="13" spans="1:42" ht="14.25" customHeight="1">
      <c r="A13" s="6" t="s">
        <v>5</v>
      </c>
      <c r="B13" s="8">
        <f>'W7 DIESEL 120K'!U4</f>
        <v>6.5</v>
      </c>
      <c r="C13" s="8">
        <v>6.5</v>
      </c>
      <c r="D13" s="8">
        <v>6.5</v>
      </c>
      <c r="E13" s="8">
        <v>6.5</v>
      </c>
      <c r="F13" s="8">
        <v>6.5</v>
      </c>
      <c r="G13" s="8">
        <v>6.5</v>
      </c>
      <c r="H13" s="8">
        <v>6.5</v>
      </c>
      <c r="I13" s="8">
        <v>6.5</v>
      </c>
      <c r="J13" s="8">
        <v>6.5</v>
      </c>
      <c r="K13" s="8">
        <v>6.5</v>
      </c>
      <c r="L13" s="8">
        <v>6.5</v>
      </c>
      <c r="M13" s="8">
        <v>6.5</v>
      </c>
      <c r="N13" s="8">
        <v>6.5</v>
      </c>
      <c r="O13" s="8">
        <v>6.5</v>
      </c>
      <c r="P13" s="8">
        <v>6.5</v>
      </c>
      <c r="Q13" s="8">
        <v>6.5</v>
      </c>
      <c r="R13" s="8">
        <v>6.5</v>
      </c>
      <c r="S13" s="8">
        <v>6.5</v>
      </c>
      <c r="T13" s="8">
        <v>6.5</v>
      </c>
      <c r="U13" s="8">
        <v>6.5</v>
      </c>
      <c r="V13" s="8">
        <v>6.5</v>
      </c>
      <c r="W13" s="8">
        <v>6.5</v>
      </c>
      <c r="X13" s="8">
        <v>6.5</v>
      </c>
      <c r="Y13" s="8">
        <v>6.5</v>
      </c>
      <c r="Z13" s="9">
        <v>6.5</v>
      </c>
      <c r="AA13" s="135">
        <v>6.5</v>
      </c>
      <c r="AB13" s="135">
        <v>6.5</v>
      </c>
      <c r="AC13" s="135">
        <v>6.5</v>
      </c>
      <c r="AD13" s="135">
        <v>6.5</v>
      </c>
      <c r="AE13" s="135">
        <v>6.5</v>
      </c>
      <c r="AF13" s="135">
        <v>6.5</v>
      </c>
      <c r="AG13" s="135">
        <v>6.5</v>
      </c>
      <c r="AH13" s="135">
        <v>6.5</v>
      </c>
      <c r="AI13" s="135">
        <v>6.5</v>
      </c>
      <c r="AJ13" s="135">
        <v>6.5</v>
      </c>
      <c r="AK13" s="135">
        <v>6.5</v>
      </c>
      <c r="AL13" s="135">
        <v>6.5</v>
      </c>
      <c r="AM13" s="135">
        <v>6.5</v>
      </c>
      <c r="AN13" s="135">
        <v>6.5</v>
      </c>
      <c r="AO13" s="135">
        <v>6.5</v>
      </c>
      <c r="AP13" s="135">
        <v>6.5</v>
      </c>
    </row>
    <row r="14" spans="1:42" ht="14.25" customHeight="1">
      <c r="A14" s="6" t="s">
        <v>6</v>
      </c>
      <c r="B14" s="8">
        <f>'W7 DIESEL 120K'!U5</f>
        <v>17.55</v>
      </c>
      <c r="C14" s="8">
        <v>19.09</v>
      </c>
      <c r="D14" s="8">
        <v>19.09</v>
      </c>
      <c r="E14" s="8">
        <v>19.09</v>
      </c>
      <c r="F14" s="8">
        <v>19.09</v>
      </c>
      <c r="G14" s="8">
        <v>19.09</v>
      </c>
      <c r="H14" s="8">
        <v>19.09</v>
      </c>
      <c r="I14" s="8">
        <v>19.09</v>
      </c>
      <c r="J14" s="8">
        <v>19.09</v>
      </c>
      <c r="K14" s="8">
        <v>19.09</v>
      </c>
      <c r="L14" s="8">
        <v>19.09</v>
      </c>
      <c r="M14" s="8">
        <v>19.09</v>
      </c>
      <c r="N14" s="8">
        <v>19.09</v>
      </c>
      <c r="O14" s="8">
        <v>19.09</v>
      </c>
      <c r="P14" s="8">
        <v>19.09</v>
      </c>
      <c r="Q14" s="8">
        <v>19.09</v>
      </c>
      <c r="R14" s="8">
        <v>19.09</v>
      </c>
      <c r="S14" s="8">
        <v>19.09</v>
      </c>
      <c r="T14" s="8">
        <v>19.09</v>
      </c>
      <c r="U14" s="8">
        <v>19.09</v>
      </c>
      <c r="V14" s="8">
        <v>19.09</v>
      </c>
      <c r="W14" s="8">
        <v>19.09</v>
      </c>
      <c r="X14" s="8">
        <v>19.09</v>
      </c>
      <c r="Y14" s="8">
        <v>19.09</v>
      </c>
      <c r="Z14" s="9">
        <v>19.09</v>
      </c>
      <c r="AA14" s="135">
        <v>19.09</v>
      </c>
      <c r="AB14" s="135">
        <v>19.09</v>
      </c>
      <c r="AC14" s="135">
        <v>19.09</v>
      </c>
      <c r="AD14" s="135">
        <v>19.09</v>
      </c>
      <c r="AE14" s="135">
        <v>19.09</v>
      </c>
      <c r="AF14" s="135">
        <v>19.09</v>
      </c>
      <c r="AG14" s="135">
        <v>19.09</v>
      </c>
      <c r="AH14" s="135">
        <v>19.09</v>
      </c>
      <c r="AI14" s="135">
        <v>19.09</v>
      </c>
      <c r="AJ14" s="135">
        <v>19.09</v>
      </c>
      <c r="AK14" s="135">
        <v>19.09</v>
      </c>
      <c r="AL14" s="135">
        <v>19.09</v>
      </c>
      <c r="AM14" s="135">
        <v>19.09</v>
      </c>
      <c r="AN14" s="135">
        <v>19.09</v>
      </c>
      <c r="AO14" s="135">
        <v>19.09</v>
      </c>
      <c r="AP14" s="135">
        <v>19.09</v>
      </c>
    </row>
    <row r="15" spans="1:42" ht="14.25" customHeight="1">
      <c r="A15" s="6" t="s">
        <v>7</v>
      </c>
      <c r="B15" s="8">
        <f>'W7 DIESEL 120K'!U6</f>
        <v>0</v>
      </c>
      <c r="C15" s="8"/>
      <c r="D15" s="8">
        <v>10.45</v>
      </c>
      <c r="E15" s="8"/>
      <c r="F15" s="8">
        <v>10.45</v>
      </c>
      <c r="G15" s="8"/>
      <c r="H15" s="8">
        <v>10.45</v>
      </c>
      <c r="I15" s="8"/>
      <c r="J15" s="8">
        <v>10.45</v>
      </c>
      <c r="K15" s="8"/>
      <c r="L15" s="8">
        <v>10.45</v>
      </c>
      <c r="M15" s="8"/>
      <c r="N15" s="8">
        <v>10.45</v>
      </c>
      <c r="O15" s="8"/>
      <c r="P15" s="8">
        <v>10.45</v>
      </c>
      <c r="Q15" s="8"/>
      <c r="R15" s="8">
        <v>10.45</v>
      </c>
      <c r="S15" s="8"/>
      <c r="T15" s="8">
        <v>10.45</v>
      </c>
      <c r="U15" s="8"/>
      <c r="V15" s="8">
        <v>10.45</v>
      </c>
      <c r="W15" s="8"/>
      <c r="X15" s="8">
        <v>10.45</v>
      </c>
      <c r="Y15" s="8"/>
      <c r="Z15" s="9">
        <v>10.45</v>
      </c>
      <c r="AA15" s="135"/>
      <c r="AB15" s="135">
        <v>10.45</v>
      </c>
      <c r="AC15" s="135"/>
      <c r="AD15" s="135">
        <v>10.45</v>
      </c>
      <c r="AE15" s="135"/>
      <c r="AF15" s="135">
        <v>10.45</v>
      </c>
      <c r="AG15" s="135"/>
      <c r="AH15" s="135">
        <v>10.45</v>
      </c>
      <c r="AI15" s="135"/>
      <c r="AJ15" s="135">
        <v>10.45</v>
      </c>
      <c r="AK15" s="135"/>
      <c r="AL15" s="135">
        <v>10.45</v>
      </c>
      <c r="AM15" s="135"/>
      <c r="AN15" s="135">
        <v>10.45</v>
      </c>
      <c r="AO15" s="135"/>
      <c r="AP15" s="135">
        <v>10.45</v>
      </c>
    </row>
    <row r="16" spans="1:42" ht="14.25" customHeight="1">
      <c r="A16" s="6" t="s">
        <v>8</v>
      </c>
      <c r="B16" s="8">
        <f>'W7 DIESEL 120K'!U7</f>
        <v>0</v>
      </c>
      <c r="C16" s="8"/>
      <c r="D16" s="8">
        <v>8.77</v>
      </c>
      <c r="E16" s="8"/>
      <c r="F16" s="8">
        <v>8.77</v>
      </c>
      <c r="G16" s="8"/>
      <c r="H16" s="8">
        <v>8.77</v>
      </c>
      <c r="I16" s="8"/>
      <c r="J16" s="8">
        <v>8.77</v>
      </c>
      <c r="K16" s="8"/>
      <c r="L16" s="8">
        <v>8.77</v>
      </c>
      <c r="M16" s="8"/>
      <c r="N16" s="8">
        <v>8.77</v>
      </c>
      <c r="O16" s="8"/>
      <c r="P16" s="8">
        <v>8.77</v>
      </c>
      <c r="Q16" s="8"/>
      <c r="R16" s="8">
        <v>8.77</v>
      </c>
      <c r="S16" s="8"/>
      <c r="T16" s="8">
        <v>8.77</v>
      </c>
      <c r="U16" s="8"/>
      <c r="V16" s="8">
        <v>8.77</v>
      </c>
      <c r="W16" s="8"/>
      <c r="X16" s="8">
        <v>8.77</v>
      </c>
      <c r="Y16" s="8"/>
      <c r="Z16" s="9">
        <v>8.77</v>
      </c>
      <c r="AA16" s="135"/>
      <c r="AB16" s="135">
        <v>8.77</v>
      </c>
      <c r="AC16" s="135"/>
      <c r="AD16" s="135">
        <v>8.77</v>
      </c>
      <c r="AE16" s="135"/>
      <c r="AF16" s="135">
        <v>8.77</v>
      </c>
      <c r="AG16" s="135"/>
      <c r="AH16" s="135">
        <v>8.77</v>
      </c>
      <c r="AI16" s="135"/>
      <c r="AJ16" s="135">
        <v>8.77</v>
      </c>
      <c r="AK16" s="135"/>
      <c r="AL16" s="135">
        <v>8.77</v>
      </c>
      <c r="AM16" s="135"/>
      <c r="AN16" s="135">
        <v>8.77</v>
      </c>
      <c r="AO16" s="135"/>
      <c r="AP16" s="135">
        <v>8.77</v>
      </c>
    </row>
    <row r="17" spans="1:42" ht="14.25" customHeight="1">
      <c r="A17" s="6" t="s">
        <v>9</v>
      </c>
      <c r="B17" s="8">
        <f>'W7 DIESEL 120K'!U8</f>
        <v>0</v>
      </c>
      <c r="C17" s="8"/>
      <c r="D17" s="8">
        <v>29.16</v>
      </c>
      <c r="E17" s="8"/>
      <c r="F17" s="8">
        <v>29.16</v>
      </c>
      <c r="G17" s="8"/>
      <c r="H17" s="8">
        <v>29.16</v>
      </c>
      <c r="I17" s="8"/>
      <c r="J17" s="8">
        <v>29.16</v>
      </c>
      <c r="K17" s="8"/>
      <c r="L17" s="8">
        <v>29.16</v>
      </c>
      <c r="M17" s="8"/>
      <c r="N17" s="8">
        <v>29.16</v>
      </c>
      <c r="O17" s="8"/>
      <c r="P17" s="8">
        <v>29.16</v>
      </c>
      <c r="Q17" s="8"/>
      <c r="R17" s="8">
        <v>29.16</v>
      </c>
      <c r="S17" s="8"/>
      <c r="T17" s="8">
        <v>29.16</v>
      </c>
      <c r="U17" s="8"/>
      <c r="V17" s="8">
        <v>29.16</v>
      </c>
      <c r="W17" s="8"/>
      <c r="X17" s="8">
        <v>29.16</v>
      </c>
      <c r="Y17" s="8"/>
      <c r="Z17" s="9">
        <v>29.16</v>
      </c>
      <c r="AA17" s="135"/>
      <c r="AB17" s="135">
        <v>29.16</v>
      </c>
      <c r="AC17" s="135"/>
      <c r="AD17" s="135">
        <v>29.16</v>
      </c>
      <c r="AE17" s="135"/>
      <c r="AF17" s="135">
        <v>29.16</v>
      </c>
      <c r="AG17" s="135"/>
      <c r="AH17" s="135">
        <v>29.16</v>
      </c>
      <c r="AI17" s="135"/>
      <c r="AJ17" s="135">
        <v>29.16</v>
      </c>
      <c r="AK17" s="135"/>
      <c r="AL17" s="135">
        <v>29.16</v>
      </c>
      <c r="AM17" s="135"/>
      <c r="AN17" s="135">
        <v>29.16</v>
      </c>
      <c r="AO17" s="135"/>
      <c r="AP17" s="135">
        <v>29.16</v>
      </c>
    </row>
    <row r="18" spans="1:42" ht="14.25" customHeight="1">
      <c r="A18" s="6" t="s">
        <v>10</v>
      </c>
      <c r="B18" s="8">
        <f>'W7 DIESEL 120K'!U9</f>
        <v>0</v>
      </c>
      <c r="C18" s="8"/>
      <c r="D18" s="8">
        <v>29.63</v>
      </c>
      <c r="E18" s="8"/>
      <c r="F18" s="8">
        <v>29.63</v>
      </c>
      <c r="G18" s="8"/>
      <c r="H18" s="8">
        <v>29.63</v>
      </c>
      <c r="I18" s="8"/>
      <c r="J18" s="8">
        <v>29.63</v>
      </c>
      <c r="K18" s="8"/>
      <c r="L18" s="8">
        <v>29.63</v>
      </c>
      <c r="M18" s="8"/>
      <c r="N18" s="8">
        <v>29.63</v>
      </c>
      <c r="O18" s="8"/>
      <c r="P18" s="8">
        <v>29.63</v>
      </c>
      <c r="Q18" s="8"/>
      <c r="R18" s="8">
        <v>29.63</v>
      </c>
      <c r="S18" s="8"/>
      <c r="T18" s="8">
        <v>29.63</v>
      </c>
      <c r="U18" s="8"/>
      <c r="V18" s="8">
        <v>29.63</v>
      </c>
      <c r="W18" s="8"/>
      <c r="X18" s="8">
        <v>29.63</v>
      </c>
      <c r="Y18" s="8"/>
      <c r="Z18" s="9">
        <v>29.63</v>
      </c>
      <c r="AA18" s="135"/>
      <c r="AB18" s="135">
        <v>29.63</v>
      </c>
      <c r="AC18" s="135"/>
      <c r="AD18" s="135">
        <v>29.63</v>
      </c>
      <c r="AE18" s="135"/>
      <c r="AF18" s="135">
        <v>29.63</v>
      </c>
      <c r="AG18" s="135"/>
      <c r="AH18" s="135">
        <v>29.63</v>
      </c>
      <c r="AI18" s="135"/>
      <c r="AJ18" s="135">
        <v>29.63</v>
      </c>
      <c r="AK18" s="135"/>
      <c r="AL18" s="135">
        <v>29.63</v>
      </c>
      <c r="AM18" s="135"/>
      <c r="AN18" s="135">
        <v>29.63</v>
      </c>
      <c r="AO18" s="135"/>
      <c r="AP18" s="135">
        <v>29.63</v>
      </c>
    </row>
    <row r="19" spans="1:42" ht="14.25" customHeight="1">
      <c r="A19" s="6" t="s">
        <v>11</v>
      </c>
      <c r="B19" s="8">
        <f>'W7 DIESEL 120K'!U10</f>
        <v>0</v>
      </c>
      <c r="C19" s="8"/>
      <c r="D19" s="8">
        <v>7.01</v>
      </c>
      <c r="E19" s="8"/>
      <c r="F19" s="8">
        <v>7.01</v>
      </c>
      <c r="G19" s="8"/>
      <c r="H19" s="8">
        <v>7.01</v>
      </c>
      <c r="I19" s="8"/>
      <c r="J19" s="8">
        <v>7.01</v>
      </c>
      <c r="K19" s="8"/>
      <c r="L19" s="8">
        <v>7.01</v>
      </c>
      <c r="M19" s="8"/>
      <c r="N19" s="8">
        <v>7.01</v>
      </c>
      <c r="O19" s="8"/>
      <c r="P19" s="8">
        <v>7.01</v>
      </c>
      <c r="Q19" s="8"/>
      <c r="R19" s="8">
        <v>7.01</v>
      </c>
      <c r="S19" s="8"/>
      <c r="T19" s="8">
        <v>7.01</v>
      </c>
      <c r="U19" s="8"/>
      <c r="V19" s="8">
        <v>7.01</v>
      </c>
      <c r="W19" s="8"/>
      <c r="X19" s="8">
        <v>7.01</v>
      </c>
      <c r="Y19" s="8"/>
      <c r="Z19" s="9">
        <v>7.01</v>
      </c>
      <c r="AA19" s="135"/>
      <c r="AB19" s="135">
        <v>7.01</v>
      </c>
      <c r="AC19" s="135"/>
      <c r="AD19" s="135">
        <v>7.01</v>
      </c>
      <c r="AE19" s="135"/>
      <c r="AF19" s="135">
        <v>7.01</v>
      </c>
      <c r="AG19" s="135"/>
      <c r="AH19" s="135">
        <v>7.01</v>
      </c>
      <c r="AI19" s="135"/>
      <c r="AJ19" s="135">
        <v>7.01</v>
      </c>
      <c r="AK19" s="135"/>
      <c r="AL19" s="135">
        <v>7.01</v>
      </c>
      <c r="AM19" s="135"/>
      <c r="AN19" s="135">
        <v>7.01</v>
      </c>
      <c r="AO19" s="135"/>
      <c r="AP19" s="135">
        <v>7.01</v>
      </c>
    </row>
    <row r="20" spans="1:42" ht="14.25" customHeight="1">
      <c r="A20" s="6" t="s">
        <v>12</v>
      </c>
      <c r="B20" s="8">
        <f>'W7 DIESEL 120K'!U11</f>
        <v>0</v>
      </c>
      <c r="C20" s="8"/>
      <c r="D20" s="8">
        <v>5.6</v>
      </c>
      <c r="E20" s="8"/>
      <c r="F20" s="8">
        <v>5.6</v>
      </c>
      <c r="G20" s="8"/>
      <c r="H20" s="8">
        <v>5.6</v>
      </c>
      <c r="I20" s="8"/>
      <c r="J20" s="8">
        <v>5.6</v>
      </c>
      <c r="K20" s="8"/>
      <c r="L20" s="8">
        <v>5.6</v>
      </c>
      <c r="M20" s="8"/>
      <c r="N20" s="8">
        <v>5.6</v>
      </c>
      <c r="O20" s="8"/>
      <c r="P20" s="8">
        <v>5.6</v>
      </c>
      <c r="Q20" s="8"/>
      <c r="R20" s="8">
        <v>5.6</v>
      </c>
      <c r="S20" s="8"/>
      <c r="T20" s="8">
        <v>5.6</v>
      </c>
      <c r="U20" s="8"/>
      <c r="V20" s="8">
        <v>5.6</v>
      </c>
      <c r="W20" s="8"/>
      <c r="X20" s="8">
        <v>5.6</v>
      </c>
      <c r="Y20" s="8"/>
      <c r="Z20" s="9">
        <v>5.6</v>
      </c>
      <c r="AA20" s="135"/>
      <c r="AB20" s="135">
        <v>5.6</v>
      </c>
      <c r="AC20" s="135"/>
      <c r="AD20" s="135">
        <v>5.6</v>
      </c>
      <c r="AE20" s="135"/>
      <c r="AF20" s="135">
        <v>5.6</v>
      </c>
      <c r="AG20" s="135"/>
      <c r="AH20" s="135">
        <v>5.6</v>
      </c>
      <c r="AI20" s="135"/>
      <c r="AJ20" s="135">
        <v>5.6</v>
      </c>
      <c r="AK20" s="135"/>
      <c r="AL20" s="135">
        <v>5.6</v>
      </c>
      <c r="AM20" s="135"/>
      <c r="AN20" s="135">
        <v>5.6</v>
      </c>
      <c r="AO20" s="135"/>
      <c r="AP20" s="135">
        <v>5.6</v>
      </c>
    </row>
    <row r="21" spans="1:42" ht="14.25" customHeight="1">
      <c r="A21" s="6" t="s">
        <v>13</v>
      </c>
      <c r="B21" s="8">
        <f>'W7 DIESEL 120K'!U12</f>
        <v>0</v>
      </c>
      <c r="C21" s="8"/>
      <c r="D21" s="8">
        <v>6.02</v>
      </c>
      <c r="E21" s="8"/>
      <c r="F21" s="8">
        <v>6.02</v>
      </c>
      <c r="G21" s="8"/>
      <c r="H21" s="8">
        <v>6.02</v>
      </c>
      <c r="I21" s="8"/>
      <c r="J21" s="8">
        <v>6.02</v>
      </c>
      <c r="K21" s="8"/>
      <c r="L21" s="8">
        <v>6.02</v>
      </c>
      <c r="M21" s="8"/>
      <c r="N21" s="8">
        <v>6.02</v>
      </c>
      <c r="O21" s="8"/>
      <c r="P21" s="8">
        <v>6.02</v>
      </c>
      <c r="Q21" s="8"/>
      <c r="R21" s="8">
        <v>6.02</v>
      </c>
      <c r="S21" s="8"/>
      <c r="T21" s="8">
        <v>6.02</v>
      </c>
      <c r="U21" s="8"/>
      <c r="V21" s="8">
        <v>6.02</v>
      </c>
      <c r="W21" s="8"/>
      <c r="X21" s="8">
        <v>6.02</v>
      </c>
      <c r="Y21" s="8"/>
      <c r="Z21" s="9">
        <v>6.02</v>
      </c>
      <c r="AA21" s="135"/>
      <c r="AB21" s="135">
        <v>6.02</v>
      </c>
      <c r="AC21" s="135"/>
      <c r="AD21" s="135">
        <v>6.02</v>
      </c>
      <c r="AE21" s="135"/>
      <c r="AF21" s="135">
        <v>6.02</v>
      </c>
      <c r="AG21" s="135"/>
      <c r="AH21" s="135">
        <v>6.02</v>
      </c>
      <c r="AI21" s="135"/>
      <c r="AJ21" s="135">
        <v>6.02</v>
      </c>
      <c r="AK21" s="135"/>
      <c r="AL21" s="135">
        <v>6.02</v>
      </c>
      <c r="AM21" s="135"/>
      <c r="AN21" s="135">
        <v>6.02</v>
      </c>
      <c r="AO21" s="135"/>
      <c r="AP21" s="135">
        <v>6.02</v>
      </c>
    </row>
    <row r="22" spans="1:42" ht="14.25" hidden="1" customHeight="1">
      <c r="A22" s="6" t="s">
        <v>14</v>
      </c>
      <c r="B22" s="8">
        <f>'W7 DIESEL 120K'!U13</f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</row>
    <row r="23" spans="1:42" ht="14.25" customHeight="1">
      <c r="A23" s="6" t="s">
        <v>52</v>
      </c>
      <c r="B23" s="8">
        <f>'W7 DIESEL 120K'!U14</f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>
        <v>172.86</v>
      </c>
      <c r="W23" s="8"/>
      <c r="X23" s="8"/>
      <c r="Y23" s="8"/>
      <c r="Z23" s="9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>
        <v>172.86</v>
      </c>
    </row>
    <row r="24" spans="1:42" ht="14.25" customHeight="1">
      <c r="A24" s="6" t="s">
        <v>18</v>
      </c>
      <c r="B24" s="8">
        <f>'W7 DIESEL 120K'!U17</f>
        <v>3.5</v>
      </c>
      <c r="C24" s="8">
        <v>3.5</v>
      </c>
      <c r="D24" s="8">
        <v>3.5</v>
      </c>
      <c r="E24" s="8">
        <v>3.5</v>
      </c>
      <c r="F24" s="8">
        <v>3.5</v>
      </c>
      <c r="G24" s="8">
        <v>3.5</v>
      </c>
      <c r="H24" s="8">
        <v>3.5</v>
      </c>
      <c r="I24" s="8">
        <v>3.5</v>
      </c>
      <c r="J24" s="8">
        <v>3.5</v>
      </c>
      <c r="K24" s="8">
        <v>3.5</v>
      </c>
      <c r="L24" s="8">
        <v>3.5</v>
      </c>
      <c r="M24" s="8">
        <v>3.5</v>
      </c>
      <c r="N24" s="8">
        <v>3.5</v>
      </c>
      <c r="O24" s="8">
        <v>3.5</v>
      </c>
      <c r="P24" s="8">
        <v>3.5</v>
      </c>
      <c r="Q24" s="8">
        <v>3.5</v>
      </c>
      <c r="R24" s="8">
        <v>3.5</v>
      </c>
      <c r="S24" s="8">
        <v>3.5</v>
      </c>
      <c r="T24" s="8">
        <v>3.5</v>
      </c>
      <c r="U24" s="8">
        <v>3.5</v>
      </c>
      <c r="V24" s="8">
        <v>3.5</v>
      </c>
      <c r="W24" s="8">
        <v>3.5</v>
      </c>
      <c r="X24" s="8">
        <v>3.5</v>
      </c>
      <c r="Y24" s="8">
        <v>3.5</v>
      </c>
      <c r="Z24" s="9">
        <v>3.5</v>
      </c>
      <c r="AA24" s="135">
        <v>3.5</v>
      </c>
      <c r="AB24" s="135">
        <v>3.5</v>
      </c>
      <c r="AC24" s="135">
        <v>3.5</v>
      </c>
      <c r="AD24" s="135">
        <v>3.5</v>
      </c>
      <c r="AE24" s="135">
        <v>3.5</v>
      </c>
      <c r="AF24" s="135">
        <v>3.5</v>
      </c>
      <c r="AG24" s="135">
        <v>3.5</v>
      </c>
      <c r="AH24" s="135">
        <v>3.5</v>
      </c>
      <c r="AI24" s="135">
        <v>3.5</v>
      </c>
      <c r="AJ24" s="135">
        <v>3.5</v>
      </c>
      <c r="AK24" s="135">
        <v>3.5</v>
      </c>
      <c r="AL24" s="135">
        <v>3.5</v>
      </c>
      <c r="AM24" s="135">
        <v>3.5</v>
      </c>
      <c r="AN24" s="135">
        <v>3.5</v>
      </c>
      <c r="AO24" s="135">
        <v>3.5</v>
      </c>
      <c r="AP24" s="135">
        <v>3.5</v>
      </c>
    </row>
    <row r="25" spans="1:42" ht="14.25" customHeight="1">
      <c r="A25" s="36" t="s">
        <v>196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>
        <v>27.63</v>
      </c>
      <c r="M25" s="137"/>
      <c r="N25" s="137"/>
      <c r="O25" s="137"/>
      <c r="P25" s="137"/>
      <c r="Q25" s="137"/>
      <c r="R25" s="137"/>
      <c r="S25" s="137"/>
      <c r="T25" s="137"/>
      <c r="U25" s="137"/>
      <c r="V25" s="137">
        <v>27.63</v>
      </c>
      <c r="W25" s="137"/>
      <c r="X25" s="137"/>
      <c r="Y25" s="137"/>
      <c r="Z25" s="138"/>
      <c r="AA25" s="139"/>
      <c r="AB25" s="139"/>
      <c r="AC25" s="139"/>
      <c r="AD25" s="139"/>
      <c r="AE25" s="139"/>
      <c r="AF25" s="139">
        <v>27.63</v>
      </c>
      <c r="AG25" s="139"/>
      <c r="AH25" s="139"/>
      <c r="AI25" s="139"/>
      <c r="AJ25" s="139"/>
      <c r="AK25" s="139"/>
      <c r="AL25" s="139"/>
      <c r="AM25" s="139"/>
      <c r="AN25" s="139"/>
      <c r="AO25" s="139"/>
      <c r="AP25" s="139">
        <v>27.63</v>
      </c>
    </row>
    <row r="26" spans="1:42" ht="14.25" customHeight="1">
      <c r="A26" s="36" t="s">
        <v>197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>
        <v>6.25</v>
      </c>
      <c r="M26" s="137"/>
      <c r="N26" s="137"/>
      <c r="O26" s="137"/>
      <c r="P26" s="137"/>
      <c r="Q26" s="137"/>
      <c r="R26" s="137"/>
      <c r="S26" s="137"/>
      <c r="T26" s="137"/>
      <c r="U26" s="137"/>
      <c r="V26" s="137">
        <v>6.25</v>
      </c>
      <c r="W26" s="137"/>
      <c r="X26" s="137"/>
      <c r="Y26" s="137"/>
      <c r="Z26" s="138"/>
      <c r="AA26" s="139"/>
      <c r="AB26" s="139"/>
      <c r="AC26" s="139"/>
      <c r="AD26" s="139"/>
      <c r="AE26" s="139"/>
      <c r="AF26" s="139">
        <v>6.25</v>
      </c>
      <c r="AG26" s="139"/>
      <c r="AH26" s="139"/>
      <c r="AI26" s="139"/>
      <c r="AJ26" s="139"/>
      <c r="AK26" s="139"/>
      <c r="AL26" s="139"/>
      <c r="AM26" s="139"/>
      <c r="AN26" s="139"/>
      <c r="AO26" s="139"/>
      <c r="AP26" s="139">
        <v>6.25</v>
      </c>
    </row>
    <row r="27" spans="1:42" ht="14.25" customHeight="1">
      <c r="A27" s="20" t="s">
        <v>55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>
        <v>29.29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8"/>
      <c r="AA27" s="139"/>
      <c r="AB27" s="139"/>
      <c r="AC27" s="139"/>
      <c r="AD27" s="139">
        <v>29.29</v>
      </c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</row>
    <row r="28" spans="1:42" ht="14.25" customHeight="1">
      <c r="A28" s="144" t="s">
        <v>21</v>
      </c>
      <c r="B28" s="145">
        <f>B12+B13+B14+B15+B17+B18+B19+B20+B21+B23+B24+B16</f>
        <v>33.56</v>
      </c>
      <c r="C28" s="146">
        <f t="shared" ref="C28:I28" si="1">C12+C13+C14+C15+C17+C18+C19+C20+C21+C23+C24+C16+C27</f>
        <v>36.159999999999997</v>
      </c>
      <c r="D28" s="146">
        <f t="shared" si="1"/>
        <v>132.79999999999998</v>
      </c>
      <c r="E28" s="146">
        <f t="shared" si="1"/>
        <v>36.159999999999997</v>
      </c>
      <c r="F28" s="146">
        <f t="shared" si="1"/>
        <v>132.79999999999998</v>
      </c>
      <c r="G28" s="146">
        <f t="shared" si="1"/>
        <v>36.159999999999997</v>
      </c>
      <c r="H28" s="146">
        <f t="shared" si="1"/>
        <v>132.79999999999998</v>
      </c>
      <c r="I28" s="146">
        <f t="shared" si="1"/>
        <v>36.159999999999997</v>
      </c>
      <c r="J28" s="146">
        <f t="shared" ref="J28:Z28" si="2">SUM(J12:J27)</f>
        <v>132.79999999999998</v>
      </c>
      <c r="K28" s="146">
        <f t="shared" si="2"/>
        <v>36.159999999999997</v>
      </c>
      <c r="L28" s="146">
        <f t="shared" si="2"/>
        <v>166.67999999999998</v>
      </c>
      <c r="M28" s="146">
        <f t="shared" si="2"/>
        <v>36.159999999999997</v>
      </c>
      <c r="N28" s="146">
        <f t="shared" si="2"/>
        <v>132.79999999999998</v>
      </c>
      <c r="O28" s="146">
        <f t="shared" si="2"/>
        <v>36.159999999999997</v>
      </c>
      <c r="P28" s="146">
        <f t="shared" si="2"/>
        <v>162.08999999999997</v>
      </c>
      <c r="Q28" s="146">
        <f t="shared" si="2"/>
        <v>36.159999999999997</v>
      </c>
      <c r="R28" s="146">
        <f t="shared" si="2"/>
        <v>132.79999999999998</v>
      </c>
      <c r="S28" s="146">
        <f t="shared" si="2"/>
        <v>36.159999999999997</v>
      </c>
      <c r="T28" s="146">
        <f t="shared" si="2"/>
        <v>132.79999999999998</v>
      </c>
      <c r="U28" s="146">
        <f t="shared" si="2"/>
        <v>36.159999999999997</v>
      </c>
      <c r="V28" s="146">
        <f t="shared" si="2"/>
        <v>339.53999999999996</v>
      </c>
      <c r="W28" s="146">
        <f t="shared" si="2"/>
        <v>36.159999999999997</v>
      </c>
      <c r="X28" s="146">
        <f t="shared" si="2"/>
        <v>132.79999999999998</v>
      </c>
      <c r="Y28" s="146">
        <f t="shared" si="2"/>
        <v>36.159999999999997</v>
      </c>
      <c r="Z28" s="147">
        <f t="shared" si="2"/>
        <v>132.79999999999998</v>
      </c>
      <c r="AA28" s="148">
        <v>36.159999999999997</v>
      </c>
      <c r="AB28" s="148">
        <f>SUM(AB12:AB27)</f>
        <v>132.79999999999998</v>
      </c>
      <c r="AC28" s="148">
        <v>36.159999999999997</v>
      </c>
      <c r="AD28" s="148">
        <f>SUM(AD12:AD27)</f>
        <v>162.08999999999997</v>
      </c>
      <c r="AE28" s="148">
        <v>36.159999999999997</v>
      </c>
      <c r="AF28" s="148">
        <f>SUM(AF12:AF27)</f>
        <v>166.67999999999998</v>
      </c>
      <c r="AG28" s="148">
        <v>36.159999999999997</v>
      </c>
      <c r="AH28" s="148">
        <f>SUM(AH12:AH27)</f>
        <v>132.79999999999998</v>
      </c>
      <c r="AI28" s="148">
        <v>36.159999999999997</v>
      </c>
      <c r="AJ28" s="148">
        <f>SUM(AJ12:AJ27)</f>
        <v>132.79999999999998</v>
      </c>
      <c r="AK28" s="148">
        <v>36.159999999999997</v>
      </c>
      <c r="AL28" s="148">
        <f>SUM(AL12:AL27)</f>
        <v>132.79999999999998</v>
      </c>
      <c r="AM28" s="148">
        <v>36.159999999999997</v>
      </c>
      <c r="AN28" s="148">
        <f>SUM(AN12:AN27)</f>
        <v>132.79999999999998</v>
      </c>
      <c r="AO28" s="148">
        <v>36.159999999999997</v>
      </c>
      <c r="AP28" s="148">
        <f>SUM(AP12:AP27)</f>
        <v>339.53999999999996</v>
      </c>
    </row>
    <row r="29" spans="1:42" ht="14.25" customHeight="1">
      <c r="A29" s="6" t="s">
        <v>90</v>
      </c>
      <c r="B29" s="8"/>
      <c r="C29" s="8">
        <v>19.399999999999999</v>
      </c>
      <c r="D29" s="8">
        <v>107.5</v>
      </c>
      <c r="E29" s="8">
        <v>14.11</v>
      </c>
      <c r="F29" s="8">
        <v>132.19</v>
      </c>
      <c r="G29" s="8">
        <v>14.11</v>
      </c>
      <c r="H29" s="8">
        <v>125.84</v>
      </c>
      <c r="I29" s="8">
        <v>14.11</v>
      </c>
      <c r="J29" s="8">
        <v>163.94</v>
      </c>
      <c r="K29" s="8">
        <v>14.11</v>
      </c>
      <c r="L29" s="8">
        <v>119.84</v>
      </c>
      <c r="M29" s="8">
        <v>14.11</v>
      </c>
      <c r="N29" s="8">
        <v>147.01</v>
      </c>
      <c r="O29" s="8">
        <v>14.11</v>
      </c>
      <c r="P29" s="8">
        <v>98.68</v>
      </c>
      <c r="Q29" s="8">
        <v>14.11</v>
      </c>
      <c r="R29" s="8">
        <v>132.19</v>
      </c>
      <c r="S29" s="8">
        <v>14.11</v>
      </c>
      <c r="T29" s="8">
        <v>129.37</v>
      </c>
      <c r="U29" s="8">
        <v>14.11</v>
      </c>
      <c r="V29" s="8">
        <v>264.49</v>
      </c>
      <c r="W29" s="8">
        <v>19.399999999999999</v>
      </c>
      <c r="X29" s="8">
        <v>107.5</v>
      </c>
      <c r="Y29" s="8">
        <v>14.11</v>
      </c>
      <c r="Z29" s="9">
        <v>132.19</v>
      </c>
      <c r="AA29" s="135">
        <v>14.11</v>
      </c>
      <c r="AB29" s="135">
        <v>132.19</v>
      </c>
      <c r="AC29" s="135">
        <v>14.11</v>
      </c>
      <c r="AD29" s="135">
        <v>132.19</v>
      </c>
      <c r="AE29" s="135">
        <v>14.11</v>
      </c>
      <c r="AF29" s="135">
        <v>119.84</v>
      </c>
      <c r="AG29" s="135">
        <v>14.11</v>
      </c>
      <c r="AH29" s="135">
        <v>132.19</v>
      </c>
      <c r="AI29" s="135">
        <v>14.11</v>
      </c>
      <c r="AJ29" s="135">
        <v>132.19</v>
      </c>
      <c r="AK29" s="135">
        <v>14.11</v>
      </c>
      <c r="AL29" s="135">
        <v>132.19</v>
      </c>
      <c r="AM29" s="135">
        <v>14.11</v>
      </c>
      <c r="AN29" s="135">
        <v>132.19</v>
      </c>
      <c r="AO29" s="135">
        <v>14.11</v>
      </c>
      <c r="AP29" s="135">
        <v>264.49</v>
      </c>
    </row>
    <row r="30" spans="1:42" ht="14.25" customHeight="1">
      <c r="A30" s="31" t="s">
        <v>23</v>
      </c>
      <c r="B30" s="32">
        <v>0</v>
      </c>
      <c r="C30" s="33"/>
      <c r="D30" s="33">
        <v>17.16</v>
      </c>
      <c r="E30" s="33"/>
      <c r="F30" s="33">
        <v>17.16</v>
      </c>
      <c r="G30" s="33"/>
      <c r="H30" s="33">
        <v>17.16</v>
      </c>
      <c r="I30" s="33"/>
      <c r="J30" s="33">
        <v>17.16</v>
      </c>
      <c r="K30" s="33"/>
      <c r="L30" s="33">
        <v>17.16</v>
      </c>
      <c r="M30" s="33"/>
      <c r="N30" s="33">
        <v>17.16</v>
      </c>
      <c r="O30" s="33"/>
      <c r="P30" s="33">
        <v>17.16</v>
      </c>
      <c r="Q30" s="33"/>
      <c r="R30" s="33">
        <v>17.16</v>
      </c>
      <c r="S30" s="33"/>
      <c r="T30" s="33">
        <v>17.16</v>
      </c>
      <c r="U30" s="33"/>
      <c r="V30" s="33">
        <v>17.16</v>
      </c>
      <c r="W30" s="33"/>
      <c r="X30" s="33">
        <v>17.16</v>
      </c>
      <c r="Y30" s="33"/>
      <c r="Z30" s="34">
        <v>17.16</v>
      </c>
      <c r="AA30" s="149"/>
      <c r="AB30" s="149">
        <v>17.16</v>
      </c>
      <c r="AC30" s="149"/>
      <c r="AD30" s="149">
        <v>17.16</v>
      </c>
      <c r="AE30" s="149"/>
      <c r="AF30" s="149">
        <v>17.16</v>
      </c>
      <c r="AG30" s="149"/>
      <c r="AH30" s="149">
        <v>17.16</v>
      </c>
      <c r="AI30" s="149"/>
      <c r="AJ30" s="149">
        <v>17.16</v>
      </c>
      <c r="AK30" s="149"/>
      <c r="AL30" s="149">
        <v>17.16</v>
      </c>
      <c r="AM30" s="149"/>
      <c r="AN30" s="149">
        <v>17.16</v>
      </c>
      <c r="AO30" s="149"/>
      <c r="AP30" s="149">
        <v>17.16</v>
      </c>
    </row>
    <row r="31" spans="1:42" ht="14.25" customHeight="1">
      <c r="A31" s="6" t="s">
        <v>24</v>
      </c>
      <c r="B31" s="7"/>
      <c r="C31" s="8"/>
      <c r="D31" s="8">
        <v>15.84</v>
      </c>
      <c r="E31" s="8"/>
      <c r="F31" s="8">
        <v>15.84</v>
      </c>
      <c r="G31" s="8"/>
      <c r="H31" s="8">
        <v>15.84</v>
      </c>
      <c r="I31" s="8"/>
      <c r="J31" s="8">
        <v>15.84</v>
      </c>
      <c r="K31" s="8"/>
      <c r="L31" s="8">
        <v>15.84</v>
      </c>
      <c r="M31" s="8"/>
      <c r="N31" s="8">
        <v>15.84</v>
      </c>
      <c r="O31" s="8"/>
      <c r="P31" s="8">
        <v>15.84</v>
      </c>
      <c r="Q31" s="8"/>
      <c r="R31" s="8">
        <v>15.84</v>
      </c>
      <c r="S31" s="8"/>
      <c r="T31" s="8">
        <v>15.84</v>
      </c>
      <c r="U31" s="8"/>
      <c r="V31" s="8">
        <v>15.84</v>
      </c>
      <c r="W31" s="8"/>
      <c r="X31" s="8">
        <v>15.84</v>
      </c>
      <c r="Y31" s="8"/>
      <c r="Z31" s="9">
        <v>15.84</v>
      </c>
      <c r="AA31" s="135"/>
      <c r="AB31" s="135">
        <v>15.84</v>
      </c>
      <c r="AC31" s="135"/>
      <c r="AD31" s="135">
        <v>15.84</v>
      </c>
      <c r="AE31" s="135"/>
      <c r="AF31" s="135">
        <v>15.84</v>
      </c>
      <c r="AG31" s="135"/>
      <c r="AH31" s="135">
        <v>15.84</v>
      </c>
      <c r="AI31" s="135"/>
      <c r="AJ31" s="135">
        <v>15.84</v>
      </c>
      <c r="AK31" s="135"/>
      <c r="AL31" s="135">
        <v>15.84</v>
      </c>
      <c r="AM31" s="135"/>
      <c r="AN31" s="135">
        <v>15.84</v>
      </c>
      <c r="AO31" s="135"/>
      <c r="AP31" s="135">
        <v>15.84</v>
      </c>
    </row>
    <row r="32" spans="1:42" ht="14.25" customHeight="1">
      <c r="A32" s="36" t="s">
        <v>25</v>
      </c>
      <c r="B32" s="136">
        <v>0</v>
      </c>
      <c r="C32" s="137"/>
      <c r="D32" s="137">
        <v>16.5</v>
      </c>
      <c r="E32" s="137"/>
      <c r="F32" s="137">
        <v>16.5</v>
      </c>
      <c r="G32" s="137"/>
      <c r="H32" s="137">
        <v>16.5</v>
      </c>
      <c r="I32" s="137"/>
      <c r="J32" s="137">
        <v>16.5</v>
      </c>
      <c r="K32" s="137"/>
      <c r="L32" s="137">
        <v>16.5</v>
      </c>
      <c r="M32" s="137"/>
      <c r="N32" s="137">
        <v>16.5</v>
      </c>
      <c r="O32" s="137"/>
      <c r="P32" s="137">
        <v>16.5</v>
      </c>
      <c r="Q32" s="137"/>
      <c r="R32" s="137">
        <v>16.5</v>
      </c>
      <c r="S32" s="137"/>
      <c r="T32" s="137">
        <v>16.5</v>
      </c>
      <c r="U32" s="137"/>
      <c r="V32" s="137">
        <v>16.5</v>
      </c>
      <c r="W32" s="137"/>
      <c r="X32" s="137">
        <v>16.5</v>
      </c>
      <c r="Y32" s="137"/>
      <c r="Z32" s="138">
        <v>16.5</v>
      </c>
      <c r="AA32" s="139"/>
      <c r="AB32" s="139">
        <v>16.5</v>
      </c>
      <c r="AC32" s="139"/>
      <c r="AD32" s="139">
        <v>16.5</v>
      </c>
      <c r="AE32" s="139"/>
      <c r="AF32" s="139">
        <v>16.5</v>
      </c>
      <c r="AG32" s="139"/>
      <c r="AH32" s="139">
        <v>16.5</v>
      </c>
      <c r="AI32" s="139"/>
      <c r="AJ32" s="139">
        <v>16.5</v>
      </c>
      <c r="AK32" s="139"/>
      <c r="AL32" s="139">
        <v>16.5</v>
      </c>
      <c r="AM32" s="139"/>
      <c r="AN32" s="139">
        <v>16.5</v>
      </c>
      <c r="AO32" s="139"/>
      <c r="AP32" s="139">
        <v>16.5</v>
      </c>
    </row>
    <row r="33" spans="1:42" ht="14.25" customHeight="1">
      <c r="A33" s="36" t="s">
        <v>198</v>
      </c>
      <c r="B33" s="136">
        <v>0</v>
      </c>
      <c r="C33" s="137"/>
      <c r="D33" s="137"/>
      <c r="E33" s="137"/>
      <c r="F33" s="137">
        <v>26</v>
      </c>
      <c r="G33" s="137"/>
      <c r="H33" s="137"/>
      <c r="I33" s="137"/>
      <c r="J33" s="137">
        <v>26</v>
      </c>
      <c r="K33" s="137"/>
      <c r="L33" s="137"/>
      <c r="M33" s="137"/>
      <c r="N33" s="137">
        <v>26</v>
      </c>
      <c r="O33" s="137"/>
      <c r="P33" s="137"/>
      <c r="Q33" s="137"/>
      <c r="R33" s="137">
        <v>26</v>
      </c>
      <c r="S33" s="137"/>
      <c r="T33" s="137"/>
      <c r="U33" s="137"/>
      <c r="V33" s="137">
        <v>26</v>
      </c>
      <c r="W33" s="137"/>
      <c r="X33" s="137"/>
      <c r="Y33" s="137"/>
      <c r="Z33" s="138">
        <v>26</v>
      </c>
      <c r="AA33" s="139"/>
      <c r="AB33" s="139"/>
      <c r="AC33" s="139"/>
      <c r="AD33" s="139">
        <v>26</v>
      </c>
      <c r="AE33" s="139"/>
      <c r="AF33" s="139"/>
      <c r="AG33" s="139"/>
      <c r="AH33" s="139">
        <v>26</v>
      </c>
      <c r="AI33" s="139"/>
      <c r="AJ33" s="139"/>
      <c r="AK33" s="139"/>
      <c r="AL33" s="139">
        <v>26</v>
      </c>
      <c r="AM33" s="139"/>
      <c r="AN33" s="139"/>
      <c r="AO33" s="139"/>
      <c r="AP33" s="139">
        <v>26</v>
      </c>
    </row>
    <row r="34" spans="1:42" ht="14.25" customHeight="1">
      <c r="A34" s="28" t="s">
        <v>22</v>
      </c>
      <c r="B34" s="150">
        <f>'W7 DIESEL 120K'!U21</f>
        <v>14.78</v>
      </c>
      <c r="C34" s="151">
        <f t="shared" ref="C34:I34" si="3">SUM(C29:C32)</f>
        <v>19.399999999999999</v>
      </c>
      <c r="D34" s="151">
        <f t="shared" si="3"/>
        <v>157</v>
      </c>
      <c r="E34" s="151">
        <f t="shared" si="3"/>
        <v>14.11</v>
      </c>
      <c r="F34" s="151">
        <f t="shared" si="3"/>
        <v>181.69</v>
      </c>
      <c r="G34" s="151">
        <f t="shared" si="3"/>
        <v>14.11</v>
      </c>
      <c r="H34" s="151">
        <f t="shared" si="3"/>
        <v>175.34</v>
      </c>
      <c r="I34" s="151">
        <f t="shared" si="3"/>
        <v>14.11</v>
      </c>
      <c r="J34" s="151">
        <f>SUM(J29:J33)</f>
        <v>239.44</v>
      </c>
      <c r="K34" s="151">
        <f t="shared" ref="K34:Z34" si="4">SUM(K29:K32)</f>
        <v>14.11</v>
      </c>
      <c r="L34" s="151">
        <f t="shared" si="4"/>
        <v>169.34</v>
      </c>
      <c r="M34" s="151">
        <f t="shared" si="4"/>
        <v>14.11</v>
      </c>
      <c r="N34" s="151">
        <f t="shared" si="4"/>
        <v>196.51</v>
      </c>
      <c r="O34" s="151">
        <f t="shared" si="4"/>
        <v>14.11</v>
      </c>
      <c r="P34" s="151">
        <f t="shared" si="4"/>
        <v>148.18</v>
      </c>
      <c r="Q34" s="151">
        <f t="shared" si="4"/>
        <v>14.11</v>
      </c>
      <c r="R34" s="151">
        <f t="shared" si="4"/>
        <v>181.69</v>
      </c>
      <c r="S34" s="151">
        <f t="shared" si="4"/>
        <v>14.11</v>
      </c>
      <c r="T34" s="151">
        <f t="shared" si="4"/>
        <v>178.87</v>
      </c>
      <c r="U34" s="151">
        <f t="shared" si="4"/>
        <v>14.11</v>
      </c>
      <c r="V34" s="151">
        <f t="shared" si="4"/>
        <v>313.99</v>
      </c>
      <c r="W34" s="151">
        <f t="shared" si="4"/>
        <v>19.399999999999999</v>
      </c>
      <c r="X34" s="151">
        <f t="shared" si="4"/>
        <v>157</v>
      </c>
      <c r="Y34" s="151">
        <f t="shared" si="4"/>
        <v>14.11</v>
      </c>
      <c r="Z34" s="152">
        <f t="shared" si="4"/>
        <v>181.69</v>
      </c>
      <c r="AA34" s="143">
        <v>14.11</v>
      </c>
      <c r="AB34" s="143">
        <f>SUM(AB29:AB32)</f>
        <v>181.69</v>
      </c>
      <c r="AC34" s="143">
        <v>14.11</v>
      </c>
      <c r="AD34" s="143">
        <f>SUM(AD29:AD32)</f>
        <v>181.69</v>
      </c>
      <c r="AE34" s="143">
        <v>14.11</v>
      </c>
      <c r="AF34" s="143">
        <f>SUM(AF29:AF32)</f>
        <v>169.34</v>
      </c>
      <c r="AG34" s="143">
        <v>14.11</v>
      </c>
      <c r="AH34" s="143">
        <f>SUM(AH29:AH32)</f>
        <v>181.69</v>
      </c>
      <c r="AI34" s="143">
        <v>14.11</v>
      </c>
      <c r="AJ34" s="143">
        <f>SUM(AJ29:AJ32)</f>
        <v>181.69</v>
      </c>
      <c r="AK34" s="143">
        <v>14.11</v>
      </c>
      <c r="AL34" s="143">
        <f>SUM(AL29:AL32)</f>
        <v>181.69</v>
      </c>
      <c r="AM34" s="143">
        <v>14.11</v>
      </c>
      <c r="AN34" s="143">
        <f>SUM(AN29:AN32)</f>
        <v>181.69</v>
      </c>
      <c r="AO34" s="143">
        <v>14.11</v>
      </c>
      <c r="AP34" s="143">
        <f>SUM(AP29:AP32)</f>
        <v>313.99</v>
      </c>
    </row>
    <row r="35" spans="1:42" ht="14.25" customHeight="1">
      <c r="A35" s="140" t="s">
        <v>98</v>
      </c>
      <c r="B35" s="153"/>
      <c r="C35" s="154">
        <f t="shared" ref="C35:Z35" si="5">C11+C28+C34</f>
        <v>99.539999999999992</v>
      </c>
      <c r="D35" s="154">
        <f t="shared" si="5"/>
        <v>333.78</v>
      </c>
      <c r="E35" s="154">
        <f t="shared" si="5"/>
        <v>94.249999999999986</v>
      </c>
      <c r="F35" s="154">
        <f t="shared" si="5"/>
        <v>358.46999999999997</v>
      </c>
      <c r="G35" s="154">
        <f t="shared" si="5"/>
        <v>94.249999999999986</v>
      </c>
      <c r="H35" s="154">
        <f t="shared" si="5"/>
        <v>418.96</v>
      </c>
      <c r="I35" s="154">
        <f t="shared" si="5"/>
        <v>94.249999999999986</v>
      </c>
      <c r="J35" s="154">
        <f t="shared" si="5"/>
        <v>416.21999999999997</v>
      </c>
      <c r="K35" s="154">
        <f t="shared" si="5"/>
        <v>94.249999999999986</v>
      </c>
      <c r="L35" s="154">
        <f t="shared" si="5"/>
        <v>424.15</v>
      </c>
      <c r="M35" s="154">
        <f t="shared" si="5"/>
        <v>94.249999999999986</v>
      </c>
      <c r="N35" s="154">
        <f t="shared" si="5"/>
        <v>440.13</v>
      </c>
      <c r="O35" s="154">
        <f t="shared" si="5"/>
        <v>94.249999999999986</v>
      </c>
      <c r="P35" s="154">
        <f t="shared" si="5"/>
        <v>354.25</v>
      </c>
      <c r="Q35" s="154">
        <f t="shared" si="5"/>
        <v>94.249999999999986</v>
      </c>
      <c r="R35" s="154">
        <f t="shared" si="5"/>
        <v>358.46999999999997</v>
      </c>
      <c r="S35" s="154">
        <f t="shared" si="5"/>
        <v>94.249999999999986</v>
      </c>
      <c r="T35" s="154">
        <f t="shared" si="5"/>
        <v>422.49</v>
      </c>
      <c r="U35" s="154">
        <f t="shared" si="5"/>
        <v>94.249999999999986</v>
      </c>
      <c r="V35" s="154">
        <f t="shared" si="5"/>
        <v>769.89</v>
      </c>
      <c r="W35" s="154">
        <f t="shared" si="5"/>
        <v>99.539999999999992</v>
      </c>
      <c r="X35" s="154">
        <f t="shared" si="5"/>
        <v>333.78</v>
      </c>
      <c r="Y35" s="154">
        <f t="shared" si="5"/>
        <v>94.249999999999986</v>
      </c>
      <c r="Z35" s="155">
        <f t="shared" si="5"/>
        <v>425.30999999999995</v>
      </c>
      <c r="AA35" s="156">
        <v>94.249999999999986</v>
      </c>
      <c r="AB35" s="156">
        <f>AB11+AB28+AB34</f>
        <v>358.46999999999997</v>
      </c>
      <c r="AC35" s="156">
        <v>94.249999999999986</v>
      </c>
      <c r="AD35" s="156">
        <f>AD11+AD28+AD34</f>
        <v>387.76</v>
      </c>
      <c r="AE35" s="156">
        <v>94.249999999999986</v>
      </c>
      <c r="AF35" s="156">
        <f>AF11+AF28+AF34</f>
        <v>490.99</v>
      </c>
      <c r="AG35" s="156">
        <v>94.249999999999986</v>
      </c>
      <c r="AH35" s="156">
        <f>AH11+AH28+AH34</f>
        <v>358.46999999999997</v>
      </c>
      <c r="AI35" s="156">
        <v>94.249999999999986</v>
      </c>
      <c r="AJ35" s="156">
        <f>AJ11+AJ28+AJ34</f>
        <v>358.46999999999997</v>
      </c>
      <c r="AK35" s="156">
        <v>94.249999999999986</v>
      </c>
      <c r="AL35" s="156">
        <f>AL11+AL28+AL34</f>
        <v>425.30999999999995</v>
      </c>
      <c r="AM35" s="156">
        <v>94.249999999999986</v>
      </c>
      <c r="AN35" s="156">
        <f>AN11+AN28+AN34</f>
        <v>358.46999999999997</v>
      </c>
      <c r="AO35" s="156">
        <v>94.249999999999986</v>
      </c>
      <c r="AP35" s="156">
        <f>AP11+AP28+AP34</f>
        <v>741.66</v>
      </c>
    </row>
    <row r="36" spans="1:42" ht="14.25" customHeight="1"/>
    <row r="37" spans="1:42" ht="14.25" customHeight="1"/>
    <row r="38" spans="1:42" ht="14.25" customHeight="1"/>
    <row r="39" spans="1:42" ht="14.25" customHeight="1"/>
    <row r="40" spans="1:42" ht="14.25" customHeight="1"/>
    <row r="41" spans="1:42" ht="14.25" customHeight="1"/>
    <row r="42" spans="1:42" ht="14.25" customHeight="1">
      <c r="H42" s="157"/>
      <c r="I42" s="157"/>
    </row>
    <row r="43" spans="1:42" ht="14.25" customHeight="1"/>
    <row r="44" spans="1:42" ht="14.25" customHeight="1"/>
    <row r="45" spans="1:42" ht="14.25" customHeight="1"/>
    <row r="46" spans="1:42" ht="14.25" customHeight="1"/>
    <row r="47" spans="1:42" ht="14.25" customHeight="1"/>
    <row r="48" spans="1:4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2:AA35" xr:uid="{00000000-0009-0000-0000-000005000000}"/>
  <mergeCells count="1">
    <mergeCell ref="A1:Z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4140625" defaultRowHeight="15" customHeight="1"/>
  <cols>
    <col min="1" max="1" width="56.88671875" customWidth="1"/>
    <col min="2" max="2" width="10.6640625" hidden="1" customWidth="1"/>
    <col min="3" max="27" width="10.6640625" customWidth="1"/>
  </cols>
  <sheetData>
    <row r="1" spans="1:26" ht="14.25" customHeight="1">
      <c r="A1" s="236" t="s">
        <v>195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8"/>
    </row>
    <row r="2" spans="1:26" ht="14.25" customHeight="1">
      <c r="A2" s="131" t="s">
        <v>0</v>
      </c>
      <c r="B2" s="132" t="s">
        <v>1</v>
      </c>
      <c r="C2" s="124">
        <v>5000</v>
      </c>
      <c r="D2" s="124">
        <v>10000</v>
      </c>
      <c r="E2" s="124">
        <v>15000</v>
      </c>
      <c r="F2" s="124">
        <v>20000</v>
      </c>
      <c r="G2" s="124">
        <v>25000</v>
      </c>
      <c r="H2" s="124">
        <v>30000</v>
      </c>
      <c r="I2" s="124">
        <v>35000</v>
      </c>
      <c r="J2" s="124">
        <v>40000</v>
      </c>
      <c r="K2" s="124">
        <v>45000</v>
      </c>
      <c r="L2" s="124">
        <v>50000</v>
      </c>
      <c r="M2" s="124">
        <v>55000</v>
      </c>
      <c r="N2" s="124">
        <v>60000</v>
      </c>
      <c r="O2" s="124">
        <v>65000</v>
      </c>
      <c r="P2" s="124">
        <v>70000</v>
      </c>
      <c r="Q2" s="124">
        <v>75000</v>
      </c>
      <c r="R2" s="124">
        <v>80000</v>
      </c>
      <c r="S2" s="124">
        <v>85000</v>
      </c>
      <c r="T2" s="124">
        <v>90000</v>
      </c>
      <c r="U2" s="124">
        <v>95000</v>
      </c>
      <c r="V2" s="124">
        <v>100000</v>
      </c>
      <c r="W2" s="124">
        <v>105000</v>
      </c>
      <c r="X2" s="124">
        <v>110000</v>
      </c>
      <c r="Y2" s="124">
        <v>115000</v>
      </c>
      <c r="Z2" s="133">
        <v>120000</v>
      </c>
    </row>
    <row r="3" spans="1:26" ht="14.25" customHeight="1">
      <c r="A3" s="158" t="s">
        <v>199</v>
      </c>
      <c r="B3" s="7">
        <f>'W7 DIESEL 120K'!U2</f>
        <v>40.98</v>
      </c>
      <c r="C3" s="8">
        <v>40.98</v>
      </c>
      <c r="D3" s="8">
        <v>40.98</v>
      </c>
      <c r="E3" s="8">
        <v>40.98</v>
      </c>
      <c r="F3" s="8">
        <v>40.98</v>
      </c>
      <c r="G3" s="8">
        <v>40.98</v>
      </c>
      <c r="H3" s="8">
        <v>40.98</v>
      </c>
      <c r="I3" s="8">
        <v>40.98</v>
      </c>
      <c r="J3" s="8">
        <v>40.98</v>
      </c>
      <c r="K3" s="8">
        <v>40.98</v>
      </c>
      <c r="L3" s="8">
        <v>40.98</v>
      </c>
      <c r="M3" s="8">
        <v>40.98</v>
      </c>
      <c r="N3" s="8">
        <v>40.98</v>
      </c>
      <c r="O3" s="8">
        <v>40.98</v>
      </c>
      <c r="P3" s="8">
        <v>40.98</v>
      </c>
      <c r="Q3" s="8">
        <v>40.98</v>
      </c>
      <c r="R3" s="8">
        <v>40.98</v>
      </c>
      <c r="S3" s="8">
        <v>40.98</v>
      </c>
      <c r="T3" s="8">
        <v>40.98</v>
      </c>
      <c r="U3" s="8">
        <v>40.98</v>
      </c>
      <c r="V3" s="8">
        <v>40.98</v>
      </c>
      <c r="W3" s="8">
        <v>40.98</v>
      </c>
      <c r="X3" s="8">
        <v>40.98</v>
      </c>
      <c r="Y3" s="8">
        <v>40.98</v>
      </c>
      <c r="Z3" s="9">
        <v>40.98</v>
      </c>
    </row>
    <row r="4" spans="1:26" ht="14.25" customHeight="1">
      <c r="A4" s="6" t="s">
        <v>4</v>
      </c>
      <c r="B4" s="7">
        <f>'W7 DIESEL 120K'!U3</f>
        <v>6.01</v>
      </c>
      <c r="C4" s="8">
        <v>6.01</v>
      </c>
      <c r="D4" s="8">
        <v>6.01</v>
      </c>
      <c r="E4" s="8">
        <v>6.01</v>
      </c>
      <c r="F4" s="8">
        <v>6.01</v>
      </c>
      <c r="G4" s="8">
        <v>6.01</v>
      </c>
      <c r="H4" s="8">
        <v>6.01</v>
      </c>
      <c r="I4" s="8">
        <v>6.01</v>
      </c>
      <c r="J4" s="8">
        <v>6.01</v>
      </c>
      <c r="K4" s="8">
        <v>6.01</v>
      </c>
      <c r="L4" s="8">
        <v>6.01</v>
      </c>
      <c r="M4" s="8">
        <v>6.01</v>
      </c>
      <c r="N4" s="8">
        <v>6.01</v>
      </c>
      <c r="O4" s="8">
        <v>6.01</v>
      </c>
      <c r="P4" s="8">
        <v>6.01</v>
      </c>
      <c r="Q4" s="8">
        <v>6.01</v>
      </c>
      <c r="R4" s="8">
        <v>6.01</v>
      </c>
      <c r="S4" s="8">
        <v>6.01</v>
      </c>
      <c r="T4" s="8">
        <v>6.01</v>
      </c>
      <c r="U4" s="8">
        <v>6.01</v>
      </c>
      <c r="V4" s="8">
        <v>6.01</v>
      </c>
      <c r="W4" s="8">
        <v>6.01</v>
      </c>
      <c r="X4" s="8">
        <v>6.01</v>
      </c>
      <c r="Y4" s="8">
        <v>6.01</v>
      </c>
      <c r="Z4" s="9">
        <v>6.01</v>
      </c>
    </row>
    <row r="5" spans="1:26" ht="14.25" customHeight="1">
      <c r="A5" s="6" t="s">
        <v>5</v>
      </c>
      <c r="B5" s="7">
        <f>'W7 DIESEL 120K'!U4</f>
        <v>6.5</v>
      </c>
      <c r="C5" s="8">
        <v>6.5</v>
      </c>
      <c r="D5" s="8">
        <v>6.5</v>
      </c>
      <c r="E5" s="8">
        <v>6.5</v>
      </c>
      <c r="F5" s="8">
        <v>6.5</v>
      </c>
      <c r="G5" s="8">
        <v>6.5</v>
      </c>
      <c r="H5" s="8">
        <v>6.5</v>
      </c>
      <c r="I5" s="8">
        <v>6.5</v>
      </c>
      <c r="J5" s="8">
        <v>6.5</v>
      </c>
      <c r="K5" s="8">
        <v>6.5</v>
      </c>
      <c r="L5" s="8">
        <v>6.5</v>
      </c>
      <c r="M5" s="8">
        <v>6.5</v>
      </c>
      <c r="N5" s="8">
        <v>6.5</v>
      </c>
      <c r="O5" s="8">
        <v>6.5</v>
      </c>
      <c r="P5" s="8">
        <v>6.5</v>
      </c>
      <c r="Q5" s="8">
        <v>6.5</v>
      </c>
      <c r="R5" s="8">
        <v>6.5</v>
      </c>
      <c r="S5" s="8">
        <v>6.5</v>
      </c>
      <c r="T5" s="8">
        <v>6.5</v>
      </c>
      <c r="U5" s="8">
        <v>6.5</v>
      </c>
      <c r="V5" s="8">
        <v>6.5</v>
      </c>
      <c r="W5" s="8">
        <v>6.5</v>
      </c>
      <c r="X5" s="8">
        <v>6.5</v>
      </c>
      <c r="Y5" s="8">
        <v>6.5</v>
      </c>
      <c r="Z5" s="9">
        <v>6.5</v>
      </c>
    </row>
    <row r="6" spans="1:26" ht="14.25" customHeight="1">
      <c r="A6" s="6" t="s">
        <v>6</v>
      </c>
      <c r="B6" s="7">
        <f>'W7 DIESEL 120K'!U5</f>
        <v>17.55</v>
      </c>
      <c r="C6" s="8">
        <v>17.55</v>
      </c>
      <c r="D6" s="8">
        <v>17.55</v>
      </c>
      <c r="E6" s="8">
        <v>17.55</v>
      </c>
      <c r="F6" s="8">
        <v>17.55</v>
      </c>
      <c r="G6" s="8">
        <v>17.55</v>
      </c>
      <c r="H6" s="8">
        <v>17.55</v>
      </c>
      <c r="I6" s="8">
        <v>17.55</v>
      </c>
      <c r="J6" s="8">
        <v>17.55</v>
      </c>
      <c r="K6" s="8">
        <v>17.55</v>
      </c>
      <c r="L6" s="8">
        <v>17.55</v>
      </c>
      <c r="M6" s="8">
        <v>17.55</v>
      </c>
      <c r="N6" s="8">
        <v>17.55</v>
      </c>
      <c r="O6" s="8">
        <v>17.55</v>
      </c>
      <c r="P6" s="8">
        <v>17.55</v>
      </c>
      <c r="Q6" s="8">
        <v>17.55</v>
      </c>
      <c r="R6" s="8">
        <v>17.55</v>
      </c>
      <c r="S6" s="8">
        <v>17.55</v>
      </c>
      <c r="T6" s="8">
        <v>17.55</v>
      </c>
      <c r="U6" s="8">
        <v>17.55</v>
      </c>
      <c r="V6" s="8">
        <v>17.55</v>
      </c>
      <c r="W6" s="8">
        <v>17.55</v>
      </c>
      <c r="X6" s="8">
        <v>17.55</v>
      </c>
      <c r="Y6" s="8">
        <v>17.55</v>
      </c>
      <c r="Z6" s="9">
        <v>17.55</v>
      </c>
    </row>
    <row r="7" spans="1:26" ht="14.25" customHeight="1">
      <c r="A7" s="6" t="s">
        <v>7</v>
      </c>
      <c r="B7" s="7">
        <f>'W7 DIESEL 120K'!U6</f>
        <v>0</v>
      </c>
      <c r="C7" s="8"/>
      <c r="D7" s="8">
        <v>10.45</v>
      </c>
      <c r="E7" s="8"/>
      <c r="F7" s="8">
        <v>10.45</v>
      </c>
      <c r="G7" s="8"/>
      <c r="H7" s="8">
        <v>10.45</v>
      </c>
      <c r="I7" s="8"/>
      <c r="J7" s="8">
        <v>10.45</v>
      </c>
      <c r="K7" s="8"/>
      <c r="L7" s="8">
        <v>10.45</v>
      </c>
      <c r="M7" s="8"/>
      <c r="N7" s="8">
        <v>10.45</v>
      </c>
      <c r="O7" s="8"/>
      <c r="P7" s="8">
        <v>10.45</v>
      </c>
      <c r="Q7" s="8"/>
      <c r="R7" s="8">
        <v>10.45</v>
      </c>
      <c r="S7" s="8"/>
      <c r="T7" s="8">
        <v>10.45</v>
      </c>
      <c r="U7" s="8"/>
      <c r="V7" s="8">
        <v>10.45</v>
      </c>
      <c r="W7" s="8"/>
      <c r="X7" s="8">
        <v>10.45</v>
      </c>
      <c r="Y7" s="8"/>
      <c r="Z7" s="9">
        <v>10.45</v>
      </c>
    </row>
    <row r="8" spans="1:26" ht="14.25" customHeight="1">
      <c r="A8" s="6" t="s">
        <v>8</v>
      </c>
      <c r="B8" s="7">
        <f>'W7 DIESEL 120K'!U7</f>
        <v>0</v>
      </c>
      <c r="C8" s="8"/>
      <c r="D8" s="8">
        <v>7.69</v>
      </c>
      <c r="E8" s="8"/>
      <c r="F8" s="8">
        <v>7.69</v>
      </c>
      <c r="G8" s="8"/>
      <c r="H8" s="8">
        <v>7.69</v>
      </c>
      <c r="I8" s="8"/>
      <c r="J8" s="8">
        <v>7.69</v>
      </c>
      <c r="K8" s="8"/>
      <c r="L8" s="8">
        <v>7.69</v>
      </c>
      <c r="M8" s="8"/>
      <c r="N8" s="8">
        <v>7.69</v>
      </c>
      <c r="O8" s="8"/>
      <c r="P8" s="8">
        <v>7.69</v>
      </c>
      <c r="Q8" s="8"/>
      <c r="R8" s="8">
        <v>7.69</v>
      </c>
      <c r="S8" s="8"/>
      <c r="T8" s="8">
        <v>7.69</v>
      </c>
      <c r="U8" s="8"/>
      <c r="V8" s="8">
        <v>7.69</v>
      </c>
      <c r="W8" s="8"/>
      <c r="X8" s="8">
        <v>7.69</v>
      </c>
      <c r="Y8" s="8"/>
      <c r="Z8" s="9">
        <v>7.69</v>
      </c>
    </row>
    <row r="9" spans="1:26" ht="14.25" customHeight="1">
      <c r="A9" s="6" t="s">
        <v>9</v>
      </c>
      <c r="B9" s="7">
        <f>'W7 DIESEL 120K'!U8</f>
        <v>0</v>
      </c>
      <c r="C9" s="8"/>
      <c r="D9" s="8">
        <v>26.87</v>
      </c>
      <c r="E9" s="8"/>
      <c r="F9" s="8">
        <v>26.87</v>
      </c>
      <c r="G9" s="8"/>
      <c r="H9" s="8">
        <v>26.87</v>
      </c>
      <c r="I9" s="8"/>
      <c r="J9" s="8">
        <v>26.87</v>
      </c>
      <c r="K9" s="8"/>
      <c r="L9" s="8">
        <v>26.87</v>
      </c>
      <c r="M9" s="8"/>
      <c r="N9" s="8">
        <v>26.87</v>
      </c>
      <c r="O9" s="8"/>
      <c r="P9" s="8">
        <v>26.87</v>
      </c>
      <c r="Q9" s="8"/>
      <c r="R9" s="8">
        <v>26.87</v>
      </c>
      <c r="S9" s="8"/>
      <c r="T9" s="8">
        <v>26.87</v>
      </c>
      <c r="U9" s="8"/>
      <c r="V9" s="8">
        <v>26.87</v>
      </c>
      <c r="W9" s="8"/>
      <c r="X9" s="8">
        <v>26.87</v>
      </c>
      <c r="Y9" s="8"/>
      <c r="Z9" s="9">
        <v>26.87</v>
      </c>
    </row>
    <row r="10" spans="1:26" ht="14.25" customHeight="1">
      <c r="A10" s="6" t="s">
        <v>10</v>
      </c>
      <c r="B10" s="7">
        <f>'W7 DIESEL 120K'!U9</f>
        <v>0</v>
      </c>
      <c r="C10" s="8"/>
      <c r="D10" s="8">
        <v>27</v>
      </c>
      <c r="E10" s="8"/>
      <c r="F10" s="8">
        <v>27</v>
      </c>
      <c r="G10" s="8"/>
      <c r="H10" s="8">
        <v>27</v>
      </c>
      <c r="I10" s="8"/>
      <c r="J10" s="8">
        <v>27</v>
      </c>
      <c r="K10" s="8"/>
      <c r="L10" s="8">
        <v>27</v>
      </c>
      <c r="M10" s="8"/>
      <c r="N10" s="8">
        <v>27</v>
      </c>
      <c r="O10" s="8"/>
      <c r="P10" s="8">
        <v>27</v>
      </c>
      <c r="Q10" s="8"/>
      <c r="R10" s="8">
        <v>27</v>
      </c>
      <c r="S10" s="8"/>
      <c r="T10" s="8">
        <v>27</v>
      </c>
      <c r="U10" s="8"/>
      <c r="V10" s="8">
        <v>27</v>
      </c>
      <c r="W10" s="8"/>
      <c r="X10" s="8">
        <v>27</v>
      </c>
      <c r="Y10" s="8"/>
      <c r="Z10" s="9">
        <v>27</v>
      </c>
    </row>
    <row r="11" spans="1:26" ht="14.25" customHeight="1">
      <c r="A11" s="6" t="s">
        <v>11</v>
      </c>
      <c r="B11" s="7">
        <f>'W7 DIESEL 120K'!U10</f>
        <v>0</v>
      </c>
      <c r="C11" s="8"/>
      <c r="D11" s="8">
        <v>6.5</v>
      </c>
      <c r="E11" s="8"/>
      <c r="F11" s="8">
        <v>6.5</v>
      </c>
      <c r="G11" s="8"/>
      <c r="H11" s="8">
        <v>6.5</v>
      </c>
      <c r="I11" s="8"/>
      <c r="J11" s="8">
        <v>6.5</v>
      </c>
      <c r="K11" s="8"/>
      <c r="L11" s="8">
        <v>6.5</v>
      </c>
      <c r="M11" s="8"/>
      <c r="N11" s="8">
        <v>6.5</v>
      </c>
      <c r="O11" s="8"/>
      <c r="P11" s="8">
        <v>6.5</v>
      </c>
      <c r="Q11" s="8"/>
      <c r="R11" s="8">
        <v>6.5</v>
      </c>
      <c r="S11" s="8"/>
      <c r="T11" s="8">
        <v>6.5</v>
      </c>
      <c r="U11" s="8"/>
      <c r="V11" s="8">
        <v>6.5</v>
      </c>
      <c r="W11" s="8"/>
      <c r="X11" s="8">
        <v>6.5</v>
      </c>
      <c r="Y11" s="8"/>
      <c r="Z11" s="9">
        <v>6.5</v>
      </c>
    </row>
    <row r="12" spans="1:26" ht="14.25" customHeight="1">
      <c r="A12" s="6" t="s">
        <v>12</v>
      </c>
      <c r="B12" s="7">
        <f>'W7 DIESEL 120K'!U11</f>
        <v>0</v>
      </c>
      <c r="C12" s="8"/>
      <c r="D12" s="8">
        <v>5</v>
      </c>
      <c r="E12" s="8"/>
      <c r="F12" s="8">
        <v>5</v>
      </c>
      <c r="G12" s="8"/>
      <c r="H12" s="8">
        <v>5</v>
      </c>
      <c r="I12" s="8"/>
      <c r="J12" s="8">
        <v>5</v>
      </c>
      <c r="K12" s="8"/>
      <c r="L12" s="8">
        <v>5</v>
      </c>
      <c r="M12" s="8"/>
      <c r="N12" s="8">
        <v>5</v>
      </c>
      <c r="O12" s="8"/>
      <c r="P12" s="8">
        <v>5</v>
      </c>
      <c r="Q12" s="8"/>
      <c r="R12" s="8">
        <v>5</v>
      </c>
      <c r="S12" s="8"/>
      <c r="T12" s="8">
        <v>5</v>
      </c>
      <c r="U12" s="8"/>
      <c r="V12" s="8">
        <v>5</v>
      </c>
      <c r="W12" s="8"/>
      <c r="X12" s="8">
        <v>5</v>
      </c>
      <c r="Y12" s="8"/>
      <c r="Z12" s="9">
        <v>5</v>
      </c>
    </row>
    <row r="13" spans="1:26" ht="14.25" customHeight="1">
      <c r="A13" s="6" t="s">
        <v>13</v>
      </c>
      <c r="B13" s="7">
        <f>'W7 DIESEL 120K'!U12</f>
        <v>0</v>
      </c>
      <c r="C13" s="8"/>
      <c r="D13" s="8">
        <v>5.4</v>
      </c>
      <c r="E13" s="8"/>
      <c r="F13" s="8">
        <v>5.4</v>
      </c>
      <c r="G13" s="8"/>
      <c r="H13" s="8">
        <v>5.4</v>
      </c>
      <c r="I13" s="8"/>
      <c r="J13" s="8">
        <v>5.4</v>
      </c>
      <c r="K13" s="8"/>
      <c r="L13" s="8">
        <v>5.4</v>
      </c>
      <c r="M13" s="8"/>
      <c r="N13" s="8">
        <v>5.4</v>
      </c>
      <c r="O13" s="8"/>
      <c r="P13" s="8">
        <v>5.4</v>
      </c>
      <c r="Q13" s="8"/>
      <c r="R13" s="8">
        <v>5.4</v>
      </c>
      <c r="S13" s="8"/>
      <c r="T13" s="8">
        <v>5.4</v>
      </c>
      <c r="U13" s="8"/>
      <c r="V13" s="8">
        <v>5.4</v>
      </c>
      <c r="W13" s="8"/>
      <c r="X13" s="8">
        <v>5.4</v>
      </c>
      <c r="Y13" s="8"/>
      <c r="Z13" s="9">
        <v>5.4</v>
      </c>
    </row>
    <row r="14" spans="1:26" ht="14.25" hidden="1" customHeight="1">
      <c r="A14" s="6" t="s">
        <v>14</v>
      </c>
      <c r="B14" s="7">
        <f>'W7 DIESEL 120K'!U13</f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spans="1:26" ht="14.25" customHeight="1">
      <c r="A15" s="6" t="s">
        <v>52</v>
      </c>
      <c r="B15" s="7">
        <f>'W7 DIESEL 120K'!U14</f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>
        <v>157.97</v>
      </c>
      <c r="W15" s="8"/>
      <c r="X15" s="8"/>
      <c r="Y15" s="8"/>
      <c r="Z15" s="9"/>
    </row>
    <row r="16" spans="1:26" ht="14.25" customHeight="1">
      <c r="A16" s="158" t="s">
        <v>200</v>
      </c>
      <c r="B16" s="7">
        <f>'W7 DIESEL 120K'!U15</f>
        <v>0</v>
      </c>
      <c r="C16" s="8"/>
      <c r="D16" s="8"/>
      <c r="E16" s="8"/>
      <c r="F16" s="8"/>
      <c r="G16" s="8"/>
      <c r="H16" s="8"/>
      <c r="I16" s="8"/>
      <c r="J16" s="8"/>
      <c r="K16" s="8"/>
      <c r="L16" s="8">
        <v>31.56</v>
      </c>
      <c r="M16" s="8"/>
      <c r="N16" s="8"/>
      <c r="O16" s="8"/>
      <c r="P16" s="8"/>
      <c r="Q16" s="8"/>
      <c r="R16" s="8"/>
      <c r="S16" s="8"/>
      <c r="T16" s="8"/>
      <c r="U16" s="8"/>
      <c r="V16" s="8">
        <v>31.56</v>
      </c>
      <c r="W16" s="8"/>
      <c r="X16" s="8"/>
      <c r="Y16" s="8"/>
      <c r="Z16" s="9"/>
    </row>
    <row r="17" spans="1:27" ht="14.25" customHeight="1">
      <c r="A17" s="6" t="s">
        <v>47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>
        <v>22.5</v>
      </c>
      <c r="M17" s="8"/>
      <c r="N17" s="8"/>
      <c r="O17" s="8"/>
      <c r="P17" s="8"/>
      <c r="Q17" s="8"/>
      <c r="R17" s="8"/>
      <c r="S17" s="8"/>
      <c r="T17" s="8"/>
      <c r="U17" s="8"/>
      <c r="V17" s="8">
        <v>22.5</v>
      </c>
      <c r="W17" s="8"/>
      <c r="X17" s="8"/>
      <c r="Y17" s="8"/>
      <c r="Z17" s="9"/>
    </row>
    <row r="18" spans="1:27" ht="14.25" customHeight="1">
      <c r="A18" s="6" t="s">
        <v>18</v>
      </c>
      <c r="B18" s="7">
        <f>'W7 DIESEL 120K'!U17</f>
        <v>3.5</v>
      </c>
      <c r="C18" s="8">
        <v>3.5</v>
      </c>
      <c r="D18" s="8">
        <v>3.5</v>
      </c>
      <c r="E18" s="8">
        <v>3.5</v>
      </c>
      <c r="F18" s="8">
        <v>3.5</v>
      </c>
      <c r="G18" s="8">
        <v>3.5</v>
      </c>
      <c r="H18" s="8">
        <v>3.5</v>
      </c>
      <c r="I18" s="8">
        <v>3.5</v>
      </c>
      <c r="J18" s="8">
        <v>3.5</v>
      </c>
      <c r="K18" s="8">
        <v>3.5</v>
      </c>
      <c r="L18" s="8">
        <v>3.5</v>
      </c>
      <c r="M18" s="8">
        <v>3.5</v>
      </c>
      <c r="N18" s="8">
        <v>3.5</v>
      </c>
      <c r="O18" s="8">
        <v>3.5</v>
      </c>
      <c r="P18" s="8">
        <v>3.5</v>
      </c>
      <c r="Q18" s="8">
        <v>3.5</v>
      </c>
      <c r="R18" s="8">
        <v>3.5</v>
      </c>
      <c r="S18" s="8">
        <v>3.5</v>
      </c>
      <c r="T18" s="8">
        <v>3.5</v>
      </c>
      <c r="U18" s="8">
        <v>3.5</v>
      </c>
      <c r="V18" s="8">
        <v>3.5</v>
      </c>
      <c r="W18" s="8">
        <v>3.5</v>
      </c>
      <c r="X18" s="8">
        <v>3.5</v>
      </c>
      <c r="Y18" s="8">
        <v>3.5</v>
      </c>
      <c r="Z18" s="9">
        <v>3.5</v>
      </c>
    </row>
    <row r="19" spans="1:27" ht="14.25" customHeight="1">
      <c r="A19" s="6" t="s">
        <v>19</v>
      </c>
      <c r="B19" s="7">
        <f>'W7 DIESEL 120K'!U18</f>
        <v>0</v>
      </c>
      <c r="C19" s="8"/>
      <c r="D19" s="8"/>
      <c r="E19" s="8"/>
      <c r="F19" s="8"/>
      <c r="G19" s="8"/>
      <c r="H19" s="8"/>
      <c r="I19" s="8"/>
      <c r="J19" s="8"/>
      <c r="K19" s="8"/>
      <c r="L19" s="8">
        <v>7.33</v>
      </c>
      <c r="M19" s="8"/>
      <c r="N19" s="8"/>
      <c r="O19" s="8"/>
      <c r="P19" s="8"/>
      <c r="Q19" s="8"/>
      <c r="R19" s="8"/>
      <c r="S19" s="8"/>
      <c r="T19" s="8"/>
      <c r="U19" s="8"/>
      <c r="V19" s="8">
        <v>7.33</v>
      </c>
      <c r="W19" s="8"/>
      <c r="X19" s="8"/>
      <c r="Y19" s="8"/>
      <c r="Z19" s="9"/>
    </row>
    <row r="20" spans="1:27" ht="14.25" customHeight="1">
      <c r="A20" s="159" t="s">
        <v>20</v>
      </c>
      <c r="B20" s="7">
        <f>'W7 DIESEL 120K'!U19</f>
        <v>0</v>
      </c>
      <c r="C20" s="8"/>
      <c r="D20" s="8"/>
      <c r="E20" s="8"/>
      <c r="F20" s="8"/>
      <c r="G20" s="8"/>
      <c r="H20" s="8">
        <v>12</v>
      </c>
      <c r="I20" s="8"/>
      <c r="J20" s="8"/>
      <c r="K20" s="8"/>
      <c r="L20" s="8"/>
      <c r="M20" s="8"/>
      <c r="N20" s="8">
        <v>12</v>
      </c>
      <c r="O20" s="8"/>
      <c r="P20" s="8"/>
      <c r="Q20" s="8"/>
      <c r="R20" s="8"/>
      <c r="S20" s="8"/>
      <c r="T20" s="8">
        <v>12</v>
      </c>
      <c r="U20" s="8"/>
      <c r="V20" s="8"/>
      <c r="W20" s="8"/>
      <c r="X20" s="8"/>
      <c r="Y20" s="8"/>
      <c r="Z20" s="9"/>
    </row>
    <row r="21" spans="1:27" ht="14.25" customHeight="1">
      <c r="A21" s="20" t="s">
        <v>55</v>
      </c>
      <c r="B21" s="136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>
        <v>26.6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8"/>
    </row>
    <row r="22" spans="1:27" ht="14.25" customHeight="1">
      <c r="A22" s="24" t="s">
        <v>21</v>
      </c>
      <c r="B22" s="25">
        <f>B4+B5+B6+B7+B9+B10+B11+B12+B13+B15+B18+B8</f>
        <v>33.56</v>
      </c>
      <c r="C22" s="26">
        <f t="shared" ref="C22:Z22" si="0">C4+C5+C6+C7+C9+C10+C11+C12+C13+C15+C18+C8+C21</f>
        <v>33.56</v>
      </c>
      <c r="D22" s="26">
        <f t="shared" si="0"/>
        <v>122.47000000000001</v>
      </c>
      <c r="E22" s="26">
        <f t="shared" si="0"/>
        <v>33.56</v>
      </c>
      <c r="F22" s="26">
        <f t="shared" si="0"/>
        <v>122.47000000000001</v>
      </c>
      <c r="G22" s="26">
        <f t="shared" si="0"/>
        <v>33.56</v>
      </c>
      <c r="H22" s="26">
        <f t="shared" si="0"/>
        <v>122.47000000000001</v>
      </c>
      <c r="I22" s="26">
        <f t="shared" si="0"/>
        <v>33.56</v>
      </c>
      <c r="J22" s="26">
        <f t="shared" si="0"/>
        <v>122.47000000000001</v>
      </c>
      <c r="K22" s="26">
        <f t="shared" si="0"/>
        <v>33.56</v>
      </c>
      <c r="L22" s="26">
        <f t="shared" si="0"/>
        <v>122.47000000000001</v>
      </c>
      <c r="M22" s="26">
        <f t="shared" si="0"/>
        <v>33.56</v>
      </c>
      <c r="N22" s="26">
        <f t="shared" si="0"/>
        <v>122.47000000000001</v>
      </c>
      <c r="O22" s="26">
        <f t="shared" si="0"/>
        <v>33.56</v>
      </c>
      <c r="P22" s="26">
        <f t="shared" si="0"/>
        <v>149.07000000000002</v>
      </c>
      <c r="Q22" s="26">
        <f t="shared" si="0"/>
        <v>33.56</v>
      </c>
      <c r="R22" s="26">
        <f t="shared" si="0"/>
        <v>122.47000000000001</v>
      </c>
      <c r="S22" s="26">
        <f t="shared" si="0"/>
        <v>33.56</v>
      </c>
      <c r="T22" s="26">
        <f t="shared" si="0"/>
        <v>122.47000000000001</v>
      </c>
      <c r="U22" s="26">
        <f t="shared" si="0"/>
        <v>33.56</v>
      </c>
      <c r="V22" s="26">
        <f t="shared" si="0"/>
        <v>280.44</v>
      </c>
      <c r="W22" s="26">
        <f t="shared" si="0"/>
        <v>33.56</v>
      </c>
      <c r="X22" s="26">
        <f t="shared" si="0"/>
        <v>122.47000000000001</v>
      </c>
      <c r="Y22" s="26">
        <f t="shared" si="0"/>
        <v>33.56</v>
      </c>
      <c r="Z22" s="27">
        <f t="shared" si="0"/>
        <v>122.47000000000001</v>
      </c>
      <c r="AA22" s="12">
        <f t="shared" ref="AA22:AA23" si="1">SUM(C22:Z22)</f>
        <v>2056.9299999999998</v>
      </c>
    </row>
    <row r="23" spans="1:27" ht="14.25" customHeight="1">
      <c r="A23" s="28" t="s">
        <v>22</v>
      </c>
      <c r="B23" s="25">
        <f>'W7 DIESEL 120K'!U21</f>
        <v>14.78</v>
      </c>
      <c r="C23" s="29">
        <v>19.399999999999999</v>
      </c>
      <c r="D23" s="29">
        <v>157</v>
      </c>
      <c r="E23" s="29">
        <v>14.11</v>
      </c>
      <c r="F23" s="29">
        <v>181.69</v>
      </c>
      <c r="G23" s="29">
        <v>14.11</v>
      </c>
      <c r="H23" s="29">
        <v>175.34</v>
      </c>
      <c r="I23" s="29">
        <v>14.11</v>
      </c>
      <c r="J23" s="29">
        <v>213.44</v>
      </c>
      <c r="K23" s="29">
        <v>14.11</v>
      </c>
      <c r="L23" s="29">
        <v>169.34</v>
      </c>
      <c r="M23" s="29">
        <v>14.11</v>
      </c>
      <c r="N23" s="29">
        <v>196.51</v>
      </c>
      <c r="O23" s="29">
        <v>14.11</v>
      </c>
      <c r="P23" s="29">
        <v>148.18</v>
      </c>
      <c r="Q23" s="29">
        <v>14.11</v>
      </c>
      <c r="R23" s="29">
        <v>181.69</v>
      </c>
      <c r="S23" s="29">
        <v>14.11</v>
      </c>
      <c r="T23" s="29">
        <v>178.87</v>
      </c>
      <c r="U23" s="29">
        <v>14.11</v>
      </c>
      <c r="V23" s="29">
        <v>313.99</v>
      </c>
      <c r="W23" s="29">
        <v>19.399999999999999</v>
      </c>
      <c r="X23" s="29">
        <v>157</v>
      </c>
      <c r="Y23" s="29">
        <v>14.11</v>
      </c>
      <c r="Z23" s="30">
        <v>181.69</v>
      </c>
      <c r="AA23" s="12">
        <f t="shared" si="1"/>
        <v>2434.64</v>
      </c>
    </row>
    <row r="24" spans="1:27" ht="14.25" customHeight="1">
      <c r="A24" s="31" t="s">
        <v>23</v>
      </c>
      <c r="B24" s="32">
        <v>0</v>
      </c>
      <c r="C24" s="33"/>
      <c r="D24" s="33">
        <v>17.16</v>
      </c>
      <c r="E24" s="33"/>
      <c r="F24" s="33">
        <v>17.16</v>
      </c>
      <c r="G24" s="33"/>
      <c r="H24" s="33">
        <v>17.16</v>
      </c>
      <c r="I24" s="33"/>
      <c r="J24" s="33">
        <v>17.16</v>
      </c>
      <c r="K24" s="33"/>
      <c r="L24" s="33">
        <v>17.16</v>
      </c>
      <c r="M24" s="33"/>
      <c r="N24" s="33">
        <v>17.16</v>
      </c>
      <c r="O24" s="33"/>
      <c r="P24" s="33">
        <v>17.16</v>
      </c>
      <c r="Q24" s="33"/>
      <c r="R24" s="33">
        <v>17.16</v>
      </c>
      <c r="S24" s="33"/>
      <c r="T24" s="33">
        <v>17.16</v>
      </c>
      <c r="U24" s="33"/>
      <c r="V24" s="33">
        <v>17.16</v>
      </c>
      <c r="W24" s="33"/>
      <c r="X24" s="33">
        <v>17.16</v>
      </c>
      <c r="Y24" s="33"/>
      <c r="Z24" s="34">
        <v>17.16</v>
      </c>
    </row>
    <row r="25" spans="1:27" ht="14.25" customHeight="1">
      <c r="A25" s="6" t="s">
        <v>24</v>
      </c>
      <c r="B25" s="7"/>
      <c r="C25" s="8"/>
      <c r="D25" s="8">
        <v>15.84</v>
      </c>
      <c r="E25" s="8"/>
      <c r="F25" s="8">
        <v>15.84</v>
      </c>
      <c r="G25" s="8"/>
      <c r="H25" s="8">
        <v>15.84</v>
      </c>
      <c r="I25" s="8"/>
      <c r="J25" s="8">
        <v>15.84</v>
      </c>
      <c r="K25" s="8"/>
      <c r="L25" s="8">
        <v>15.84</v>
      </c>
      <c r="M25" s="8"/>
      <c r="N25" s="8">
        <v>15.84</v>
      </c>
      <c r="O25" s="8"/>
      <c r="P25" s="8">
        <v>15.84</v>
      </c>
      <c r="Q25" s="8"/>
      <c r="R25" s="8">
        <v>15.84</v>
      </c>
      <c r="S25" s="8"/>
      <c r="T25" s="8">
        <v>15.84</v>
      </c>
      <c r="U25" s="8"/>
      <c r="V25" s="8">
        <v>15.84</v>
      </c>
      <c r="W25" s="8"/>
      <c r="X25" s="8">
        <v>15.84</v>
      </c>
      <c r="Y25" s="8"/>
      <c r="Z25" s="9">
        <v>15.84</v>
      </c>
    </row>
    <row r="26" spans="1:27" ht="14.25" customHeight="1">
      <c r="A26" s="36" t="s">
        <v>25</v>
      </c>
      <c r="B26" s="136">
        <v>0</v>
      </c>
      <c r="C26" s="137"/>
      <c r="D26" s="137">
        <v>16.5</v>
      </c>
      <c r="E26" s="137"/>
      <c r="F26" s="137">
        <v>16.5</v>
      </c>
      <c r="G26" s="137"/>
      <c r="H26" s="137">
        <v>16.5</v>
      </c>
      <c r="I26" s="137"/>
      <c r="J26" s="137">
        <v>16.5</v>
      </c>
      <c r="K26" s="137"/>
      <c r="L26" s="137">
        <v>16.5</v>
      </c>
      <c r="M26" s="137"/>
      <c r="N26" s="137">
        <v>16.5</v>
      </c>
      <c r="O26" s="137"/>
      <c r="P26" s="137">
        <v>16.5</v>
      </c>
      <c r="Q26" s="137"/>
      <c r="R26" s="137">
        <v>16.5</v>
      </c>
      <c r="S26" s="137"/>
      <c r="T26" s="137">
        <v>16.5</v>
      </c>
      <c r="U26" s="137"/>
      <c r="V26" s="137">
        <v>16.5</v>
      </c>
      <c r="W26" s="137"/>
      <c r="X26" s="137">
        <v>16.5</v>
      </c>
      <c r="Y26" s="137"/>
      <c r="Z26" s="138">
        <v>16.5</v>
      </c>
    </row>
    <row r="27" spans="1:27" ht="14.25" customHeight="1">
      <c r="A27" s="160" t="s">
        <v>28</v>
      </c>
      <c r="B27" s="161" t="e">
        <f>B3+B14+B16+#REF!+B19+B20</f>
        <v>#REF!</v>
      </c>
      <c r="C27" s="162">
        <f>C3+C14+C16+C19+C20</f>
        <v>40.98</v>
      </c>
      <c r="D27" s="162">
        <f t="shared" ref="D27:Z27" si="2">D3+D14+D16+D19+D20+D17</f>
        <v>40.98</v>
      </c>
      <c r="E27" s="162">
        <f t="shared" si="2"/>
        <v>40.98</v>
      </c>
      <c r="F27" s="162">
        <f t="shared" si="2"/>
        <v>40.98</v>
      </c>
      <c r="G27" s="162">
        <f t="shared" si="2"/>
        <v>40.98</v>
      </c>
      <c r="H27" s="162">
        <f t="shared" si="2"/>
        <v>52.98</v>
      </c>
      <c r="I27" s="162">
        <f t="shared" si="2"/>
        <v>40.98</v>
      </c>
      <c r="J27" s="162">
        <f t="shared" si="2"/>
        <v>40.98</v>
      </c>
      <c r="K27" s="162">
        <f t="shared" si="2"/>
        <v>40.98</v>
      </c>
      <c r="L27" s="162">
        <f t="shared" si="2"/>
        <v>102.36999999999999</v>
      </c>
      <c r="M27" s="162">
        <f t="shared" si="2"/>
        <v>40.98</v>
      </c>
      <c r="N27" s="162">
        <f t="shared" si="2"/>
        <v>52.98</v>
      </c>
      <c r="O27" s="162">
        <f t="shared" si="2"/>
        <v>40.98</v>
      </c>
      <c r="P27" s="162">
        <f t="shared" si="2"/>
        <v>40.98</v>
      </c>
      <c r="Q27" s="162">
        <f t="shared" si="2"/>
        <v>40.98</v>
      </c>
      <c r="R27" s="162">
        <f t="shared" si="2"/>
        <v>40.98</v>
      </c>
      <c r="S27" s="162">
        <f t="shared" si="2"/>
        <v>40.98</v>
      </c>
      <c r="T27" s="162">
        <f t="shared" si="2"/>
        <v>52.98</v>
      </c>
      <c r="U27" s="162">
        <f t="shared" si="2"/>
        <v>40.98</v>
      </c>
      <c r="V27" s="162">
        <f t="shared" si="2"/>
        <v>102.36999999999999</v>
      </c>
      <c r="W27" s="162">
        <f t="shared" si="2"/>
        <v>40.98</v>
      </c>
      <c r="X27" s="162">
        <f t="shared" si="2"/>
        <v>40.98</v>
      </c>
      <c r="Y27" s="162">
        <f t="shared" si="2"/>
        <v>40.98</v>
      </c>
      <c r="Z27" s="163">
        <f t="shared" si="2"/>
        <v>40.98</v>
      </c>
      <c r="AA27" s="12">
        <f>SUM(C27:Z27)</f>
        <v>1142.3000000000002</v>
      </c>
    </row>
    <row r="28" spans="1:27" ht="14.25" customHeight="1">
      <c r="A28" s="140" t="s">
        <v>201</v>
      </c>
      <c r="B28" s="153"/>
      <c r="C28" s="154">
        <f t="shared" ref="C28:Z28" si="3">C22+C23+C27</f>
        <v>93.94</v>
      </c>
      <c r="D28" s="154">
        <f t="shared" si="3"/>
        <v>320.45000000000005</v>
      </c>
      <c r="E28" s="154">
        <f t="shared" si="3"/>
        <v>88.65</v>
      </c>
      <c r="F28" s="154">
        <f t="shared" si="3"/>
        <v>345.14000000000004</v>
      </c>
      <c r="G28" s="154">
        <f t="shared" si="3"/>
        <v>88.65</v>
      </c>
      <c r="H28" s="154">
        <f t="shared" si="3"/>
        <v>350.79</v>
      </c>
      <c r="I28" s="154">
        <f t="shared" si="3"/>
        <v>88.65</v>
      </c>
      <c r="J28" s="154">
        <f t="shared" si="3"/>
        <v>376.89000000000004</v>
      </c>
      <c r="K28" s="154">
        <f t="shared" si="3"/>
        <v>88.65</v>
      </c>
      <c r="L28" s="154">
        <f t="shared" si="3"/>
        <v>394.18</v>
      </c>
      <c r="M28" s="154">
        <f t="shared" si="3"/>
        <v>88.65</v>
      </c>
      <c r="N28" s="154">
        <f t="shared" si="3"/>
        <v>371.96000000000004</v>
      </c>
      <c r="O28" s="154">
        <f t="shared" si="3"/>
        <v>88.65</v>
      </c>
      <c r="P28" s="154">
        <f t="shared" si="3"/>
        <v>338.23</v>
      </c>
      <c r="Q28" s="154">
        <f t="shared" si="3"/>
        <v>88.65</v>
      </c>
      <c r="R28" s="154">
        <f t="shared" si="3"/>
        <v>345.14000000000004</v>
      </c>
      <c r="S28" s="154">
        <f t="shared" si="3"/>
        <v>88.65</v>
      </c>
      <c r="T28" s="154">
        <f t="shared" si="3"/>
        <v>354.32000000000005</v>
      </c>
      <c r="U28" s="154">
        <f t="shared" si="3"/>
        <v>88.65</v>
      </c>
      <c r="V28" s="154">
        <f t="shared" si="3"/>
        <v>696.80000000000007</v>
      </c>
      <c r="W28" s="154">
        <f t="shared" si="3"/>
        <v>93.94</v>
      </c>
      <c r="X28" s="154">
        <f t="shared" si="3"/>
        <v>320.45000000000005</v>
      </c>
      <c r="Y28" s="154">
        <f t="shared" si="3"/>
        <v>88.65</v>
      </c>
      <c r="Z28" s="155">
        <f t="shared" si="3"/>
        <v>345.14000000000004</v>
      </c>
      <c r="AA28" s="54"/>
    </row>
    <row r="29" spans="1:27" ht="14.25" customHeight="1"/>
    <row r="30" spans="1:27" ht="14.25" customHeight="1"/>
    <row r="31" spans="1:27" ht="14.25" customHeight="1"/>
    <row r="32" spans="1:2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Z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T1000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44140625" defaultRowHeight="15" customHeight="1"/>
  <cols>
    <col min="1" max="1" width="56.88671875" customWidth="1"/>
    <col min="2" max="2" width="10.6640625" customWidth="1"/>
    <col min="3" max="3" width="12.33203125" customWidth="1"/>
    <col min="4" max="4" width="10.6640625" customWidth="1"/>
    <col min="5" max="5" width="12.33203125" customWidth="1"/>
    <col min="6" max="6" width="10.6640625" customWidth="1"/>
    <col min="7" max="7" width="12.33203125" customWidth="1"/>
    <col min="8" max="8" width="10.6640625" customWidth="1"/>
    <col min="9" max="9" width="12.33203125" customWidth="1"/>
    <col min="10" max="10" width="10.6640625" customWidth="1"/>
    <col min="11" max="11" width="12.33203125" customWidth="1"/>
    <col min="12" max="12" width="10.6640625" customWidth="1"/>
    <col min="13" max="13" width="12.33203125" customWidth="1"/>
    <col min="14" max="14" width="10.6640625" customWidth="1"/>
    <col min="15" max="15" width="12.33203125" customWidth="1"/>
    <col min="16" max="16" width="10.6640625" customWidth="1"/>
    <col min="17" max="17" width="12.33203125" customWidth="1"/>
    <col min="18" max="18" width="10.6640625" customWidth="1"/>
    <col min="19" max="19" width="12.33203125" customWidth="1"/>
    <col min="20" max="20" width="10.6640625" customWidth="1"/>
    <col min="21" max="21" width="12.33203125" customWidth="1"/>
    <col min="22" max="22" width="11.5546875" customWidth="1"/>
    <col min="23" max="23" width="12.33203125" customWidth="1"/>
    <col min="24" max="24" width="11.5546875" customWidth="1"/>
    <col min="25" max="25" width="12.33203125" customWidth="1"/>
    <col min="26" max="26" width="13.88671875" customWidth="1"/>
    <col min="27" max="35" width="12.33203125" customWidth="1"/>
    <col min="36" max="36" width="13.88671875" customWidth="1"/>
    <col min="37" max="50" width="12.33203125" customWidth="1"/>
    <col min="51" max="51" width="13.88671875" customWidth="1"/>
    <col min="52" max="52" width="12.6640625" customWidth="1"/>
    <col min="53" max="72" width="10.6640625" customWidth="1"/>
  </cols>
  <sheetData>
    <row r="1" spans="1:72" ht="14.25" customHeight="1">
      <c r="A1" s="223" t="s">
        <v>195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5"/>
    </row>
    <row r="2" spans="1:72" ht="14.25" customHeight="1">
      <c r="A2" s="73" t="s">
        <v>0</v>
      </c>
      <c r="B2" s="74">
        <v>5000</v>
      </c>
      <c r="C2" s="74">
        <v>10000</v>
      </c>
      <c r="D2" s="74">
        <v>15000</v>
      </c>
      <c r="E2" s="74">
        <v>20000</v>
      </c>
      <c r="F2" s="74">
        <v>25000</v>
      </c>
      <c r="G2" s="74">
        <v>30000</v>
      </c>
      <c r="H2" s="74">
        <v>35000</v>
      </c>
      <c r="I2" s="74">
        <v>40000</v>
      </c>
      <c r="J2" s="74">
        <v>45000</v>
      </c>
      <c r="K2" s="74">
        <v>50000</v>
      </c>
      <c r="L2" s="74">
        <v>55000</v>
      </c>
      <c r="M2" s="74">
        <v>60000</v>
      </c>
      <c r="N2" s="74">
        <v>65000</v>
      </c>
      <c r="O2" s="74">
        <v>70000</v>
      </c>
      <c r="P2" s="74">
        <v>75000</v>
      </c>
      <c r="Q2" s="74">
        <v>80000</v>
      </c>
      <c r="R2" s="74">
        <v>85000</v>
      </c>
      <c r="S2" s="74">
        <v>90000</v>
      </c>
      <c r="T2" s="74">
        <v>95000</v>
      </c>
      <c r="U2" s="74">
        <v>100000</v>
      </c>
      <c r="V2" s="74">
        <v>105000</v>
      </c>
      <c r="W2" s="74">
        <v>110000</v>
      </c>
      <c r="X2" s="74">
        <v>115000</v>
      </c>
      <c r="Y2" s="74">
        <v>120000</v>
      </c>
      <c r="Z2" s="74">
        <v>125000</v>
      </c>
      <c r="AA2" s="74">
        <v>130000</v>
      </c>
      <c r="AB2" s="74">
        <v>135000</v>
      </c>
      <c r="AC2" s="74">
        <v>140000</v>
      </c>
      <c r="AD2" s="74">
        <v>145000</v>
      </c>
      <c r="AE2" s="74">
        <v>150000</v>
      </c>
      <c r="AF2" s="74">
        <v>155000</v>
      </c>
      <c r="AG2" s="74">
        <v>160000</v>
      </c>
      <c r="AH2" s="74">
        <v>165000</v>
      </c>
      <c r="AI2" s="74">
        <v>170000</v>
      </c>
      <c r="AJ2" s="74">
        <v>175000</v>
      </c>
      <c r="AK2" s="74">
        <v>180000</v>
      </c>
      <c r="AL2" s="74">
        <v>185000</v>
      </c>
      <c r="AM2" s="74">
        <v>190000</v>
      </c>
      <c r="AN2" s="74">
        <v>195000</v>
      </c>
      <c r="AO2" s="74">
        <v>200000</v>
      </c>
      <c r="AP2" s="74">
        <v>205000</v>
      </c>
      <c r="AQ2" s="74">
        <v>210000</v>
      </c>
      <c r="AR2" s="74">
        <v>215000</v>
      </c>
      <c r="AS2" s="74">
        <v>220000</v>
      </c>
      <c r="AT2" s="74">
        <v>225000</v>
      </c>
      <c r="AU2" s="74">
        <v>230000</v>
      </c>
      <c r="AV2" s="74">
        <v>235000</v>
      </c>
      <c r="AW2" s="74">
        <v>240000</v>
      </c>
      <c r="AX2" s="74">
        <v>245000</v>
      </c>
      <c r="AY2" s="74">
        <v>250000</v>
      </c>
    </row>
    <row r="3" spans="1:72" ht="21.75" customHeight="1">
      <c r="A3" s="6" t="s">
        <v>44</v>
      </c>
      <c r="B3" s="76">
        <v>43.98</v>
      </c>
      <c r="C3" s="76">
        <v>43.98</v>
      </c>
      <c r="D3" s="76">
        <v>43.98</v>
      </c>
      <c r="E3" s="76">
        <v>43.98</v>
      </c>
      <c r="F3" s="76">
        <v>43.98</v>
      </c>
      <c r="G3" s="76">
        <v>43.98</v>
      </c>
      <c r="H3" s="76">
        <v>43.98</v>
      </c>
      <c r="I3" s="76">
        <v>43.98</v>
      </c>
      <c r="J3" s="76">
        <v>43.98</v>
      </c>
      <c r="K3" s="76">
        <v>43.98</v>
      </c>
      <c r="L3" s="76">
        <v>43.98</v>
      </c>
      <c r="M3" s="76">
        <v>43.98</v>
      </c>
      <c r="N3" s="76">
        <v>43.98</v>
      </c>
      <c r="O3" s="76">
        <v>43.98</v>
      </c>
      <c r="P3" s="76">
        <v>43.98</v>
      </c>
      <c r="Q3" s="76">
        <v>43.98</v>
      </c>
      <c r="R3" s="76">
        <v>43.98</v>
      </c>
      <c r="S3" s="76">
        <v>43.98</v>
      </c>
      <c r="T3" s="76">
        <v>43.98</v>
      </c>
      <c r="U3" s="76">
        <v>43.98</v>
      </c>
      <c r="V3" s="76">
        <v>43.98</v>
      </c>
      <c r="W3" s="76">
        <v>43.98</v>
      </c>
      <c r="X3" s="76">
        <v>43.98</v>
      </c>
      <c r="Y3" s="77">
        <v>43.98</v>
      </c>
      <c r="Z3" s="76">
        <v>43.98</v>
      </c>
      <c r="AA3" s="76">
        <v>43.98</v>
      </c>
      <c r="AB3" s="76">
        <v>43.98</v>
      </c>
      <c r="AC3" s="76">
        <v>43.98</v>
      </c>
      <c r="AD3" s="76">
        <v>43.98</v>
      </c>
      <c r="AE3" s="76">
        <v>43.98</v>
      </c>
      <c r="AF3" s="76">
        <v>43.98</v>
      </c>
      <c r="AG3" s="76">
        <v>43.98</v>
      </c>
      <c r="AH3" s="76">
        <v>43.98</v>
      </c>
      <c r="AI3" s="76">
        <v>43.98</v>
      </c>
      <c r="AJ3" s="76">
        <v>43.98</v>
      </c>
      <c r="AK3" s="76">
        <v>43.98</v>
      </c>
      <c r="AL3" s="76">
        <v>43.98</v>
      </c>
      <c r="AM3" s="76">
        <v>43.98</v>
      </c>
      <c r="AN3" s="76">
        <v>43.98</v>
      </c>
      <c r="AO3" s="76">
        <v>43.98</v>
      </c>
      <c r="AP3" s="76">
        <v>43.98</v>
      </c>
      <c r="AQ3" s="76">
        <v>43.98</v>
      </c>
      <c r="AR3" s="76">
        <v>43.98</v>
      </c>
      <c r="AS3" s="76">
        <v>43.98</v>
      </c>
      <c r="AT3" s="76">
        <v>43.98</v>
      </c>
      <c r="AU3" s="76">
        <v>43.98</v>
      </c>
      <c r="AV3" s="76">
        <v>43.98</v>
      </c>
      <c r="AW3" s="76">
        <v>43.98</v>
      </c>
      <c r="AX3" s="76">
        <v>43.98</v>
      </c>
      <c r="AY3" s="76">
        <v>43.98</v>
      </c>
    </row>
    <row r="4" spans="1:72" ht="14.25" customHeight="1">
      <c r="A4" s="6" t="s">
        <v>45</v>
      </c>
      <c r="B4" s="76"/>
      <c r="C4" s="76"/>
      <c r="D4" s="76"/>
      <c r="E4" s="76"/>
      <c r="F4" s="76"/>
      <c r="G4" s="76"/>
      <c r="H4" s="76"/>
      <c r="I4" s="76"/>
      <c r="J4" s="76"/>
      <c r="K4" s="76">
        <v>28.23</v>
      </c>
      <c r="L4" s="76"/>
      <c r="M4" s="76"/>
      <c r="N4" s="76"/>
      <c r="O4" s="76"/>
      <c r="P4" s="76"/>
      <c r="Q4" s="76"/>
      <c r="R4" s="76"/>
      <c r="S4" s="76"/>
      <c r="T4" s="76"/>
      <c r="U4" s="76">
        <v>28.23</v>
      </c>
      <c r="V4" s="76"/>
      <c r="W4" s="76"/>
      <c r="X4" s="76"/>
      <c r="Y4" s="77"/>
      <c r="Z4" s="76"/>
      <c r="AA4" s="76"/>
      <c r="AB4" s="76"/>
      <c r="AC4" s="76"/>
      <c r="AD4" s="76">
        <v>28.23</v>
      </c>
      <c r="AE4" s="76"/>
      <c r="AF4" s="76"/>
      <c r="AG4" s="76"/>
      <c r="AH4" s="76"/>
      <c r="AI4" s="76"/>
      <c r="AJ4" s="76"/>
      <c r="AK4" s="76">
        <v>28.23</v>
      </c>
      <c r="AL4" s="76"/>
      <c r="AM4" s="76"/>
      <c r="AN4" s="76"/>
      <c r="AO4" s="76"/>
      <c r="AP4" s="76"/>
      <c r="AQ4" s="76">
        <v>28.23</v>
      </c>
      <c r="AR4" s="76"/>
      <c r="AS4" s="76"/>
      <c r="AT4" s="76"/>
      <c r="AU4" s="76"/>
      <c r="AV4" s="76"/>
      <c r="AW4" s="76">
        <v>28.23</v>
      </c>
      <c r="AX4" s="76"/>
      <c r="AY4" s="76"/>
    </row>
    <row r="5" spans="1:72" ht="14.25" customHeight="1">
      <c r="A5" s="6" t="s">
        <v>46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7"/>
      <c r="Z5" s="76"/>
      <c r="AA5" s="76"/>
      <c r="AB5" s="76"/>
      <c r="AC5" s="76"/>
      <c r="AD5" s="76"/>
      <c r="AE5" s="76">
        <v>26.61</v>
      </c>
      <c r="AF5" s="76"/>
      <c r="AG5" s="76"/>
      <c r="AH5" s="76"/>
      <c r="AI5" s="76"/>
      <c r="AJ5" s="76"/>
      <c r="AK5" s="76">
        <v>26.61</v>
      </c>
      <c r="AL5" s="76"/>
      <c r="AM5" s="76"/>
      <c r="AN5" s="76"/>
      <c r="AO5" s="76"/>
      <c r="AP5" s="76"/>
      <c r="AQ5" s="76">
        <v>26.61</v>
      </c>
      <c r="AR5" s="76"/>
      <c r="AS5" s="76"/>
      <c r="AT5" s="76"/>
      <c r="AU5" s="76"/>
      <c r="AV5" s="76"/>
      <c r="AW5" s="76">
        <v>26.61</v>
      </c>
      <c r="AX5" s="76"/>
      <c r="AY5" s="76">
        <v>26.61</v>
      </c>
    </row>
    <row r="6" spans="1:72" ht="14.25" customHeight="1">
      <c r="A6" s="6" t="s">
        <v>47</v>
      </c>
      <c r="B6" s="76"/>
      <c r="C6" s="76"/>
      <c r="D6" s="76"/>
      <c r="E6" s="76"/>
      <c r="F6" s="76"/>
      <c r="G6" s="76"/>
      <c r="H6" s="76"/>
      <c r="I6" s="76"/>
      <c r="J6" s="76"/>
      <c r="K6" s="76">
        <v>26.61</v>
      </c>
      <c r="L6" s="76"/>
      <c r="M6" s="76"/>
      <c r="N6" s="76"/>
      <c r="O6" s="76"/>
      <c r="P6" s="76"/>
      <c r="Q6" s="76"/>
      <c r="R6" s="76"/>
      <c r="S6" s="76"/>
      <c r="T6" s="76"/>
      <c r="U6" s="76">
        <v>26.61</v>
      </c>
      <c r="V6" s="76"/>
      <c r="W6" s="76"/>
      <c r="X6" s="76"/>
      <c r="Y6" s="77"/>
      <c r="Z6" s="76">
        <v>8.7100000000000009</v>
      </c>
      <c r="AA6" s="76"/>
      <c r="AB6" s="76"/>
      <c r="AC6" s="76"/>
      <c r="AD6" s="76"/>
      <c r="AE6" s="76">
        <v>8.7100000000000009</v>
      </c>
      <c r="AF6" s="76"/>
      <c r="AG6" s="76"/>
      <c r="AH6" s="76"/>
      <c r="AI6" s="76"/>
      <c r="AJ6" s="76"/>
      <c r="AK6" s="76"/>
      <c r="AL6" s="76"/>
      <c r="AM6" s="76"/>
      <c r="AN6" s="76"/>
      <c r="AO6" s="76">
        <v>8.7100000000000009</v>
      </c>
      <c r="AP6" s="76"/>
      <c r="AQ6" s="76"/>
      <c r="AR6" s="76"/>
      <c r="AS6" s="76"/>
      <c r="AT6" s="76"/>
      <c r="AU6" s="76"/>
      <c r="AV6" s="76"/>
      <c r="AW6" s="76"/>
      <c r="AX6" s="76"/>
      <c r="AY6" s="76">
        <v>8.7100000000000009</v>
      </c>
    </row>
    <row r="7" spans="1:72" ht="14.25" customHeight="1">
      <c r="A7" s="6" t="s">
        <v>48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7"/>
      <c r="Z7" s="76">
        <v>35.44</v>
      </c>
      <c r="AA7" s="76"/>
      <c r="AB7" s="76"/>
      <c r="AC7" s="76"/>
      <c r="AD7" s="76"/>
      <c r="AE7" s="76">
        <v>35.44</v>
      </c>
      <c r="AF7" s="76"/>
      <c r="AG7" s="76"/>
      <c r="AH7" s="76"/>
      <c r="AI7" s="76"/>
      <c r="AJ7" s="76">
        <v>35.44</v>
      </c>
      <c r="AK7" s="76"/>
      <c r="AL7" s="76"/>
      <c r="AM7" s="76"/>
      <c r="AN7" s="76"/>
      <c r="AO7" s="76">
        <v>35.44</v>
      </c>
      <c r="AP7" s="76"/>
      <c r="AQ7" s="76"/>
      <c r="AR7" s="76"/>
      <c r="AS7" s="76"/>
      <c r="AT7" s="76"/>
      <c r="AU7" s="76"/>
      <c r="AV7" s="76"/>
      <c r="AW7" s="76"/>
      <c r="AX7" s="76"/>
      <c r="AY7" s="76">
        <v>35.44</v>
      </c>
    </row>
    <row r="8" spans="1:72" ht="14.25" customHeight="1">
      <c r="A8" s="6" t="s">
        <v>19</v>
      </c>
      <c r="B8" s="76"/>
      <c r="C8" s="76"/>
      <c r="D8" s="76"/>
      <c r="E8" s="76"/>
      <c r="F8" s="76"/>
      <c r="G8" s="76"/>
      <c r="H8" s="76"/>
      <c r="I8" s="76"/>
      <c r="J8" s="76"/>
      <c r="K8" s="76">
        <v>8.7100000000000009</v>
      </c>
      <c r="L8" s="76"/>
      <c r="M8" s="76"/>
      <c r="N8" s="76"/>
      <c r="O8" s="76"/>
      <c r="P8" s="76"/>
      <c r="Q8" s="76"/>
      <c r="R8" s="76"/>
      <c r="S8" s="76"/>
      <c r="T8" s="76"/>
      <c r="U8" s="76">
        <v>8.7100000000000009</v>
      </c>
      <c r="V8" s="76"/>
      <c r="W8" s="76"/>
      <c r="X8" s="76"/>
      <c r="Y8" s="77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</row>
    <row r="9" spans="1:72" ht="14.25" customHeight="1">
      <c r="A9" s="36" t="s">
        <v>49</v>
      </c>
      <c r="B9" s="79"/>
      <c r="C9" s="79"/>
      <c r="D9" s="79"/>
      <c r="E9" s="79"/>
      <c r="F9" s="79"/>
      <c r="G9" s="79"/>
      <c r="H9" s="79"/>
      <c r="I9" s="79"/>
      <c r="J9" s="79"/>
      <c r="K9" s="79">
        <v>35.44</v>
      </c>
      <c r="L9" s="79"/>
      <c r="M9" s="79"/>
      <c r="N9" s="79"/>
      <c r="O9" s="79"/>
      <c r="P9" s="79"/>
      <c r="Q9" s="79"/>
      <c r="R9" s="79"/>
      <c r="S9" s="79"/>
      <c r="T9" s="79"/>
      <c r="U9" s="79">
        <v>35.44</v>
      </c>
      <c r="V9" s="79"/>
      <c r="W9" s="79"/>
      <c r="X9" s="79"/>
      <c r="Y9" s="80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</row>
    <row r="10" spans="1:72" ht="14.25" customHeight="1">
      <c r="A10" s="20" t="s">
        <v>20</v>
      </c>
      <c r="B10" s="79"/>
      <c r="C10" s="79"/>
      <c r="D10" s="79"/>
      <c r="E10" s="79"/>
      <c r="F10" s="79"/>
      <c r="G10" s="79">
        <v>18</v>
      </c>
      <c r="H10" s="79"/>
      <c r="I10" s="79"/>
      <c r="J10" s="79"/>
      <c r="K10" s="79"/>
      <c r="L10" s="79"/>
      <c r="M10" s="79">
        <v>18</v>
      </c>
      <c r="N10" s="79"/>
      <c r="O10" s="79"/>
      <c r="P10" s="79"/>
      <c r="Q10" s="79"/>
      <c r="R10" s="79"/>
      <c r="S10" s="79">
        <v>18</v>
      </c>
      <c r="T10" s="79"/>
      <c r="U10" s="79"/>
      <c r="V10" s="79"/>
      <c r="W10" s="79"/>
      <c r="X10" s="79"/>
      <c r="Y10" s="80">
        <v>18</v>
      </c>
      <c r="Z10" s="76"/>
      <c r="AA10" s="76"/>
      <c r="AB10" s="76"/>
      <c r="AC10" s="76"/>
      <c r="AD10" s="76"/>
      <c r="AE10" s="76">
        <v>18</v>
      </c>
      <c r="AF10" s="76"/>
      <c r="AG10" s="76"/>
      <c r="AH10" s="76"/>
      <c r="AI10" s="76"/>
      <c r="AJ10" s="76"/>
      <c r="AK10" s="76">
        <v>18</v>
      </c>
      <c r="AL10" s="76"/>
      <c r="AM10" s="76"/>
      <c r="AN10" s="76"/>
      <c r="AO10" s="76"/>
      <c r="AP10" s="76"/>
      <c r="AQ10" s="76">
        <v>18</v>
      </c>
      <c r="AR10" s="76"/>
      <c r="AS10" s="76"/>
      <c r="AT10" s="76"/>
      <c r="AU10" s="76"/>
      <c r="AV10" s="76"/>
      <c r="AW10" s="76">
        <v>18</v>
      </c>
      <c r="AX10" s="76"/>
      <c r="AY10" s="76"/>
    </row>
    <row r="11" spans="1:72" ht="14.25" customHeight="1">
      <c r="A11" s="81" t="s">
        <v>51</v>
      </c>
      <c r="B11" s="86">
        <f t="shared" ref="B11:AY11" si="0">SUM(B3:B10)</f>
        <v>43.98</v>
      </c>
      <c r="C11" s="86">
        <f t="shared" si="0"/>
        <v>43.98</v>
      </c>
      <c r="D11" s="86">
        <f t="shared" si="0"/>
        <v>43.98</v>
      </c>
      <c r="E11" s="86">
        <f t="shared" si="0"/>
        <v>43.98</v>
      </c>
      <c r="F11" s="86">
        <f t="shared" si="0"/>
        <v>43.98</v>
      </c>
      <c r="G11" s="86">
        <f t="shared" si="0"/>
        <v>61.98</v>
      </c>
      <c r="H11" s="86">
        <f t="shared" si="0"/>
        <v>43.98</v>
      </c>
      <c r="I11" s="86">
        <f t="shared" si="0"/>
        <v>43.98</v>
      </c>
      <c r="J11" s="86">
        <f t="shared" si="0"/>
        <v>43.98</v>
      </c>
      <c r="K11" s="86">
        <f t="shared" si="0"/>
        <v>142.97</v>
      </c>
      <c r="L11" s="86">
        <f t="shared" si="0"/>
        <v>43.98</v>
      </c>
      <c r="M11" s="86">
        <f t="shared" si="0"/>
        <v>61.98</v>
      </c>
      <c r="N11" s="86">
        <f t="shared" si="0"/>
        <v>43.98</v>
      </c>
      <c r="O11" s="86">
        <f t="shared" si="0"/>
        <v>43.98</v>
      </c>
      <c r="P11" s="86">
        <f t="shared" si="0"/>
        <v>43.98</v>
      </c>
      <c r="Q11" s="86">
        <f t="shared" si="0"/>
        <v>43.98</v>
      </c>
      <c r="R11" s="86">
        <f t="shared" si="0"/>
        <v>43.98</v>
      </c>
      <c r="S11" s="86">
        <f t="shared" si="0"/>
        <v>61.98</v>
      </c>
      <c r="T11" s="86">
        <f t="shared" si="0"/>
        <v>43.98</v>
      </c>
      <c r="U11" s="86">
        <f t="shared" si="0"/>
        <v>142.97</v>
      </c>
      <c r="V11" s="86">
        <f t="shared" si="0"/>
        <v>43.98</v>
      </c>
      <c r="W11" s="86">
        <f t="shared" si="0"/>
        <v>43.98</v>
      </c>
      <c r="X11" s="86">
        <f t="shared" si="0"/>
        <v>43.98</v>
      </c>
      <c r="Y11" s="86">
        <f t="shared" si="0"/>
        <v>61.98</v>
      </c>
      <c r="Z11" s="86">
        <f t="shared" si="0"/>
        <v>88.13</v>
      </c>
      <c r="AA11" s="86">
        <f t="shared" si="0"/>
        <v>43.98</v>
      </c>
      <c r="AB11" s="86">
        <f t="shared" si="0"/>
        <v>43.98</v>
      </c>
      <c r="AC11" s="86">
        <f t="shared" si="0"/>
        <v>43.98</v>
      </c>
      <c r="AD11" s="86">
        <f t="shared" si="0"/>
        <v>72.209999999999994</v>
      </c>
      <c r="AE11" s="86">
        <f t="shared" si="0"/>
        <v>132.74</v>
      </c>
      <c r="AF11" s="86">
        <f t="shared" si="0"/>
        <v>43.98</v>
      </c>
      <c r="AG11" s="86">
        <f t="shared" si="0"/>
        <v>43.98</v>
      </c>
      <c r="AH11" s="86">
        <f t="shared" si="0"/>
        <v>43.98</v>
      </c>
      <c r="AI11" s="86">
        <f t="shared" si="0"/>
        <v>43.98</v>
      </c>
      <c r="AJ11" s="86">
        <f t="shared" si="0"/>
        <v>79.419999999999987</v>
      </c>
      <c r="AK11" s="86">
        <f t="shared" si="0"/>
        <v>116.82</v>
      </c>
      <c r="AL11" s="86">
        <f t="shared" si="0"/>
        <v>43.98</v>
      </c>
      <c r="AM11" s="86">
        <f t="shared" si="0"/>
        <v>43.98</v>
      </c>
      <c r="AN11" s="86">
        <f t="shared" si="0"/>
        <v>43.98</v>
      </c>
      <c r="AO11" s="86">
        <f t="shared" si="0"/>
        <v>88.13</v>
      </c>
      <c r="AP11" s="86">
        <f t="shared" si="0"/>
        <v>43.98</v>
      </c>
      <c r="AQ11" s="86">
        <f t="shared" si="0"/>
        <v>116.82</v>
      </c>
      <c r="AR11" s="86">
        <f t="shared" si="0"/>
        <v>43.98</v>
      </c>
      <c r="AS11" s="86">
        <f t="shared" si="0"/>
        <v>43.98</v>
      </c>
      <c r="AT11" s="86">
        <f t="shared" si="0"/>
        <v>43.98</v>
      </c>
      <c r="AU11" s="86">
        <f t="shared" si="0"/>
        <v>43.98</v>
      </c>
      <c r="AV11" s="86">
        <f t="shared" si="0"/>
        <v>43.98</v>
      </c>
      <c r="AW11" s="86">
        <f t="shared" si="0"/>
        <v>116.82</v>
      </c>
      <c r="AX11" s="86">
        <f t="shared" si="0"/>
        <v>43.98</v>
      </c>
      <c r="AY11" s="86">
        <f t="shared" si="0"/>
        <v>114.74000000000001</v>
      </c>
      <c r="AZ11" s="83">
        <f>SUM(B11:AY11)</f>
        <v>2998.9900000000007</v>
      </c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</row>
    <row r="12" spans="1:72" ht="14.25" customHeight="1">
      <c r="A12" s="93" t="s">
        <v>4</v>
      </c>
      <c r="B12" s="76">
        <f t="shared" ref="B12:AY12" si="1">7.07+1.5</f>
        <v>8.57</v>
      </c>
      <c r="C12" s="76">
        <f t="shared" si="1"/>
        <v>8.57</v>
      </c>
      <c r="D12" s="76">
        <f t="shared" si="1"/>
        <v>8.57</v>
      </c>
      <c r="E12" s="76">
        <f t="shared" si="1"/>
        <v>8.57</v>
      </c>
      <c r="F12" s="76">
        <f t="shared" si="1"/>
        <v>8.57</v>
      </c>
      <c r="G12" s="76">
        <f t="shared" si="1"/>
        <v>8.57</v>
      </c>
      <c r="H12" s="76">
        <f t="shared" si="1"/>
        <v>8.57</v>
      </c>
      <c r="I12" s="76">
        <f t="shared" si="1"/>
        <v>8.57</v>
      </c>
      <c r="J12" s="76">
        <f t="shared" si="1"/>
        <v>8.57</v>
      </c>
      <c r="K12" s="76">
        <f t="shared" si="1"/>
        <v>8.57</v>
      </c>
      <c r="L12" s="76">
        <f t="shared" si="1"/>
        <v>8.57</v>
      </c>
      <c r="M12" s="76">
        <f t="shared" si="1"/>
        <v>8.57</v>
      </c>
      <c r="N12" s="76">
        <f t="shared" si="1"/>
        <v>8.57</v>
      </c>
      <c r="O12" s="76">
        <f t="shared" si="1"/>
        <v>8.57</v>
      </c>
      <c r="P12" s="76">
        <f t="shared" si="1"/>
        <v>8.57</v>
      </c>
      <c r="Q12" s="76">
        <f t="shared" si="1"/>
        <v>8.57</v>
      </c>
      <c r="R12" s="76">
        <f t="shared" si="1"/>
        <v>8.57</v>
      </c>
      <c r="S12" s="76">
        <f t="shared" si="1"/>
        <v>8.57</v>
      </c>
      <c r="T12" s="76">
        <f t="shared" si="1"/>
        <v>8.57</v>
      </c>
      <c r="U12" s="76">
        <f t="shared" si="1"/>
        <v>8.57</v>
      </c>
      <c r="V12" s="76">
        <f t="shared" si="1"/>
        <v>8.57</v>
      </c>
      <c r="W12" s="76">
        <f t="shared" si="1"/>
        <v>8.57</v>
      </c>
      <c r="X12" s="76">
        <f t="shared" si="1"/>
        <v>8.57</v>
      </c>
      <c r="Y12" s="76">
        <f t="shared" si="1"/>
        <v>8.57</v>
      </c>
      <c r="Z12" s="76">
        <f t="shared" si="1"/>
        <v>8.57</v>
      </c>
      <c r="AA12" s="76">
        <f t="shared" si="1"/>
        <v>8.57</v>
      </c>
      <c r="AB12" s="76">
        <f t="shared" si="1"/>
        <v>8.57</v>
      </c>
      <c r="AC12" s="76">
        <f t="shared" si="1"/>
        <v>8.57</v>
      </c>
      <c r="AD12" s="76">
        <f t="shared" si="1"/>
        <v>8.57</v>
      </c>
      <c r="AE12" s="76">
        <f t="shared" si="1"/>
        <v>8.57</v>
      </c>
      <c r="AF12" s="76">
        <f t="shared" si="1"/>
        <v>8.57</v>
      </c>
      <c r="AG12" s="76">
        <f t="shared" si="1"/>
        <v>8.57</v>
      </c>
      <c r="AH12" s="76">
        <f t="shared" si="1"/>
        <v>8.57</v>
      </c>
      <c r="AI12" s="76">
        <f t="shared" si="1"/>
        <v>8.57</v>
      </c>
      <c r="AJ12" s="76">
        <f t="shared" si="1"/>
        <v>8.57</v>
      </c>
      <c r="AK12" s="76">
        <f t="shared" si="1"/>
        <v>8.57</v>
      </c>
      <c r="AL12" s="76">
        <f t="shared" si="1"/>
        <v>8.57</v>
      </c>
      <c r="AM12" s="76">
        <f t="shared" si="1"/>
        <v>8.57</v>
      </c>
      <c r="AN12" s="76">
        <f t="shared" si="1"/>
        <v>8.57</v>
      </c>
      <c r="AO12" s="76">
        <f t="shared" si="1"/>
        <v>8.57</v>
      </c>
      <c r="AP12" s="76">
        <f t="shared" si="1"/>
        <v>8.57</v>
      </c>
      <c r="AQ12" s="76">
        <f t="shared" si="1"/>
        <v>8.57</v>
      </c>
      <c r="AR12" s="76">
        <f t="shared" si="1"/>
        <v>8.57</v>
      </c>
      <c r="AS12" s="76">
        <f t="shared" si="1"/>
        <v>8.57</v>
      </c>
      <c r="AT12" s="76">
        <f t="shared" si="1"/>
        <v>8.57</v>
      </c>
      <c r="AU12" s="76">
        <f t="shared" si="1"/>
        <v>8.57</v>
      </c>
      <c r="AV12" s="76">
        <f t="shared" si="1"/>
        <v>8.57</v>
      </c>
      <c r="AW12" s="76">
        <f t="shared" si="1"/>
        <v>8.57</v>
      </c>
      <c r="AX12" s="76">
        <f t="shared" si="1"/>
        <v>8.57</v>
      </c>
      <c r="AY12" s="76">
        <f t="shared" si="1"/>
        <v>8.57</v>
      </c>
    </row>
    <row r="13" spans="1:72" ht="14.25" customHeight="1">
      <c r="A13" s="93" t="s">
        <v>5</v>
      </c>
      <c r="B13" s="76">
        <f t="shared" ref="B13:AY13" si="2">6.5+1.5</f>
        <v>8</v>
      </c>
      <c r="C13" s="76">
        <f t="shared" si="2"/>
        <v>8</v>
      </c>
      <c r="D13" s="76">
        <f t="shared" si="2"/>
        <v>8</v>
      </c>
      <c r="E13" s="76">
        <f t="shared" si="2"/>
        <v>8</v>
      </c>
      <c r="F13" s="76">
        <f t="shared" si="2"/>
        <v>8</v>
      </c>
      <c r="G13" s="76">
        <f t="shared" si="2"/>
        <v>8</v>
      </c>
      <c r="H13" s="76">
        <f t="shared" si="2"/>
        <v>8</v>
      </c>
      <c r="I13" s="76">
        <f t="shared" si="2"/>
        <v>8</v>
      </c>
      <c r="J13" s="76">
        <f t="shared" si="2"/>
        <v>8</v>
      </c>
      <c r="K13" s="76">
        <f t="shared" si="2"/>
        <v>8</v>
      </c>
      <c r="L13" s="76">
        <f t="shared" si="2"/>
        <v>8</v>
      </c>
      <c r="M13" s="76">
        <f t="shared" si="2"/>
        <v>8</v>
      </c>
      <c r="N13" s="76">
        <f t="shared" si="2"/>
        <v>8</v>
      </c>
      <c r="O13" s="76">
        <f t="shared" si="2"/>
        <v>8</v>
      </c>
      <c r="P13" s="76">
        <f t="shared" si="2"/>
        <v>8</v>
      </c>
      <c r="Q13" s="76">
        <f t="shared" si="2"/>
        <v>8</v>
      </c>
      <c r="R13" s="76">
        <f t="shared" si="2"/>
        <v>8</v>
      </c>
      <c r="S13" s="76">
        <f t="shared" si="2"/>
        <v>8</v>
      </c>
      <c r="T13" s="76">
        <f t="shared" si="2"/>
        <v>8</v>
      </c>
      <c r="U13" s="76">
        <f t="shared" si="2"/>
        <v>8</v>
      </c>
      <c r="V13" s="76">
        <f t="shared" si="2"/>
        <v>8</v>
      </c>
      <c r="W13" s="76">
        <f t="shared" si="2"/>
        <v>8</v>
      </c>
      <c r="X13" s="76">
        <f t="shared" si="2"/>
        <v>8</v>
      </c>
      <c r="Y13" s="76">
        <f t="shared" si="2"/>
        <v>8</v>
      </c>
      <c r="Z13" s="76">
        <f t="shared" si="2"/>
        <v>8</v>
      </c>
      <c r="AA13" s="76">
        <f t="shared" si="2"/>
        <v>8</v>
      </c>
      <c r="AB13" s="76">
        <f t="shared" si="2"/>
        <v>8</v>
      </c>
      <c r="AC13" s="76">
        <f t="shared" si="2"/>
        <v>8</v>
      </c>
      <c r="AD13" s="76">
        <f t="shared" si="2"/>
        <v>8</v>
      </c>
      <c r="AE13" s="76">
        <f t="shared" si="2"/>
        <v>8</v>
      </c>
      <c r="AF13" s="76">
        <f t="shared" si="2"/>
        <v>8</v>
      </c>
      <c r="AG13" s="76">
        <f t="shared" si="2"/>
        <v>8</v>
      </c>
      <c r="AH13" s="76">
        <f t="shared" si="2"/>
        <v>8</v>
      </c>
      <c r="AI13" s="76">
        <f t="shared" si="2"/>
        <v>8</v>
      </c>
      <c r="AJ13" s="76">
        <f t="shared" si="2"/>
        <v>8</v>
      </c>
      <c r="AK13" s="76">
        <f t="shared" si="2"/>
        <v>8</v>
      </c>
      <c r="AL13" s="76">
        <f t="shared" si="2"/>
        <v>8</v>
      </c>
      <c r="AM13" s="76">
        <f t="shared" si="2"/>
        <v>8</v>
      </c>
      <c r="AN13" s="76">
        <f t="shared" si="2"/>
        <v>8</v>
      </c>
      <c r="AO13" s="76">
        <f t="shared" si="2"/>
        <v>8</v>
      </c>
      <c r="AP13" s="76">
        <f t="shared" si="2"/>
        <v>8</v>
      </c>
      <c r="AQ13" s="76">
        <f t="shared" si="2"/>
        <v>8</v>
      </c>
      <c r="AR13" s="76">
        <f t="shared" si="2"/>
        <v>8</v>
      </c>
      <c r="AS13" s="76">
        <f t="shared" si="2"/>
        <v>8</v>
      </c>
      <c r="AT13" s="76">
        <f t="shared" si="2"/>
        <v>8</v>
      </c>
      <c r="AU13" s="76">
        <f t="shared" si="2"/>
        <v>8</v>
      </c>
      <c r="AV13" s="76">
        <f t="shared" si="2"/>
        <v>8</v>
      </c>
      <c r="AW13" s="76">
        <f t="shared" si="2"/>
        <v>8</v>
      </c>
      <c r="AX13" s="76">
        <f t="shared" si="2"/>
        <v>8</v>
      </c>
      <c r="AY13" s="76">
        <f t="shared" si="2"/>
        <v>8</v>
      </c>
    </row>
    <row r="14" spans="1:72" ht="14.25" customHeight="1">
      <c r="A14" s="93" t="s">
        <v>6</v>
      </c>
      <c r="B14" s="76">
        <f t="shared" ref="B14:AY14" si="3">19.09+1.5</f>
        <v>20.59</v>
      </c>
      <c r="C14" s="76">
        <f t="shared" si="3"/>
        <v>20.59</v>
      </c>
      <c r="D14" s="76">
        <f t="shared" si="3"/>
        <v>20.59</v>
      </c>
      <c r="E14" s="76">
        <f t="shared" si="3"/>
        <v>20.59</v>
      </c>
      <c r="F14" s="76">
        <f t="shared" si="3"/>
        <v>20.59</v>
      </c>
      <c r="G14" s="76">
        <f t="shared" si="3"/>
        <v>20.59</v>
      </c>
      <c r="H14" s="76">
        <f t="shared" si="3"/>
        <v>20.59</v>
      </c>
      <c r="I14" s="76">
        <f t="shared" si="3"/>
        <v>20.59</v>
      </c>
      <c r="J14" s="76">
        <f t="shared" si="3"/>
        <v>20.59</v>
      </c>
      <c r="K14" s="76">
        <f t="shared" si="3"/>
        <v>20.59</v>
      </c>
      <c r="L14" s="76">
        <f t="shared" si="3"/>
        <v>20.59</v>
      </c>
      <c r="M14" s="76">
        <f t="shared" si="3"/>
        <v>20.59</v>
      </c>
      <c r="N14" s="76">
        <f t="shared" si="3"/>
        <v>20.59</v>
      </c>
      <c r="O14" s="76">
        <f t="shared" si="3"/>
        <v>20.59</v>
      </c>
      <c r="P14" s="76">
        <f t="shared" si="3"/>
        <v>20.59</v>
      </c>
      <c r="Q14" s="76">
        <f t="shared" si="3"/>
        <v>20.59</v>
      </c>
      <c r="R14" s="76">
        <f t="shared" si="3"/>
        <v>20.59</v>
      </c>
      <c r="S14" s="76">
        <f t="shared" si="3"/>
        <v>20.59</v>
      </c>
      <c r="T14" s="76">
        <f t="shared" si="3"/>
        <v>20.59</v>
      </c>
      <c r="U14" s="76">
        <f t="shared" si="3"/>
        <v>20.59</v>
      </c>
      <c r="V14" s="76">
        <f t="shared" si="3"/>
        <v>20.59</v>
      </c>
      <c r="W14" s="76">
        <f t="shared" si="3"/>
        <v>20.59</v>
      </c>
      <c r="X14" s="76">
        <f t="shared" si="3"/>
        <v>20.59</v>
      </c>
      <c r="Y14" s="76">
        <f t="shared" si="3"/>
        <v>20.59</v>
      </c>
      <c r="Z14" s="76">
        <f t="shared" si="3"/>
        <v>20.59</v>
      </c>
      <c r="AA14" s="76">
        <f t="shared" si="3"/>
        <v>20.59</v>
      </c>
      <c r="AB14" s="76">
        <f t="shared" si="3"/>
        <v>20.59</v>
      </c>
      <c r="AC14" s="76">
        <f t="shared" si="3"/>
        <v>20.59</v>
      </c>
      <c r="AD14" s="76">
        <f t="shared" si="3"/>
        <v>20.59</v>
      </c>
      <c r="AE14" s="76">
        <f t="shared" si="3"/>
        <v>20.59</v>
      </c>
      <c r="AF14" s="76">
        <f t="shared" si="3"/>
        <v>20.59</v>
      </c>
      <c r="AG14" s="76">
        <f t="shared" si="3"/>
        <v>20.59</v>
      </c>
      <c r="AH14" s="76">
        <f t="shared" si="3"/>
        <v>20.59</v>
      </c>
      <c r="AI14" s="76">
        <f t="shared" si="3"/>
        <v>20.59</v>
      </c>
      <c r="AJ14" s="76">
        <f t="shared" si="3"/>
        <v>20.59</v>
      </c>
      <c r="AK14" s="76">
        <f t="shared" si="3"/>
        <v>20.59</v>
      </c>
      <c r="AL14" s="76">
        <f t="shared" si="3"/>
        <v>20.59</v>
      </c>
      <c r="AM14" s="76">
        <f t="shared" si="3"/>
        <v>20.59</v>
      </c>
      <c r="AN14" s="76">
        <f t="shared" si="3"/>
        <v>20.59</v>
      </c>
      <c r="AO14" s="76">
        <f t="shared" si="3"/>
        <v>20.59</v>
      </c>
      <c r="AP14" s="76">
        <f t="shared" si="3"/>
        <v>20.59</v>
      </c>
      <c r="AQ14" s="76">
        <f t="shared" si="3"/>
        <v>20.59</v>
      </c>
      <c r="AR14" s="76">
        <f t="shared" si="3"/>
        <v>20.59</v>
      </c>
      <c r="AS14" s="76">
        <f t="shared" si="3"/>
        <v>20.59</v>
      </c>
      <c r="AT14" s="76">
        <f t="shared" si="3"/>
        <v>20.59</v>
      </c>
      <c r="AU14" s="76">
        <f t="shared" si="3"/>
        <v>20.59</v>
      </c>
      <c r="AV14" s="76">
        <f t="shared" si="3"/>
        <v>20.59</v>
      </c>
      <c r="AW14" s="76">
        <f t="shared" si="3"/>
        <v>20.59</v>
      </c>
      <c r="AX14" s="76">
        <f t="shared" si="3"/>
        <v>20.59</v>
      </c>
      <c r="AY14" s="76">
        <f t="shared" si="3"/>
        <v>20.59</v>
      </c>
    </row>
    <row r="15" spans="1:72" ht="14.25" customHeight="1">
      <c r="A15" s="93" t="s">
        <v>7</v>
      </c>
      <c r="B15" s="76"/>
      <c r="C15" s="76">
        <v>10.45</v>
      </c>
      <c r="D15" s="76"/>
      <c r="E15" s="76">
        <v>10.45</v>
      </c>
      <c r="F15" s="76"/>
      <c r="G15" s="76">
        <v>10.45</v>
      </c>
      <c r="H15" s="76"/>
      <c r="I15" s="76">
        <v>10.45</v>
      </c>
      <c r="J15" s="76"/>
      <c r="K15" s="76">
        <v>10.45</v>
      </c>
      <c r="L15" s="76"/>
      <c r="M15" s="76">
        <v>10.45</v>
      </c>
      <c r="N15" s="76"/>
      <c r="O15" s="76">
        <v>10.45</v>
      </c>
      <c r="P15" s="76"/>
      <c r="Q15" s="76">
        <v>10.45</v>
      </c>
      <c r="R15" s="76"/>
      <c r="S15" s="76">
        <v>10.45</v>
      </c>
      <c r="T15" s="76"/>
      <c r="U15" s="76">
        <v>10.45</v>
      </c>
      <c r="V15" s="76"/>
      <c r="W15" s="76">
        <v>10.45</v>
      </c>
      <c r="X15" s="76"/>
      <c r="Y15" s="77">
        <v>10.45</v>
      </c>
      <c r="Z15" s="76"/>
      <c r="AA15" s="76">
        <v>10.45</v>
      </c>
      <c r="AB15" s="76"/>
      <c r="AC15" s="76">
        <v>10.45</v>
      </c>
      <c r="AD15" s="76"/>
      <c r="AE15" s="76">
        <v>10.45</v>
      </c>
      <c r="AF15" s="76"/>
      <c r="AG15" s="76">
        <v>10.45</v>
      </c>
      <c r="AH15" s="76"/>
      <c r="AI15" s="76">
        <v>10.45</v>
      </c>
      <c r="AJ15" s="76"/>
      <c r="AK15" s="76">
        <v>10.45</v>
      </c>
      <c r="AL15" s="76"/>
      <c r="AM15" s="76">
        <v>10.45</v>
      </c>
      <c r="AN15" s="76"/>
      <c r="AO15" s="76">
        <v>10.45</v>
      </c>
      <c r="AP15" s="76"/>
      <c r="AQ15" s="76">
        <v>10.45</v>
      </c>
      <c r="AR15" s="76"/>
      <c r="AS15" s="76">
        <v>10.45</v>
      </c>
      <c r="AT15" s="76"/>
      <c r="AU15" s="76">
        <v>10.45</v>
      </c>
      <c r="AV15" s="76"/>
      <c r="AW15" s="76">
        <v>10.45</v>
      </c>
      <c r="AX15" s="76"/>
      <c r="AY15" s="76">
        <v>10.45</v>
      </c>
    </row>
    <row r="16" spans="1:72" ht="14.25" customHeight="1">
      <c r="A16" s="93" t="s">
        <v>8</v>
      </c>
      <c r="B16" s="76"/>
      <c r="C16" s="76">
        <v>8.77</v>
      </c>
      <c r="D16" s="76"/>
      <c r="E16" s="76">
        <v>8.77</v>
      </c>
      <c r="F16" s="76"/>
      <c r="G16" s="76">
        <v>8.77</v>
      </c>
      <c r="H16" s="76"/>
      <c r="I16" s="76">
        <v>8.77</v>
      </c>
      <c r="J16" s="76"/>
      <c r="K16" s="76">
        <v>8.77</v>
      </c>
      <c r="L16" s="76"/>
      <c r="M16" s="76">
        <v>8.77</v>
      </c>
      <c r="N16" s="76"/>
      <c r="O16" s="76">
        <v>8.77</v>
      </c>
      <c r="P16" s="76"/>
      <c r="Q16" s="76">
        <v>8.77</v>
      </c>
      <c r="R16" s="76"/>
      <c r="S16" s="76">
        <v>8.77</v>
      </c>
      <c r="T16" s="76"/>
      <c r="U16" s="76">
        <v>8.77</v>
      </c>
      <c r="V16" s="76"/>
      <c r="W16" s="76">
        <v>8.77</v>
      </c>
      <c r="X16" s="76"/>
      <c r="Y16" s="77">
        <v>8.77</v>
      </c>
      <c r="Z16" s="76"/>
      <c r="AA16" s="76">
        <v>8.77</v>
      </c>
      <c r="AB16" s="76"/>
      <c r="AC16" s="76">
        <v>8.77</v>
      </c>
      <c r="AD16" s="76"/>
      <c r="AE16" s="76">
        <v>8.77</v>
      </c>
      <c r="AF16" s="76"/>
      <c r="AG16" s="76">
        <v>8.77</v>
      </c>
      <c r="AH16" s="76"/>
      <c r="AI16" s="76">
        <v>8.77</v>
      </c>
      <c r="AJ16" s="76"/>
      <c r="AK16" s="76">
        <v>8.77</v>
      </c>
      <c r="AL16" s="76"/>
      <c r="AM16" s="76">
        <v>8.77</v>
      </c>
      <c r="AN16" s="76"/>
      <c r="AO16" s="76">
        <v>8.77</v>
      </c>
      <c r="AP16" s="76"/>
      <c r="AQ16" s="76">
        <v>8.77</v>
      </c>
      <c r="AR16" s="76"/>
      <c r="AS16" s="76">
        <v>8.77</v>
      </c>
      <c r="AT16" s="76"/>
      <c r="AU16" s="76">
        <v>8.77</v>
      </c>
      <c r="AV16" s="76"/>
      <c r="AW16" s="76">
        <v>8.77</v>
      </c>
      <c r="AX16" s="76"/>
      <c r="AY16" s="76">
        <v>8.77</v>
      </c>
    </row>
    <row r="17" spans="1:51" ht="14.25" customHeight="1">
      <c r="A17" s="93" t="s">
        <v>9</v>
      </c>
      <c r="B17" s="76"/>
      <c r="C17" s="76">
        <v>29.16</v>
      </c>
      <c r="D17" s="76"/>
      <c r="E17" s="76">
        <v>29.16</v>
      </c>
      <c r="F17" s="76"/>
      <c r="G17" s="76">
        <v>29.16</v>
      </c>
      <c r="H17" s="76"/>
      <c r="I17" s="76">
        <v>29.16</v>
      </c>
      <c r="J17" s="76"/>
      <c r="K17" s="76">
        <v>29.16</v>
      </c>
      <c r="L17" s="76"/>
      <c r="M17" s="76">
        <v>29.16</v>
      </c>
      <c r="N17" s="76"/>
      <c r="O17" s="76">
        <v>29.16</v>
      </c>
      <c r="P17" s="76"/>
      <c r="Q17" s="76">
        <v>29.16</v>
      </c>
      <c r="R17" s="76"/>
      <c r="S17" s="76">
        <v>29.16</v>
      </c>
      <c r="T17" s="76"/>
      <c r="U17" s="76">
        <v>29.16</v>
      </c>
      <c r="V17" s="76"/>
      <c r="W17" s="76">
        <v>29.16</v>
      </c>
      <c r="X17" s="76"/>
      <c r="Y17" s="77">
        <v>29.16</v>
      </c>
      <c r="Z17" s="76"/>
      <c r="AA17" s="76">
        <v>29.16</v>
      </c>
      <c r="AB17" s="76"/>
      <c r="AC17" s="76">
        <v>29.16</v>
      </c>
      <c r="AD17" s="76"/>
      <c r="AE17" s="76">
        <v>29.16</v>
      </c>
      <c r="AF17" s="76"/>
      <c r="AG17" s="76">
        <v>29.16</v>
      </c>
      <c r="AH17" s="76"/>
      <c r="AI17" s="76">
        <v>29.16</v>
      </c>
      <c r="AJ17" s="76"/>
      <c r="AK17" s="76">
        <v>29.16</v>
      </c>
      <c r="AL17" s="76"/>
      <c r="AM17" s="76">
        <v>29.16</v>
      </c>
      <c r="AN17" s="76"/>
      <c r="AO17" s="76">
        <v>29.16</v>
      </c>
      <c r="AP17" s="76"/>
      <c r="AQ17" s="76">
        <v>29.16</v>
      </c>
      <c r="AR17" s="76"/>
      <c r="AS17" s="76">
        <v>29.16</v>
      </c>
      <c r="AT17" s="76"/>
      <c r="AU17" s="76">
        <v>29.16</v>
      </c>
      <c r="AV17" s="76"/>
      <c r="AW17" s="76">
        <v>29.16</v>
      </c>
      <c r="AX17" s="76"/>
      <c r="AY17" s="76">
        <v>29.16</v>
      </c>
    </row>
    <row r="18" spans="1:51" ht="14.25" customHeight="1">
      <c r="A18" s="93" t="s">
        <v>10</v>
      </c>
      <c r="B18" s="76"/>
      <c r="C18" s="76">
        <v>29.63</v>
      </c>
      <c r="D18" s="76"/>
      <c r="E18" s="76">
        <v>29.63</v>
      </c>
      <c r="F18" s="76"/>
      <c r="G18" s="76">
        <v>29.63</v>
      </c>
      <c r="H18" s="76"/>
      <c r="I18" s="76">
        <v>29.63</v>
      </c>
      <c r="J18" s="76"/>
      <c r="K18" s="76">
        <v>29.63</v>
      </c>
      <c r="L18" s="76"/>
      <c r="M18" s="76">
        <v>29.63</v>
      </c>
      <c r="N18" s="76"/>
      <c r="O18" s="76">
        <v>29.63</v>
      </c>
      <c r="P18" s="76"/>
      <c r="Q18" s="76">
        <v>29.63</v>
      </c>
      <c r="R18" s="76"/>
      <c r="S18" s="76">
        <v>29.63</v>
      </c>
      <c r="T18" s="76"/>
      <c r="U18" s="76">
        <v>29.63</v>
      </c>
      <c r="V18" s="76"/>
      <c r="W18" s="76">
        <v>29.63</v>
      </c>
      <c r="X18" s="76"/>
      <c r="Y18" s="77">
        <v>29.63</v>
      </c>
      <c r="Z18" s="76"/>
      <c r="AA18" s="76">
        <v>29.63</v>
      </c>
      <c r="AB18" s="76"/>
      <c r="AC18" s="76">
        <v>29.63</v>
      </c>
      <c r="AD18" s="76"/>
      <c r="AE18" s="76">
        <v>29.63</v>
      </c>
      <c r="AF18" s="76"/>
      <c r="AG18" s="76">
        <v>29.63</v>
      </c>
      <c r="AH18" s="76"/>
      <c r="AI18" s="76">
        <v>29.63</v>
      </c>
      <c r="AJ18" s="76"/>
      <c r="AK18" s="76">
        <v>29.63</v>
      </c>
      <c r="AL18" s="76"/>
      <c r="AM18" s="76">
        <v>29.63</v>
      </c>
      <c r="AN18" s="76"/>
      <c r="AO18" s="76">
        <v>29.63</v>
      </c>
      <c r="AP18" s="76"/>
      <c r="AQ18" s="76">
        <v>29.63</v>
      </c>
      <c r="AR18" s="76"/>
      <c r="AS18" s="76">
        <v>29.63</v>
      </c>
      <c r="AT18" s="76"/>
      <c r="AU18" s="76">
        <v>29.63</v>
      </c>
      <c r="AV18" s="76"/>
      <c r="AW18" s="76">
        <v>29.63</v>
      </c>
      <c r="AX18" s="76"/>
      <c r="AY18" s="76">
        <v>29.63</v>
      </c>
    </row>
    <row r="19" spans="1:51" ht="14.25" customHeight="1">
      <c r="A19" s="93" t="s">
        <v>11</v>
      </c>
      <c r="B19" s="76"/>
      <c r="C19" s="76">
        <v>7.01</v>
      </c>
      <c r="D19" s="76"/>
      <c r="E19" s="76">
        <v>7.01</v>
      </c>
      <c r="F19" s="76"/>
      <c r="G19" s="76">
        <v>7.01</v>
      </c>
      <c r="H19" s="76"/>
      <c r="I19" s="76">
        <v>7.01</v>
      </c>
      <c r="J19" s="76"/>
      <c r="K19" s="76">
        <v>7.01</v>
      </c>
      <c r="L19" s="76"/>
      <c r="M19" s="76">
        <v>7.01</v>
      </c>
      <c r="N19" s="76"/>
      <c r="O19" s="76">
        <v>7.01</v>
      </c>
      <c r="P19" s="76"/>
      <c r="Q19" s="76">
        <v>7.01</v>
      </c>
      <c r="R19" s="76"/>
      <c r="S19" s="76">
        <v>7.01</v>
      </c>
      <c r="T19" s="76"/>
      <c r="U19" s="76">
        <v>7.01</v>
      </c>
      <c r="V19" s="76"/>
      <c r="W19" s="76">
        <v>7.01</v>
      </c>
      <c r="X19" s="76"/>
      <c r="Y19" s="77">
        <v>7.01</v>
      </c>
      <c r="Z19" s="76"/>
      <c r="AA19" s="76">
        <v>7.01</v>
      </c>
      <c r="AB19" s="76"/>
      <c r="AC19" s="76">
        <v>7.01</v>
      </c>
      <c r="AD19" s="76"/>
      <c r="AE19" s="76">
        <v>7.01</v>
      </c>
      <c r="AF19" s="76"/>
      <c r="AG19" s="76">
        <v>7.01</v>
      </c>
      <c r="AH19" s="76"/>
      <c r="AI19" s="76">
        <v>7.01</v>
      </c>
      <c r="AJ19" s="76"/>
      <c r="AK19" s="76">
        <v>7.01</v>
      </c>
      <c r="AL19" s="76"/>
      <c r="AM19" s="76">
        <v>7.01</v>
      </c>
      <c r="AN19" s="76"/>
      <c r="AO19" s="76">
        <v>7.01</v>
      </c>
      <c r="AP19" s="76"/>
      <c r="AQ19" s="76">
        <v>7.01</v>
      </c>
      <c r="AR19" s="76"/>
      <c r="AS19" s="76">
        <v>7.01</v>
      </c>
      <c r="AT19" s="76"/>
      <c r="AU19" s="76">
        <v>7.01</v>
      </c>
      <c r="AV19" s="76"/>
      <c r="AW19" s="76">
        <v>7.01</v>
      </c>
      <c r="AX19" s="76"/>
      <c r="AY19" s="76">
        <v>7.01</v>
      </c>
    </row>
    <row r="20" spans="1:51" ht="14.25" customHeight="1">
      <c r="A20" s="93" t="s">
        <v>12</v>
      </c>
      <c r="B20" s="76"/>
      <c r="C20" s="76">
        <v>5.6</v>
      </c>
      <c r="D20" s="76"/>
      <c r="E20" s="76">
        <v>5.6</v>
      </c>
      <c r="F20" s="76"/>
      <c r="G20" s="76">
        <v>5.6</v>
      </c>
      <c r="H20" s="76"/>
      <c r="I20" s="76">
        <v>5.6</v>
      </c>
      <c r="J20" s="76"/>
      <c r="K20" s="76">
        <v>5.6</v>
      </c>
      <c r="L20" s="76"/>
      <c r="M20" s="76">
        <v>5.6</v>
      </c>
      <c r="N20" s="76"/>
      <c r="O20" s="76">
        <v>5.6</v>
      </c>
      <c r="P20" s="76"/>
      <c r="Q20" s="76">
        <v>5.6</v>
      </c>
      <c r="R20" s="76"/>
      <c r="S20" s="76">
        <v>5.6</v>
      </c>
      <c r="T20" s="76"/>
      <c r="U20" s="76">
        <v>5.6</v>
      </c>
      <c r="V20" s="76"/>
      <c r="W20" s="76">
        <v>5.6</v>
      </c>
      <c r="X20" s="76"/>
      <c r="Y20" s="77">
        <v>5.6</v>
      </c>
      <c r="Z20" s="76"/>
      <c r="AA20" s="76">
        <v>5.6</v>
      </c>
      <c r="AB20" s="76"/>
      <c r="AC20" s="76">
        <v>5.6</v>
      </c>
      <c r="AD20" s="76"/>
      <c r="AE20" s="76">
        <v>5.6</v>
      </c>
      <c r="AF20" s="76"/>
      <c r="AG20" s="76">
        <v>5.6</v>
      </c>
      <c r="AH20" s="76"/>
      <c r="AI20" s="76">
        <v>5.6</v>
      </c>
      <c r="AJ20" s="76"/>
      <c r="AK20" s="76">
        <v>5.6</v>
      </c>
      <c r="AL20" s="76"/>
      <c r="AM20" s="76">
        <v>5.6</v>
      </c>
      <c r="AN20" s="76"/>
      <c r="AO20" s="76">
        <v>5.6</v>
      </c>
      <c r="AP20" s="76"/>
      <c r="AQ20" s="76">
        <v>5.6</v>
      </c>
      <c r="AR20" s="76"/>
      <c r="AS20" s="76">
        <v>5.6</v>
      </c>
      <c r="AT20" s="76"/>
      <c r="AU20" s="76">
        <v>5.6</v>
      </c>
      <c r="AV20" s="76"/>
      <c r="AW20" s="76">
        <v>5.6</v>
      </c>
      <c r="AX20" s="76"/>
      <c r="AY20" s="76">
        <v>5.6</v>
      </c>
    </row>
    <row r="21" spans="1:51" ht="14.25" customHeight="1">
      <c r="A21" s="93" t="s">
        <v>13</v>
      </c>
      <c r="B21" s="76"/>
      <c r="C21" s="76">
        <v>6.02</v>
      </c>
      <c r="D21" s="76"/>
      <c r="E21" s="76">
        <v>6.02</v>
      </c>
      <c r="F21" s="76"/>
      <c r="G21" s="76">
        <v>6.02</v>
      </c>
      <c r="H21" s="76"/>
      <c r="I21" s="76">
        <v>6.02</v>
      </c>
      <c r="J21" s="76"/>
      <c r="K21" s="76">
        <v>6.02</v>
      </c>
      <c r="L21" s="76"/>
      <c r="M21" s="76">
        <v>6.02</v>
      </c>
      <c r="N21" s="76"/>
      <c r="O21" s="76">
        <v>6.02</v>
      </c>
      <c r="P21" s="76"/>
      <c r="Q21" s="76">
        <v>6.02</v>
      </c>
      <c r="R21" s="76"/>
      <c r="S21" s="76">
        <v>6.02</v>
      </c>
      <c r="T21" s="76"/>
      <c r="U21" s="76">
        <v>6.02</v>
      </c>
      <c r="V21" s="76"/>
      <c r="W21" s="76">
        <v>6.02</v>
      </c>
      <c r="X21" s="76"/>
      <c r="Y21" s="77">
        <v>6.02</v>
      </c>
      <c r="Z21" s="76"/>
      <c r="AA21" s="76">
        <v>6.02</v>
      </c>
      <c r="AB21" s="76"/>
      <c r="AC21" s="76">
        <v>6.02</v>
      </c>
      <c r="AD21" s="76"/>
      <c r="AE21" s="76">
        <v>6.02</v>
      </c>
      <c r="AF21" s="76"/>
      <c r="AG21" s="76">
        <v>6.02</v>
      </c>
      <c r="AH21" s="76"/>
      <c r="AI21" s="76">
        <v>6.02</v>
      </c>
      <c r="AJ21" s="76"/>
      <c r="AK21" s="76">
        <v>6.02</v>
      </c>
      <c r="AL21" s="76"/>
      <c r="AM21" s="76">
        <v>6.02</v>
      </c>
      <c r="AN21" s="76"/>
      <c r="AO21" s="76">
        <v>6.02</v>
      </c>
      <c r="AP21" s="76"/>
      <c r="AQ21" s="76">
        <v>6.02</v>
      </c>
      <c r="AR21" s="76"/>
      <c r="AS21" s="76">
        <v>6.02</v>
      </c>
      <c r="AT21" s="76"/>
      <c r="AU21" s="76">
        <v>6.02</v>
      </c>
      <c r="AV21" s="76"/>
      <c r="AW21" s="76">
        <v>6.02</v>
      </c>
      <c r="AX21" s="76"/>
      <c r="AY21" s="76">
        <v>6.02</v>
      </c>
    </row>
    <row r="22" spans="1:51" ht="14.25" hidden="1" customHeight="1">
      <c r="A22" s="93" t="s">
        <v>14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</row>
    <row r="23" spans="1:51" ht="14.25" customHeight="1">
      <c r="A23" s="93" t="s">
        <v>52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>
        <v>172.86</v>
      </c>
      <c r="V23" s="76"/>
      <c r="W23" s="76"/>
      <c r="X23" s="76"/>
      <c r="Y23" s="77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>
        <v>172.86</v>
      </c>
      <c r="AP23" s="76"/>
      <c r="AQ23" s="76"/>
      <c r="AR23" s="76"/>
      <c r="AS23" s="76"/>
      <c r="AT23" s="76"/>
      <c r="AU23" s="76"/>
      <c r="AV23" s="76"/>
      <c r="AW23" s="76"/>
      <c r="AX23" s="76"/>
      <c r="AY23" s="76"/>
    </row>
    <row r="24" spans="1:51" ht="14.25" customHeight="1">
      <c r="A24" s="93" t="s">
        <v>53</v>
      </c>
      <c r="B24" s="79"/>
      <c r="C24" s="79"/>
      <c r="D24" s="79"/>
      <c r="E24" s="79"/>
      <c r="F24" s="79"/>
      <c r="G24" s="79"/>
      <c r="H24" s="79"/>
      <c r="I24" s="79"/>
      <c r="J24" s="79"/>
      <c r="K24" s="79">
        <v>11.47</v>
      </c>
      <c r="L24" s="79"/>
      <c r="M24" s="79"/>
      <c r="N24" s="79"/>
      <c r="O24" s="79"/>
      <c r="P24" s="79"/>
      <c r="Q24" s="79"/>
      <c r="R24" s="79"/>
      <c r="S24" s="79"/>
      <c r="T24" s="79"/>
      <c r="U24" s="79">
        <v>11.47</v>
      </c>
      <c r="V24" s="79"/>
      <c r="W24" s="79"/>
      <c r="X24" s="79"/>
      <c r="Y24" s="80"/>
      <c r="Z24" s="76"/>
      <c r="AA24" s="76"/>
      <c r="AB24" s="76"/>
      <c r="AC24" s="76"/>
      <c r="AD24" s="76"/>
      <c r="AE24" s="76">
        <v>11.47</v>
      </c>
      <c r="AF24" s="76"/>
      <c r="AG24" s="76"/>
      <c r="AH24" s="76"/>
      <c r="AI24" s="76"/>
      <c r="AJ24" s="76"/>
      <c r="AK24" s="76"/>
      <c r="AL24" s="76"/>
      <c r="AM24" s="76"/>
      <c r="AN24" s="76"/>
      <c r="AO24" s="76">
        <v>11.47</v>
      </c>
      <c r="AP24" s="76"/>
      <c r="AQ24" s="76"/>
      <c r="AR24" s="76"/>
      <c r="AS24" s="76"/>
      <c r="AT24" s="76"/>
      <c r="AU24" s="76"/>
      <c r="AV24" s="76"/>
      <c r="AW24" s="76"/>
      <c r="AX24" s="76"/>
      <c r="AY24" s="76">
        <v>11.47</v>
      </c>
    </row>
    <row r="25" spans="1:51" ht="14.25" customHeight="1">
      <c r="A25" s="93" t="s">
        <v>54</v>
      </c>
      <c r="B25" s="79"/>
      <c r="C25" s="79"/>
      <c r="D25" s="79"/>
      <c r="E25" s="79"/>
      <c r="F25" s="79"/>
      <c r="G25" s="79"/>
      <c r="H25" s="79"/>
      <c r="I25" s="79"/>
      <c r="J25" s="79"/>
      <c r="K25" s="79">
        <v>12.23</v>
      </c>
      <c r="L25" s="79"/>
      <c r="M25" s="79"/>
      <c r="N25" s="79"/>
      <c r="O25" s="79"/>
      <c r="P25" s="79"/>
      <c r="Q25" s="79"/>
      <c r="R25" s="79"/>
      <c r="S25" s="79"/>
      <c r="T25" s="79"/>
      <c r="U25" s="79">
        <v>12.23</v>
      </c>
      <c r="V25" s="79"/>
      <c r="W25" s="79"/>
      <c r="X25" s="79"/>
      <c r="Y25" s="80"/>
      <c r="Z25" s="76"/>
      <c r="AA25" s="76"/>
      <c r="AB25" s="76"/>
      <c r="AC25" s="76"/>
      <c r="AD25" s="76"/>
      <c r="AE25" s="76">
        <v>12.23</v>
      </c>
      <c r="AF25" s="76"/>
      <c r="AG25" s="76"/>
      <c r="AH25" s="76"/>
      <c r="AI25" s="76"/>
      <c r="AJ25" s="76"/>
      <c r="AK25" s="76"/>
      <c r="AL25" s="76"/>
      <c r="AM25" s="76"/>
      <c r="AN25" s="76"/>
      <c r="AO25" s="76">
        <v>12.23</v>
      </c>
      <c r="AP25" s="76"/>
      <c r="AQ25" s="76"/>
      <c r="AR25" s="76"/>
      <c r="AS25" s="76"/>
      <c r="AT25" s="76"/>
      <c r="AU25" s="76"/>
      <c r="AV25" s="76"/>
      <c r="AW25" s="76"/>
      <c r="AX25" s="76"/>
      <c r="AY25" s="76">
        <v>12.23</v>
      </c>
    </row>
    <row r="26" spans="1:51" ht="14.25" customHeight="1">
      <c r="A26" s="84" t="s">
        <v>55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>
        <v>32</v>
      </c>
      <c r="P26" s="79"/>
      <c r="Q26" s="79"/>
      <c r="R26" s="79"/>
      <c r="S26" s="79"/>
      <c r="T26" s="79"/>
      <c r="U26" s="79"/>
      <c r="V26" s="79"/>
      <c r="W26" s="79"/>
      <c r="X26" s="79"/>
      <c r="Y26" s="80"/>
      <c r="Z26" s="76"/>
      <c r="AA26" s="76"/>
      <c r="AB26" s="76"/>
      <c r="AC26" s="76">
        <v>32</v>
      </c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>
        <v>32</v>
      </c>
      <c r="AR26" s="76"/>
      <c r="AS26" s="76"/>
      <c r="AT26" s="76"/>
      <c r="AU26" s="76"/>
      <c r="AV26" s="76"/>
      <c r="AW26" s="76"/>
      <c r="AX26" s="76"/>
      <c r="AY26" s="76"/>
    </row>
    <row r="27" spans="1:51" ht="14.25" customHeight="1">
      <c r="A27" s="84" t="s">
        <v>56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>
        <v>178.2</v>
      </c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>
        <v>178.2</v>
      </c>
    </row>
    <row r="28" spans="1:51" ht="14.25" customHeight="1">
      <c r="A28" s="84" t="s">
        <v>57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>
        <v>25.12</v>
      </c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>
        <v>25.12</v>
      </c>
    </row>
    <row r="29" spans="1:51" ht="14.25" customHeight="1">
      <c r="A29" s="84" t="s">
        <v>58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>
        <v>28.17</v>
      </c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>
        <v>28.17</v>
      </c>
    </row>
    <row r="30" spans="1:51" ht="14.25" customHeight="1">
      <c r="A30" s="84" t="s">
        <v>59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>
        <v>16</v>
      </c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>
        <v>16</v>
      </c>
    </row>
    <row r="31" spans="1:51" ht="14.25" customHeight="1">
      <c r="A31" s="84" t="s">
        <v>60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>
        <v>4</v>
      </c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>
        <v>4</v>
      </c>
    </row>
    <row r="32" spans="1:51" ht="14.25" customHeight="1">
      <c r="A32" s="84" t="s">
        <v>61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>
        <v>7.25</v>
      </c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>
        <v>7.25</v>
      </c>
    </row>
    <row r="33" spans="1:51" ht="14.25" customHeight="1">
      <c r="A33" s="84" t="s">
        <v>62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>
        <v>20</v>
      </c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>
        <v>20</v>
      </c>
    </row>
    <row r="34" spans="1:51" ht="14.25" customHeight="1">
      <c r="A34" s="84" t="s">
        <v>63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>
        <v>25</v>
      </c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>
        <v>25</v>
      </c>
    </row>
    <row r="35" spans="1:51" ht="14.25" customHeight="1">
      <c r="A35" s="84" t="s">
        <v>64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>
        <v>100.75</v>
      </c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</row>
    <row r="36" spans="1:51" ht="14.25" customHeight="1">
      <c r="A36" s="84" t="s">
        <v>65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>
        <v>7.74</v>
      </c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>
        <v>7.74</v>
      </c>
    </row>
    <row r="37" spans="1:51" ht="14.25" customHeight="1">
      <c r="A37" s="84" t="s">
        <v>66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>
        <v>6.65</v>
      </c>
      <c r="AA37" s="76"/>
      <c r="AB37" s="76"/>
      <c r="AC37" s="76"/>
      <c r="AD37" s="76"/>
      <c r="AE37" s="76"/>
      <c r="AF37" s="76"/>
      <c r="AG37" s="76"/>
      <c r="AH37" s="76"/>
      <c r="AI37" s="76"/>
      <c r="AJ37" s="76">
        <v>6.65</v>
      </c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>
        <v>6.65</v>
      </c>
    </row>
    <row r="38" spans="1:51" ht="14.25" customHeight="1">
      <c r="A38" s="84" t="s">
        <v>67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>
        <v>16</v>
      </c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>
        <v>16</v>
      </c>
    </row>
    <row r="39" spans="1:51" ht="14.25" customHeight="1">
      <c r="A39" s="84" t="s">
        <v>68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>
        <v>23.83</v>
      </c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>
        <v>23.83</v>
      </c>
    </row>
    <row r="40" spans="1:51" ht="14.25" customHeight="1">
      <c r="A40" s="84" t="s">
        <v>69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>
        <v>56.5</v>
      </c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</row>
    <row r="41" spans="1:51" ht="14.25" customHeight="1">
      <c r="A41" s="84" t="s">
        <v>70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>
        <v>49</v>
      </c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</row>
    <row r="42" spans="1:51" ht="14.25" customHeight="1">
      <c r="A42" s="84" t="s">
        <v>71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>
        <v>124</v>
      </c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</row>
    <row r="43" spans="1:51" ht="14.25" customHeight="1">
      <c r="A43" s="84" t="s">
        <v>72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>
        <v>24.2</v>
      </c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</row>
    <row r="44" spans="1:51" ht="14.25" customHeight="1">
      <c r="A44" s="84" t="s">
        <v>73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>
        <v>6.13</v>
      </c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</row>
    <row r="45" spans="1:51" ht="14.25" customHeight="1">
      <c r="A45" s="84" t="s">
        <v>74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>
        <v>37</v>
      </c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</row>
    <row r="46" spans="1:51" ht="14.25" customHeight="1">
      <c r="A46" s="84" t="s">
        <v>75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>
        <v>42</v>
      </c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</row>
    <row r="47" spans="1:51" ht="14.25" customHeight="1">
      <c r="A47" s="84" t="s">
        <v>76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>
        <v>50.25</v>
      </c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</row>
    <row r="48" spans="1:51" ht="14.25" customHeight="1">
      <c r="A48" s="84" t="s">
        <v>77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>
        <v>16.670000000000002</v>
      </c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</row>
    <row r="49" spans="1:52" ht="14.25" customHeight="1">
      <c r="A49" s="84" t="s">
        <v>78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>
        <v>22.7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</row>
    <row r="50" spans="1:52" ht="14.25" customHeight="1">
      <c r="A50" s="84" t="s">
        <v>79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>
        <v>17</v>
      </c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</row>
    <row r="51" spans="1:52" ht="14.25" customHeight="1">
      <c r="A51" s="84" t="s">
        <v>80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>
        <v>14.62</v>
      </c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</row>
    <row r="52" spans="1:52" ht="14.25" customHeight="1">
      <c r="A52" s="84" t="s">
        <v>81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>
        <v>11</v>
      </c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</row>
    <row r="53" spans="1:52" ht="14.25" customHeight="1">
      <c r="A53" s="84" t="s">
        <v>82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>
        <v>6.5</v>
      </c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</row>
    <row r="54" spans="1:52" ht="14.25" customHeight="1">
      <c r="A54" s="84" t="s">
        <v>83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>
        <v>40</v>
      </c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</row>
    <row r="55" spans="1:52" ht="14.25" customHeight="1">
      <c r="A55" s="84" t="s">
        <v>84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>
        <v>143.52000000000001</v>
      </c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</row>
    <row r="56" spans="1:52" ht="14.25" customHeight="1">
      <c r="A56" s="84" t="s">
        <v>85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>
        <v>73</v>
      </c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</row>
    <row r="57" spans="1:52" ht="14.25" customHeight="1">
      <c r="A57" s="84" t="s">
        <v>86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>
        <v>54.4</v>
      </c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</row>
    <row r="58" spans="1:52" ht="14.25" customHeight="1">
      <c r="A58" s="84" t="s">
        <v>87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>
        <v>41.22</v>
      </c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</row>
    <row r="59" spans="1:52" ht="14.25" customHeight="1">
      <c r="A59" s="84" t="s">
        <v>73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>
        <v>6.5</v>
      </c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</row>
    <row r="60" spans="1:52" ht="14.25" customHeight="1">
      <c r="A60" s="84" t="s">
        <v>88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>
        <v>148.69999999999999</v>
      </c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</row>
    <row r="61" spans="1:52" ht="14.25" customHeight="1">
      <c r="A61" s="84" t="s">
        <v>89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>
        <v>125.7</v>
      </c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</row>
    <row r="62" spans="1:52" ht="14.25" customHeight="1">
      <c r="A62" s="81" t="s">
        <v>21</v>
      </c>
      <c r="B62" s="86">
        <f t="shared" ref="B62:AY62" si="4">SUM(B12:B61)</f>
        <v>37.159999999999997</v>
      </c>
      <c r="C62" s="86">
        <f t="shared" si="4"/>
        <v>133.79999999999998</v>
      </c>
      <c r="D62" s="86">
        <f t="shared" si="4"/>
        <v>37.159999999999997</v>
      </c>
      <c r="E62" s="86">
        <f t="shared" si="4"/>
        <v>133.79999999999998</v>
      </c>
      <c r="F62" s="86">
        <f t="shared" si="4"/>
        <v>37.159999999999997</v>
      </c>
      <c r="G62" s="86">
        <f t="shared" si="4"/>
        <v>133.79999999999998</v>
      </c>
      <c r="H62" s="86">
        <f t="shared" si="4"/>
        <v>37.159999999999997</v>
      </c>
      <c r="I62" s="86">
        <f t="shared" si="4"/>
        <v>133.79999999999998</v>
      </c>
      <c r="J62" s="86">
        <f t="shared" si="4"/>
        <v>37.159999999999997</v>
      </c>
      <c r="K62" s="86">
        <f t="shared" si="4"/>
        <v>157.49999999999997</v>
      </c>
      <c r="L62" s="86">
        <f t="shared" si="4"/>
        <v>37.159999999999997</v>
      </c>
      <c r="M62" s="86">
        <f t="shared" si="4"/>
        <v>133.79999999999998</v>
      </c>
      <c r="N62" s="86">
        <f t="shared" si="4"/>
        <v>37.159999999999997</v>
      </c>
      <c r="O62" s="86">
        <f t="shared" si="4"/>
        <v>165.79999999999998</v>
      </c>
      <c r="P62" s="86">
        <f t="shared" si="4"/>
        <v>37.159999999999997</v>
      </c>
      <c r="Q62" s="86">
        <f t="shared" si="4"/>
        <v>133.79999999999998</v>
      </c>
      <c r="R62" s="86">
        <f t="shared" si="4"/>
        <v>37.159999999999997</v>
      </c>
      <c r="S62" s="86">
        <f t="shared" si="4"/>
        <v>133.79999999999998</v>
      </c>
      <c r="T62" s="86">
        <f t="shared" si="4"/>
        <v>37.159999999999997</v>
      </c>
      <c r="U62" s="86">
        <f t="shared" si="4"/>
        <v>330.36</v>
      </c>
      <c r="V62" s="86">
        <f t="shared" si="4"/>
        <v>37.159999999999997</v>
      </c>
      <c r="W62" s="86">
        <f t="shared" si="4"/>
        <v>133.79999999999998</v>
      </c>
      <c r="X62" s="86">
        <f t="shared" si="4"/>
        <v>37.159999999999997</v>
      </c>
      <c r="Y62" s="86">
        <f t="shared" si="4"/>
        <v>133.79999999999998</v>
      </c>
      <c r="Z62" s="86">
        <f t="shared" si="4"/>
        <v>395.11999999999995</v>
      </c>
      <c r="AA62" s="86">
        <f t="shared" si="4"/>
        <v>133.79999999999998</v>
      </c>
      <c r="AB62" s="86">
        <f t="shared" si="4"/>
        <v>37.159999999999997</v>
      </c>
      <c r="AC62" s="86">
        <f t="shared" si="4"/>
        <v>165.79999999999998</v>
      </c>
      <c r="AD62" s="86">
        <f t="shared" si="4"/>
        <v>514.73</v>
      </c>
      <c r="AE62" s="86">
        <f t="shared" si="4"/>
        <v>258.25</v>
      </c>
      <c r="AF62" s="86">
        <f t="shared" si="4"/>
        <v>37.159999999999997</v>
      </c>
      <c r="AG62" s="86">
        <f t="shared" si="4"/>
        <v>133.79999999999998</v>
      </c>
      <c r="AH62" s="86">
        <f t="shared" si="4"/>
        <v>37.159999999999997</v>
      </c>
      <c r="AI62" s="86">
        <f t="shared" si="4"/>
        <v>133.79999999999998</v>
      </c>
      <c r="AJ62" s="86">
        <f t="shared" si="4"/>
        <v>676.85000000000014</v>
      </c>
      <c r="AK62" s="86">
        <f t="shared" si="4"/>
        <v>133.79999999999998</v>
      </c>
      <c r="AL62" s="86">
        <f t="shared" si="4"/>
        <v>37.159999999999997</v>
      </c>
      <c r="AM62" s="86">
        <f t="shared" si="4"/>
        <v>133.79999999999998</v>
      </c>
      <c r="AN62" s="86">
        <f t="shared" si="4"/>
        <v>37.159999999999997</v>
      </c>
      <c r="AO62" s="86">
        <f t="shared" si="4"/>
        <v>330.36</v>
      </c>
      <c r="AP62" s="86">
        <f t="shared" si="4"/>
        <v>37.159999999999997</v>
      </c>
      <c r="AQ62" s="86">
        <f t="shared" si="4"/>
        <v>165.79999999999998</v>
      </c>
      <c r="AR62" s="86">
        <f t="shared" si="4"/>
        <v>37.159999999999997</v>
      </c>
      <c r="AS62" s="86">
        <f t="shared" si="4"/>
        <v>133.79999999999998</v>
      </c>
      <c r="AT62" s="86">
        <f t="shared" si="4"/>
        <v>37.159999999999997</v>
      </c>
      <c r="AU62" s="86">
        <f t="shared" si="4"/>
        <v>133.79999999999998</v>
      </c>
      <c r="AV62" s="86">
        <f t="shared" si="4"/>
        <v>37.159999999999997</v>
      </c>
      <c r="AW62" s="86">
        <f t="shared" si="4"/>
        <v>133.79999999999998</v>
      </c>
      <c r="AX62" s="86">
        <f t="shared" si="4"/>
        <v>37.159999999999997</v>
      </c>
      <c r="AY62" s="86">
        <f t="shared" si="4"/>
        <v>515.45999999999992</v>
      </c>
      <c r="AZ62" s="83">
        <f>SUM(B62:AY62)</f>
        <v>6768.1500000000005</v>
      </c>
    </row>
    <row r="63" spans="1:52" ht="14.25" customHeight="1">
      <c r="A63" s="93" t="s">
        <v>90</v>
      </c>
      <c r="B63" s="76">
        <v>19.399999999999999</v>
      </c>
      <c r="C63" s="76">
        <v>107.5</v>
      </c>
      <c r="D63" s="76">
        <v>14.11</v>
      </c>
      <c r="E63" s="76">
        <v>132.19</v>
      </c>
      <c r="F63" s="76">
        <v>14.11</v>
      </c>
      <c r="G63" s="76">
        <v>125.84</v>
      </c>
      <c r="H63" s="76">
        <v>14.11</v>
      </c>
      <c r="I63" s="76">
        <v>163.94</v>
      </c>
      <c r="J63" s="76">
        <v>14.11</v>
      </c>
      <c r="K63" s="76">
        <v>119.84</v>
      </c>
      <c r="L63" s="76">
        <v>14.11</v>
      </c>
      <c r="M63" s="76">
        <v>147.01</v>
      </c>
      <c r="N63" s="76">
        <v>14.11</v>
      </c>
      <c r="O63" s="76">
        <v>98.68</v>
      </c>
      <c r="P63" s="76">
        <v>14.11</v>
      </c>
      <c r="Q63" s="76">
        <v>132.19</v>
      </c>
      <c r="R63" s="76">
        <v>14.11</v>
      </c>
      <c r="S63" s="76">
        <v>129.37</v>
      </c>
      <c r="T63" s="76">
        <v>14.11</v>
      </c>
      <c r="U63" s="76">
        <v>264.49</v>
      </c>
      <c r="V63" s="76">
        <v>19.399999999999999</v>
      </c>
      <c r="W63" s="76">
        <v>107.5</v>
      </c>
      <c r="X63" s="76">
        <v>14.11</v>
      </c>
      <c r="Y63" s="77">
        <v>132.19</v>
      </c>
      <c r="Z63" s="76">
        <v>14.11</v>
      </c>
      <c r="AA63" s="76">
        <v>164.9</v>
      </c>
      <c r="AB63" s="76">
        <v>14.11</v>
      </c>
      <c r="AC63" s="76">
        <v>164.9</v>
      </c>
      <c r="AD63" s="76">
        <v>14.11</v>
      </c>
      <c r="AE63" s="76">
        <v>232.9</v>
      </c>
      <c r="AF63" s="76">
        <v>14.11</v>
      </c>
      <c r="AG63" s="76">
        <v>164.9</v>
      </c>
      <c r="AH63" s="76">
        <v>14.11</v>
      </c>
      <c r="AI63" s="76">
        <v>164.9</v>
      </c>
      <c r="AJ63" s="76">
        <v>14.11</v>
      </c>
      <c r="AK63" s="76">
        <v>198.9</v>
      </c>
      <c r="AL63" s="76">
        <v>14.11</v>
      </c>
      <c r="AM63" s="76">
        <v>164.9</v>
      </c>
      <c r="AN63" s="76">
        <v>14.11</v>
      </c>
      <c r="AO63" s="76">
        <v>334.9</v>
      </c>
      <c r="AP63" s="76">
        <v>14.11</v>
      </c>
      <c r="AQ63" s="76">
        <v>198.9</v>
      </c>
      <c r="AR63" s="76">
        <v>14.11</v>
      </c>
      <c r="AS63" s="76">
        <v>164.9</v>
      </c>
      <c r="AT63" s="76">
        <v>14.11</v>
      </c>
      <c r="AU63" s="76">
        <v>164.9</v>
      </c>
      <c r="AV63" s="76">
        <v>14.11</v>
      </c>
      <c r="AW63" s="76">
        <v>198.9</v>
      </c>
      <c r="AX63" s="76">
        <v>14.11</v>
      </c>
      <c r="AY63" s="76">
        <v>232.9</v>
      </c>
    </row>
    <row r="64" spans="1:52" ht="14.25" customHeight="1">
      <c r="A64" s="93" t="s">
        <v>23</v>
      </c>
      <c r="B64" s="78"/>
      <c r="C64" s="78">
        <v>17.16</v>
      </c>
      <c r="D64" s="78"/>
      <c r="E64" s="78">
        <v>17.16</v>
      </c>
      <c r="F64" s="78"/>
      <c r="G64" s="78">
        <v>17.16</v>
      </c>
      <c r="H64" s="78"/>
      <c r="I64" s="78">
        <v>17.16</v>
      </c>
      <c r="J64" s="78"/>
      <c r="K64" s="78">
        <v>17.16</v>
      </c>
      <c r="L64" s="78"/>
      <c r="M64" s="78">
        <v>17.16</v>
      </c>
      <c r="N64" s="78"/>
      <c r="O64" s="78">
        <v>17.16</v>
      </c>
      <c r="P64" s="78"/>
      <c r="Q64" s="78">
        <v>17.16</v>
      </c>
      <c r="R64" s="78"/>
      <c r="S64" s="78">
        <v>17.16</v>
      </c>
      <c r="T64" s="78"/>
      <c r="U64" s="78">
        <v>17.16</v>
      </c>
      <c r="V64" s="78"/>
      <c r="W64" s="78">
        <v>17.16</v>
      </c>
      <c r="X64" s="78"/>
      <c r="Y64" s="88">
        <v>17.16</v>
      </c>
      <c r="Z64" s="76"/>
      <c r="AA64" s="76">
        <v>17.16</v>
      </c>
      <c r="AB64" s="76"/>
      <c r="AC64" s="76">
        <v>17.16</v>
      </c>
      <c r="AD64" s="76"/>
      <c r="AE64" s="76">
        <v>17.16</v>
      </c>
      <c r="AF64" s="76"/>
      <c r="AG64" s="76">
        <v>17.16</v>
      </c>
      <c r="AH64" s="76"/>
      <c r="AI64" s="76">
        <v>17.16</v>
      </c>
      <c r="AJ64" s="76"/>
      <c r="AK64" s="76">
        <v>17.16</v>
      </c>
      <c r="AL64" s="76"/>
      <c r="AM64" s="76">
        <v>17.16</v>
      </c>
      <c r="AN64" s="76"/>
      <c r="AO64" s="76">
        <v>17.16</v>
      </c>
      <c r="AP64" s="76"/>
      <c r="AQ64" s="76">
        <v>17.16</v>
      </c>
      <c r="AR64" s="76"/>
      <c r="AS64" s="76">
        <v>17.16</v>
      </c>
      <c r="AT64" s="76"/>
      <c r="AU64" s="76">
        <v>17.16</v>
      </c>
      <c r="AV64" s="76"/>
      <c r="AW64" s="76">
        <v>17.16</v>
      </c>
      <c r="AX64" s="76"/>
      <c r="AY64" s="76">
        <v>17.16</v>
      </c>
    </row>
    <row r="65" spans="1:52" ht="14.25" customHeight="1">
      <c r="A65" s="93" t="s">
        <v>24</v>
      </c>
      <c r="B65" s="76"/>
      <c r="C65" s="76">
        <v>15.84</v>
      </c>
      <c r="D65" s="76"/>
      <c r="E65" s="76">
        <v>15.84</v>
      </c>
      <c r="F65" s="76"/>
      <c r="G65" s="76">
        <v>15.84</v>
      </c>
      <c r="H65" s="76"/>
      <c r="I65" s="76">
        <v>15.84</v>
      </c>
      <c r="J65" s="76"/>
      <c r="K65" s="76">
        <v>15.84</v>
      </c>
      <c r="L65" s="76"/>
      <c r="M65" s="76">
        <v>15.84</v>
      </c>
      <c r="N65" s="76"/>
      <c r="O65" s="76">
        <v>15.84</v>
      </c>
      <c r="P65" s="76"/>
      <c r="Q65" s="76">
        <v>15.84</v>
      </c>
      <c r="R65" s="76"/>
      <c r="S65" s="76">
        <v>15.84</v>
      </c>
      <c r="T65" s="76"/>
      <c r="U65" s="76">
        <v>15.84</v>
      </c>
      <c r="V65" s="76"/>
      <c r="W65" s="76">
        <v>15.84</v>
      </c>
      <c r="X65" s="76"/>
      <c r="Y65" s="77">
        <v>15.84</v>
      </c>
      <c r="Z65" s="76"/>
      <c r="AA65" s="76">
        <v>15.84</v>
      </c>
      <c r="AB65" s="76"/>
      <c r="AC65" s="76">
        <v>15.84</v>
      </c>
      <c r="AD65" s="76"/>
      <c r="AE65" s="76">
        <v>15.84</v>
      </c>
      <c r="AF65" s="76"/>
      <c r="AG65" s="76">
        <v>15.84</v>
      </c>
      <c r="AH65" s="76"/>
      <c r="AI65" s="76">
        <v>15.84</v>
      </c>
      <c r="AJ65" s="76"/>
      <c r="AK65" s="76">
        <v>15.84</v>
      </c>
      <c r="AL65" s="76"/>
      <c r="AM65" s="76">
        <v>15.84</v>
      </c>
      <c r="AN65" s="76"/>
      <c r="AO65" s="76">
        <v>15.84</v>
      </c>
      <c r="AP65" s="76"/>
      <c r="AQ65" s="76">
        <v>15.84</v>
      </c>
      <c r="AR65" s="76"/>
      <c r="AS65" s="76">
        <v>15.84</v>
      </c>
      <c r="AT65" s="76"/>
      <c r="AU65" s="76">
        <v>15.84</v>
      </c>
      <c r="AV65" s="76"/>
      <c r="AW65" s="76">
        <v>15.84</v>
      </c>
      <c r="AX65" s="76"/>
      <c r="AY65" s="76">
        <v>15.84</v>
      </c>
    </row>
    <row r="66" spans="1:52" ht="14.25" customHeight="1">
      <c r="A66" s="19" t="s">
        <v>91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>
        <v>26</v>
      </c>
      <c r="AH66" s="76"/>
      <c r="AI66" s="76"/>
      <c r="AJ66" s="76"/>
      <c r="AK66" s="76"/>
      <c r="AL66" s="76"/>
      <c r="AM66" s="76"/>
      <c r="AN66" s="76"/>
      <c r="AO66" s="76">
        <v>26</v>
      </c>
      <c r="AP66" s="76"/>
      <c r="AQ66" s="76"/>
      <c r="AR66" s="76"/>
      <c r="AS66" s="76">
        <v>26</v>
      </c>
      <c r="AT66" s="76"/>
      <c r="AU66" s="76"/>
      <c r="AV66" s="76"/>
      <c r="AW66" s="76"/>
      <c r="AX66" s="76"/>
      <c r="AY66" s="76"/>
    </row>
    <row r="67" spans="1:52" ht="14.25" customHeight="1">
      <c r="A67" s="19" t="s">
        <v>92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>
        <v>26</v>
      </c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>
        <v>26</v>
      </c>
      <c r="AX67" s="76"/>
      <c r="AY67" s="76"/>
    </row>
    <row r="68" spans="1:52" ht="14.25" customHeight="1">
      <c r="A68" s="93" t="s">
        <v>93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>
        <v>850</v>
      </c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</row>
    <row r="69" spans="1:52" ht="14.25" customHeight="1">
      <c r="A69" s="93" t="s">
        <v>25</v>
      </c>
      <c r="B69" s="79"/>
      <c r="C69" s="79">
        <v>16.5</v>
      </c>
      <c r="D69" s="79"/>
      <c r="E69" s="79">
        <v>16.5</v>
      </c>
      <c r="F69" s="79"/>
      <c r="G69" s="79">
        <v>16.5</v>
      </c>
      <c r="H69" s="79"/>
      <c r="I69" s="79">
        <v>16.5</v>
      </c>
      <c r="J69" s="79"/>
      <c r="K69" s="79">
        <v>16.5</v>
      </c>
      <c r="L69" s="79"/>
      <c r="M69" s="79">
        <v>16.5</v>
      </c>
      <c r="N69" s="79"/>
      <c r="O69" s="79">
        <v>16.5</v>
      </c>
      <c r="P69" s="79"/>
      <c r="Q69" s="79">
        <v>16.5</v>
      </c>
      <c r="R69" s="79"/>
      <c r="S69" s="79">
        <v>16.5</v>
      </c>
      <c r="T69" s="79"/>
      <c r="U69" s="79">
        <v>16.5</v>
      </c>
      <c r="V69" s="79"/>
      <c r="W69" s="79">
        <v>16.5</v>
      </c>
      <c r="X69" s="79"/>
      <c r="Y69" s="80">
        <v>16.5</v>
      </c>
      <c r="Z69" s="76"/>
      <c r="AA69" s="76">
        <v>16.5</v>
      </c>
      <c r="AB69" s="76"/>
      <c r="AC69" s="76">
        <v>16.5</v>
      </c>
      <c r="AD69" s="76"/>
      <c r="AE69" s="76">
        <v>16.5</v>
      </c>
      <c r="AF69" s="76"/>
      <c r="AG69" s="76">
        <v>16.5</v>
      </c>
      <c r="AH69" s="76"/>
      <c r="AI69" s="76">
        <v>16.5</v>
      </c>
      <c r="AJ69" s="76"/>
      <c r="AK69" s="76">
        <v>16.5</v>
      </c>
      <c r="AL69" s="76"/>
      <c r="AM69" s="76">
        <v>16.5</v>
      </c>
      <c r="AN69" s="76"/>
      <c r="AO69" s="76">
        <v>16.5</v>
      </c>
      <c r="AP69" s="76"/>
      <c r="AQ69" s="76">
        <v>16.5</v>
      </c>
      <c r="AR69" s="76"/>
      <c r="AS69" s="76">
        <v>16.5</v>
      </c>
      <c r="AT69" s="76"/>
      <c r="AU69" s="76">
        <v>16.5</v>
      </c>
      <c r="AV69" s="76"/>
      <c r="AW69" s="76">
        <v>16.5</v>
      </c>
      <c r="AX69" s="76"/>
      <c r="AY69" s="76">
        <v>16.5</v>
      </c>
    </row>
    <row r="70" spans="1:52" ht="14.25" customHeight="1">
      <c r="A70" s="93" t="s">
        <v>94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>
        <v>9.9</v>
      </c>
      <c r="AB70" s="76"/>
      <c r="AC70" s="76">
        <v>9.9</v>
      </c>
      <c r="AD70" s="76"/>
      <c r="AE70" s="76">
        <v>9.9</v>
      </c>
      <c r="AF70" s="76"/>
      <c r="AG70" s="76">
        <v>9.9</v>
      </c>
      <c r="AH70" s="76"/>
      <c r="AI70" s="76">
        <v>9.9</v>
      </c>
      <c r="AJ70" s="76"/>
      <c r="AK70" s="76">
        <v>9.9</v>
      </c>
      <c r="AL70" s="76"/>
      <c r="AM70" s="76">
        <v>9.9</v>
      </c>
      <c r="AN70" s="76"/>
      <c r="AO70" s="76">
        <v>9.9</v>
      </c>
      <c r="AP70" s="76"/>
      <c r="AQ70" s="76">
        <v>9.9</v>
      </c>
      <c r="AR70" s="76"/>
      <c r="AS70" s="76">
        <v>9.9</v>
      </c>
      <c r="AT70" s="76"/>
      <c r="AU70" s="76">
        <v>9.9</v>
      </c>
      <c r="AV70" s="76"/>
      <c r="AW70" s="76">
        <v>9.9</v>
      </c>
      <c r="AX70" s="76"/>
      <c r="AY70" s="76">
        <v>9.9</v>
      </c>
    </row>
    <row r="71" spans="1:52" ht="14.25" customHeight="1">
      <c r="A71" s="93" t="s">
        <v>95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>
        <v>510</v>
      </c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>
        <v>510</v>
      </c>
    </row>
    <row r="72" spans="1:52" ht="14.25" customHeight="1">
      <c r="A72" s="93" t="s">
        <v>96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>
        <v>238</v>
      </c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</row>
    <row r="73" spans="1:52" ht="14.25" customHeight="1">
      <c r="A73" s="93" t="s">
        <v>97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>
        <v>650</v>
      </c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</row>
    <row r="74" spans="1:52" ht="14.25" customHeight="1">
      <c r="A74" s="81" t="s">
        <v>22</v>
      </c>
      <c r="B74" s="86">
        <f t="shared" ref="B74:AY74" si="5">SUM(B63:B73)</f>
        <v>19.399999999999999</v>
      </c>
      <c r="C74" s="86">
        <f t="shared" si="5"/>
        <v>157</v>
      </c>
      <c r="D74" s="86">
        <f t="shared" si="5"/>
        <v>14.11</v>
      </c>
      <c r="E74" s="86">
        <f t="shared" si="5"/>
        <v>181.69</v>
      </c>
      <c r="F74" s="86">
        <f t="shared" si="5"/>
        <v>14.11</v>
      </c>
      <c r="G74" s="86">
        <f t="shared" si="5"/>
        <v>175.34</v>
      </c>
      <c r="H74" s="86">
        <f t="shared" si="5"/>
        <v>14.11</v>
      </c>
      <c r="I74" s="86">
        <f t="shared" si="5"/>
        <v>213.44</v>
      </c>
      <c r="J74" s="86">
        <f t="shared" si="5"/>
        <v>14.11</v>
      </c>
      <c r="K74" s="86">
        <f t="shared" si="5"/>
        <v>169.34</v>
      </c>
      <c r="L74" s="86">
        <f t="shared" si="5"/>
        <v>14.11</v>
      </c>
      <c r="M74" s="86">
        <f t="shared" si="5"/>
        <v>196.51</v>
      </c>
      <c r="N74" s="86">
        <f t="shared" si="5"/>
        <v>14.11</v>
      </c>
      <c r="O74" s="86">
        <f t="shared" si="5"/>
        <v>148.18</v>
      </c>
      <c r="P74" s="86">
        <f t="shared" si="5"/>
        <v>14.11</v>
      </c>
      <c r="Q74" s="86">
        <f t="shared" si="5"/>
        <v>181.69</v>
      </c>
      <c r="R74" s="86">
        <f t="shared" si="5"/>
        <v>14.11</v>
      </c>
      <c r="S74" s="86">
        <f t="shared" si="5"/>
        <v>178.87</v>
      </c>
      <c r="T74" s="86">
        <f t="shared" si="5"/>
        <v>14.11</v>
      </c>
      <c r="U74" s="86">
        <f t="shared" si="5"/>
        <v>313.99</v>
      </c>
      <c r="V74" s="86">
        <f t="shared" si="5"/>
        <v>19.399999999999999</v>
      </c>
      <c r="W74" s="86">
        <f t="shared" si="5"/>
        <v>157</v>
      </c>
      <c r="X74" s="86">
        <f t="shared" si="5"/>
        <v>14.11</v>
      </c>
      <c r="Y74" s="86">
        <f t="shared" si="5"/>
        <v>181.69</v>
      </c>
      <c r="Z74" s="86">
        <f t="shared" si="5"/>
        <v>524.11</v>
      </c>
      <c r="AA74" s="86">
        <f t="shared" si="5"/>
        <v>224.3</v>
      </c>
      <c r="AB74" s="86">
        <f t="shared" si="5"/>
        <v>864.11</v>
      </c>
      <c r="AC74" s="86">
        <f t="shared" si="5"/>
        <v>224.3</v>
      </c>
      <c r="AD74" s="86">
        <f t="shared" si="5"/>
        <v>252.11</v>
      </c>
      <c r="AE74" s="86">
        <f t="shared" si="5"/>
        <v>292.29999999999995</v>
      </c>
      <c r="AF74" s="86">
        <f t="shared" si="5"/>
        <v>14.11</v>
      </c>
      <c r="AG74" s="86">
        <f t="shared" si="5"/>
        <v>250.3</v>
      </c>
      <c r="AH74" s="86">
        <f t="shared" si="5"/>
        <v>14.11</v>
      </c>
      <c r="AI74" s="86">
        <f t="shared" si="5"/>
        <v>224.3</v>
      </c>
      <c r="AJ74" s="86">
        <f t="shared" si="5"/>
        <v>664.11</v>
      </c>
      <c r="AK74" s="86">
        <f t="shared" si="5"/>
        <v>284.29999999999995</v>
      </c>
      <c r="AL74" s="86">
        <f t="shared" si="5"/>
        <v>14.11</v>
      </c>
      <c r="AM74" s="86">
        <f t="shared" si="5"/>
        <v>224.3</v>
      </c>
      <c r="AN74" s="86">
        <f t="shared" si="5"/>
        <v>14.11</v>
      </c>
      <c r="AO74" s="86">
        <f t="shared" si="5"/>
        <v>420.29999999999995</v>
      </c>
      <c r="AP74" s="86">
        <f t="shared" si="5"/>
        <v>14.11</v>
      </c>
      <c r="AQ74" s="86">
        <f t="shared" si="5"/>
        <v>258.3</v>
      </c>
      <c r="AR74" s="86">
        <f t="shared" si="5"/>
        <v>14.11</v>
      </c>
      <c r="AS74" s="86">
        <f t="shared" si="5"/>
        <v>250.3</v>
      </c>
      <c r="AT74" s="86">
        <f t="shared" si="5"/>
        <v>14.11</v>
      </c>
      <c r="AU74" s="86">
        <f t="shared" si="5"/>
        <v>224.3</v>
      </c>
      <c r="AV74" s="86">
        <f t="shared" si="5"/>
        <v>14.11</v>
      </c>
      <c r="AW74" s="86">
        <f t="shared" si="5"/>
        <v>284.29999999999995</v>
      </c>
      <c r="AX74" s="86">
        <f t="shared" si="5"/>
        <v>14.11</v>
      </c>
      <c r="AY74" s="86">
        <f t="shared" si="5"/>
        <v>802.3</v>
      </c>
      <c r="AZ74" s="83">
        <f t="shared" ref="AZ74:AZ75" si="6">SUM(B74:AY74)</f>
        <v>8829.9699999999975</v>
      </c>
    </row>
    <row r="75" spans="1:52" ht="14.25" customHeight="1">
      <c r="A75" s="164" t="s">
        <v>98</v>
      </c>
      <c r="B75" s="165">
        <f t="shared" ref="B75:AY75" si="7">+B11+B62+B74</f>
        <v>100.53999999999999</v>
      </c>
      <c r="C75" s="165">
        <f t="shared" si="7"/>
        <v>334.78</v>
      </c>
      <c r="D75" s="165">
        <f t="shared" si="7"/>
        <v>95.249999999999986</v>
      </c>
      <c r="E75" s="165">
        <f t="shared" si="7"/>
        <v>359.46999999999997</v>
      </c>
      <c r="F75" s="165">
        <f t="shared" si="7"/>
        <v>95.249999999999986</v>
      </c>
      <c r="G75" s="165">
        <f t="shared" si="7"/>
        <v>371.12</v>
      </c>
      <c r="H75" s="165">
        <f t="shared" si="7"/>
        <v>95.249999999999986</v>
      </c>
      <c r="I75" s="165">
        <f t="shared" si="7"/>
        <v>391.21999999999997</v>
      </c>
      <c r="J75" s="165">
        <f t="shared" si="7"/>
        <v>95.249999999999986</v>
      </c>
      <c r="K75" s="165">
        <f t="shared" si="7"/>
        <v>469.80999999999995</v>
      </c>
      <c r="L75" s="165">
        <f t="shared" si="7"/>
        <v>95.249999999999986</v>
      </c>
      <c r="M75" s="165">
        <f t="shared" si="7"/>
        <v>392.28999999999996</v>
      </c>
      <c r="N75" s="165">
        <f t="shared" si="7"/>
        <v>95.249999999999986</v>
      </c>
      <c r="O75" s="165">
        <f t="shared" si="7"/>
        <v>357.96</v>
      </c>
      <c r="P75" s="165">
        <f t="shared" si="7"/>
        <v>95.249999999999986</v>
      </c>
      <c r="Q75" s="165">
        <f t="shared" si="7"/>
        <v>359.46999999999997</v>
      </c>
      <c r="R75" s="165">
        <f t="shared" si="7"/>
        <v>95.249999999999986</v>
      </c>
      <c r="S75" s="165">
        <f t="shared" si="7"/>
        <v>374.65</v>
      </c>
      <c r="T75" s="165">
        <f t="shared" si="7"/>
        <v>95.249999999999986</v>
      </c>
      <c r="U75" s="165">
        <f t="shared" si="7"/>
        <v>787.32</v>
      </c>
      <c r="V75" s="165">
        <f t="shared" si="7"/>
        <v>100.53999999999999</v>
      </c>
      <c r="W75" s="165">
        <f t="shared" si="7"/>
        <v>334.78</v>
      </c>
      <c r="X75" s="165">
        <f t="shared" si="7"/>
        <v>95.249999999999986</v>
      </c>
      <c r="Y75" s="165">
        <f t="shared" si="7"/>
        <v>377.46999999999997</v>
      </c>
      <c r="Z75" s="165">
        <f t="shared" si="7"/>
        <v>1007.3599999999999</v>
      </c>
      <c r="AA75" s="165">
        <f t="shared" si="7"/>
        <v>402.08</v>
      </c>
      <c r="AB75" s="165">
        <f t="shared" si="7"/>
        <v>945.25</v>
      </c>
      <c r="AC75" s="165">
        <f t="shared" si="7"/>
        <v>434.08</v>
      </c>
      <c r="AD75" s="165">
        <f t="shared" si="7"/>
        <v>839.05000000000007</v>
      </c>
      <c r="AE75" s="165">
        <f t="shared" si="7"/>
        <v>683.29</v>
      </c>
      <c r="AF75" s="165">
        <f t="shared" si="7"/>
        <v>95.249999999999986</v>
      </c>
      <c r="AG75" s="165">
        <f t="shared" si="7"/>
        <v>428.08</v>
      </c>
      <c r="AH75" s="165">
        <f t="shared" si="7"/>
        <v>95.249999999999986</v>
      </c>
      <c r="AI75" s="165">
        <f t="shared" si="7"/>
        <v>402.08</v>
      </c>
      <c r="AJ75" s="165">
        <f t="shared" si="7"/>
        <v>1420.38</v>
      </c>
      <c r="AK75" s="165">
        <f t="shared" si="7"/>
        <v>534.91999999999996</v>
      </c>
      <c r="AL75" s="165">
        <f t="shared" si="7"/>
        <v>95.249999999999986</v>
      </c>
      <c r="AM75" s="165">
        <f t="shared" si="7"/>
        <v>402.08</v>
      </c>
      <c r="AN75" s="165">
        <f t="shared" si="7"/>
        <v>95.249999999999986</v>
      </c>
      <c r="AO75" s="165">
        <f t="shared" si="7"/>
        <v>838.79</v>
      </c>
      <c r="AP75" s="165">
        <f t="shared" si="7"/>
        <v>95.249999999999986</v>
      </c>
      <c r="AQ75" s="165">
        <f t="shared" si="7"/>
        <v>540.92000000000007</v>
      </c>
      <c r="AR75" s="165">
        <f t="shared" si="7"/>
        <v>95.249999999999986</v>
      </c>
      <c r="AS75" s="165">
        <f t="shared" si="7"/>
        <v>428.08</v>
      </c>
      <c r="AT75" s="165">
        <f t="shared" si="7"/>
        <v>95.249999999999986</v>
      </c>
      <c r="AU75" s="165">
        <f t="shared" si="7"/>
        <v>402.08</v>
      </c>
      <c r="AV75" s="165">
        <f t="shared" si="7"/>
        <v>95.249999999999986</v>
      </c>
      <c r="AW75" s="165">
        <f t="shared" si="7"/>
        <v>534.91999999999996</v>
      </c>
      <c r="AX75" s="165">
        <f t="shared" si="7"/>
        <v>95.249999999999986</v>
      </c>
      <c r="AY75" s="165">
        <f t="shared" si="7"/>
        <v>1432.5</v>
      </c>
      <c r="AZ75" s="83">
        <f t="shared" si="6"/>
        <v>18597.11</v>
      </c>
    </row>
    <row r="76" spans="1:52" ht="14.25" customHeight="1"/>
    <row r="77" spans="1:52" ht="14.25" customHeight="1"/>
    <row r="78" spans="1:52" ht="14.25" customHeight="1"/>
    <row r="79" spans="1:52" ht="14.25" customHeight="1"/>
    <row r="80" spans="1:5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Y1"/>
  </mergeCells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="85" zoomScaleNormal="85" workbookViewId="0">
      <selection activeCell="E11" sqref="E11"/>
    </sheetView>
  </sheetViews>
  <sheetFormatPr baseColWidth="10" defaultColWidth="14.44140625" defaultRowHeight="15" customHeight="1"/>
  <cols>
    <col min="1" max="1" width="10.6640625" customWidth="1"/>
    <col min="2" max="2" width="3.44140625" customWidth="1"/>
    <col min="3" max="3" width="20" customWidth="1"/>
    <col min="4" max="4" width="29.109375" customWidth="1"/>
    <col min="5" max="5" width="13.109375" customWidth="1"/>
    <col min="6" max="26" width="10.6640625" customWidth="1"/>
  </cols>
  <sheetData>
    <row r="1" spans="1:26" ht="14.25" customHeight="1"/>
    <row r="2" spans="1:26" ht="14.25" customHeight="1">
      <c r="B2" s="236" t="s">
        <v>202</v>
      </c>
      <c r="C2" s="227"/>
      <c r="D2" s="227"/>
      <c r="E2" s="228"/>
      <c r="G2" s="35" t="s">
        <v>203</v>
      </c>
    </row>
    <row r="3" spans="1:26" ht="14.25" customHeight="1">
      <c r="B3" s="166">
        <v>1</v>
      </c>
      <c r="C3" s="19" t="s">
        <v>204</v>
      </c>
      <c r="D3" s="237" t="s">
        <v>205</v>
      </c>
      <c r="E3" s="77">
        <f>+'DETALLADO MANT 4X4'!AZ11*G3</f>
        <v>3368.1700000000005</v>
      </c>
      <c r="G3" s="52">
        <v>1</v>
      </c>
    </row>
    <row r="4" spans="1:26" ht="14.25" customHeight="1">
      <c r="B4" s="166">
        <v>2</v>
      </c>
      <c r="C4" s="19" t="s">
        <v>206</v>
      </c>
      <c r="D4" s="238"/>
      <c r="E4" s="77">
        <f>+'DETALLADO MANT 4X4'!AZ62*G3</f>
        <v>6767.7800000000007</v>
      </c>
    </row>
    <row r="5" spans="1:26" ht="14.25" customHeight="1">
      <c r="B5" s="166">
        <v>3</v>
      </c>
      <c r="C5" s="19" t="s">
        <v>207</v>
      </c>
      <c r="D5" s="239"/>
      <c r="E5" s="77">
        <f>+'DETALLADO MANT 4X4'!AZ74*G3</f>
        <v>8829.9699999999975</v>
      </c>
    </row>
    <row r="6" spans="1:26" ht="39" customHeight="1">
      <c r="A6" s="112"/>
      <c r="B6" s="167">
        <v>4</v>
      </c>
      <c r="C6" s="126" t="s">
        <v>208</v>
      </c>
      <c r="D6" s="168" t="s">
        <v>209</v>
      </c>
      <c r="E6" s="169">
        <f>(E3+E4+E5)*0.3</f>
        <v>5689.7759999999989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B7" s="240" t="s">
        <v>210</v>
      </c>
      <c r="C7" s="241"/>
      <c r="D7" s="234"/>
      <c r="E7" s="170">
        <f>SUM(E3:E6)</f>
        <v>24655.695999999996</v>
      </c>
    </row>
    <row r="8" spans="1:26" ht="14.25" customHeight="1">
      <c r="B8" s="242" t="s">
        <v>211</v>
      </c>
      <c r="C8" s="243"/>
      <c r="D8" s="243"/>
      <c r="E8" s="243"/>
    </row>
    <row r="9" spans="1:26" ht="14.25" customHeight="1"/>
    <row r="10" spans="1:26" ht="14.25" customHeight="1">
      <c r="B10" s="236" t="s">
        <v>212</v>
      </c>
      <c r="C10" s="227"/>
      <c r="D10" s="227"/>
      <c r="E10" s="228"/>
      <c r="G10" s="35" t="s">
        <v>203</v>
      </c>
    </row>
    <row r="11" spans="1:26" ht="14.25" customHeight="1">
      <c r="B11" s="166">
        <v>1</v>
      </c>
      <c r="C11" s="19" t="s">
        <v>204</v>
      </c>
      <c r="D11" s="237" t="s">
        <v>205</v>
      </c>
      <c r="E11" s="77">
        <f>'DETALLADO MANT 4X2.'!AZ11*G11</f>
        <v>2998.9900000000007</v>
      </c>
      <c r="G11" s="52">
        <v>1</v>
      </c>
    </row>
    <row r="12" spans="1:26" ht="14.25" customHeight="1">
      <c r="B12" s="166">
        <v>2</v>
      </c>
      <c r="C12" s="19" t="s">
        <v>206</v>
      </c>
      <c r="D12" s="238"/>
      <c r="E12" s="77">
        <f>'DETALLADO MANT 4X2.'!AZ62*G11</f>
        <v>6768.1500000000005</v>
      </c>
    </row>
    <row r="13" spans="1:26" ht="14.25" customHeight="1">
      <c r="B13" s="166">
        <v>3</v>
      </c>
      <c r="C13" s="19" t="s">
        <v>207</v>
      </c>
      <c r="D13" s="239"/>
      <c r="E13" s="77">
        <f>'DETALLADO MANT 4X2.'!AZ74*G11</f>
        <v>8829.9699999999975</v>
      </c>
    </row>
    <row r="14" spans="1:26" ht="14.25" customHeight="1">
      <c r="B14" s="167">
        <v>4</v>
      </c>
      <c r="C14" s="126" t="s">
        <v>208</v>
      </c>
      <c r="D14" s="168" t="s">
        <v>209</v>
      </c>
      <c r="E14" s="169">
        <f>(E11+E12+E13)*0.3</f>
        <v>5579.1329999999998</v>
      </c>
    </row>
    <row r="15" spans="1:26" ht="14.25" customHeight="1">
      <c r="B15" s="240" t="s">
        <v>210</v>
      </c>
      <c r="C15" s="241"/>
      <c r="D15" s="234"/>
      <c r="E15" s="170">
        <f>SUM(E11:E14)</f>
        <v>24176.243000000002</v>
      </c>
    </row>
    <row r="16" spans="1:26" ht="14.25" customHeight="1">
      <c r="B16" s="242" t="s">
        <v>211</v>
      </c>
      <c r="C16" s="243"/>
      <c r="D16" s="243"/>
      <c r="E16" s="24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D11:D13"/>
    <mergeCell ref="B15:D15"/>
    <mergeCell ref="B16:E16"/>
    <mergeCell ref="B2:E2"/>
    <mergeCell ref="D3:D5"/>
    <mergeCell ref="B7:D7"/>
    <mergeCell ref="B8:E8"/>
    <mergeCell ref="B10:E10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workbookViewId="0"/>
  </sheetViews>
  <sheetFormatPr baseColWidth="10" defaultColWidth="14.44140625" defaultRowHeight="15" customHeight="1"/>
  <cols>
    <col min="1" max="1" width="42.44140625" customWidth="1"/>
    <col min="2" max="26" width="10.6640625" customWidth="1"/>
  </cols>
  <sheetData>
    <row r="1" spans="1:25" ht="14.25" customHeight="1">
      <c r="A1" s="236" t="s">
        <v>213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8"/>
    </row>
    <row r="2" spans="1:25" ht="14.25" customHeight="1">
      <c r="A2" s="131" t="s">
        <v>0</v>
      </c>
      <c r="B2" s="124">
        <v>5000</v>
      </c>
      <c r="C2" s="124">
        <v>10000</v>
      </c>
      <c r="D2" s="124">
        <v>15000</v>
      </c>
      <c r="E2" s="124">
        <v>20000</v>
      </c>
      <c r="F2" s="124">
        <v>25000</v>
      </c>
      <c r="G2" s="124">
        <v>30000</v>
      </c>
      <c r="H2" s="124">
        <v>35000</v>
      </c>
      <c r="I2" s="124">
        <v>40000</v>
      </c>
      <c r="J2" s="124">
        <v>45000</v>
      </c>
      <c r="K2" s="124">
        <v>50000</v>
      </c>
      <c r="L2" s="124">
        <v>55000</v>
      </c>
      <c r="M2" s="124">
        <v>60000</v>
      </c>
      <c r="N2" s="124">
        <v>65000</v>
      </c>
      <c r="O2" s="124">
        <v>70000</v>
      </c>
      <c r="P2" s="124">
        <v>75000</v>
      </c>
      <c r="Q2" s="124">
        <v>80000</v>
      </c>
      <c r="R2" s="124">
        <v>85000</v>
      </c>
      <c r="S2" s="124">
        <v>90000</v>
      </c>
      <c r="T2" s="124">
        <v>95000</v>
      </c>
      <c r="U2" s="124">
        <v>100000</v>
      </c>
      <c r="V2" s="124">
        <v>105000</v>
      </c>
      <c r="W2" s="124">
        <v>110000</v>
      </c>
      <c r="X2" s="124">
        <v>115000</v>
      </c>
      <c r="Y2" s="133">
        <v>120000</v>
      </c>
    </row>
    <row r="3" spans="1:25" ht="14.25" customHeight="1">
      <c r="A3" s="6" t="s">
        <v>3</v>
      </c>
      <c r="B3" s="171" t="s">
        <v>33</v>
      </c>
      <c r="C3" s="171" t="s">
        <v>33</v>
      </c>
      <c r="D3" s="171" t="s">
        <v>33</v>
      </c>
      <c r="E3" s="171" t="s">
        <v>33</v>
      </c>
      <c r="F3" s="171" t="s">
        <v>33</v>
      </c>
      <c r="G3" s="171" t="s">
        <v>33</v>
      </c>
      <c r="H3" s="171" t="s">
        <v>33</v>
      </c>
      <c r="I3" s="171" t="s">
        <v>33</v>
      </c>
      <c r="J3" s="171" t="s">
        <v>33</v>
      </c>
      <c r="K3" s="171" t="s">
        <v>33</v>
      </c>
      <c r="L3" s="171" t="s">
        <v>33</v>
      </c>
      <c r="M3" s="171" t="s">
        <v>33</v>
      </c>
      <c r="N3" s="171" t="s">
        <v>33</v>
      </c>
      <c r="O3" s="171" t="s">
        <v>33</v>
      </c>
      <c r="P3" s="171" t="s">
        <v>33</v>
      </c>
      <c r="Q3" s="171" t="s">
        <v>33</v>
      </c>
      <c r="R3" s="171" t="s">
        <v>33</v>
      </c>
      <c r="S3" s="171" t="s">
        <v>33</v>
      </c>
      <c r="T3" s="171" t="s">
        <v>33</v>
      </c>
      <c r="U3" s="171" t="s">
        <v>33</v>
      </c>
      <c r="V3" s="171" t="s">
        <v>33</v>
      </c>
      <c r="W3" s="171" t="s">
        <v>33</v>
      </c>
      <c r="X3" s="171" t="s">
        <v>33</v>
      </c>
      <c r="Y3" s="172" t="s">
        <v>33</v>
      </c>
    </row>
    <row r="4" spans="1:25" ht="14.25" customHeight="1">
      <c r="A4" s="6" t="s">
        <v>4</v>
      </c>
      <c r="B4" s="171" t="s">
        <v>33</v>
      </c>
      <c r="C4" s="171" t="s">
        <v>33</v>
      </c>
      <c r="D4" s="171" t="s">
        <v>33</v>
      </c>
      <c r="E4" s="171" t="s">
        <v>33</v>
      </c>
      <c r="F4" s="171" t="s">
        <v>33</v>
      </c>
      <c r="G4" s="171" t="s">
        <v>33</v>
      </c>
      <c r="H4" s="171" t="s">
        <v>33</v>
      </c>
      <c r="I4" s="171" t="s">
        <v>33</v>
      </c>
      <c r="J4" s="171" t="s">
        <v>33</v>
      </c>
      <c r="K4" s="171" t="s">
        <v>33</v>
      </c>
      <c r="L4" s="171" t="s">
        <v>33</v>
      </c>
      <c r="M4" s="171" t="s">
        <v>33</v>
      </c>
      <c r="N4" s="171" t="s">
        <v>33</v>
      </c>
      <c r="O4" s="171" t="s">
        <v>33</v>
      </c>
      <c r="P4" s="171" t="s">
        <v>33</v>
      </c>
      <c r="Q4" s="171" t="s">
        <v>33</v>
      </c>
      <c r="R4" s="171" t="s">
        <v>33</v>
      </c>
      <c r="S4" s="171" t="s">
        <v>33</v>
      </c>
      <c r="T4" s="171" t="s">
        <v>33</v>
      </c>
      <c r="U4" s="171" t="s">
        <v>33</v>
      </c>
      <c r="V4" s="171" t="s">
        <v>33</v>
      </c>
      <c r="W4" s="171" t="s">
        <v>33</v>
      </c>
      <c r="X4" s="171" t="s">
        <v>33</v>
      </c>
      <c r="Y4" s="172" t="s">
        <v>33</v>
      </c>
    </row>
    <row r="5" spans="1:25" ht="14.25" customHeight="1">
      <c r="A5" s="6" t="s">
        <v>5</v>
      </c>
      <c r="B5" s="171" t="s">
        <v>33</v>
      </c>
      <c r="C5" s="171" t="s">
        <v>33</v>
      </c>
      <c r="D5" s="171" t="s">
        <v>33</v>
      </c>
      <c r="E5" s="171" t="s">
        <v>33</v>
      </c>
      <c r="F5" s="171" t="s">
        <v>33</v>
      </c>
      <c r="G5" s="171" t="s">
        <v>33</v>
      </c>
      <c r="H5" s="171" t="s">
        <v>33</v>
      </c>
      <c r="I5" s="171" t="s">
        <v>33</v>
      </c>
      <c r="J5" s="171" t="s">
        <v>33</v>
      </c>
      <c r="K5" s="171" t="s">
        <v>33</v>
      </c>
      <c r="L5" s="171" t="s">
        <v>33</v>
      </c>
      <c r="M5" s="171" t="s">
        <v>33</v>
      </c>
      <c r="N5" s="171" t="s">
        <v>33</v>
      </c>
      <c r="O5" s="171" t="s">
        <v>33</v>
      </c>
      <c r="P5" s="171" t="s">
        <v>33</v>
      </c>
      <c r="Q5" s="171" t="s">
        <v>33</v>
      </c>
      <c r="R5" s="171" t="s">
        <v>33</v>
      </c>
      <c r="S5" s="171" t="s">
        <v>33</v>
      </c>
      <c r="T5" s="171" t="s">
        <v>33</v>
      </c>
      <c r="U5" s="171" t="s">
        <v>33</v>
      </c>
      <c r="V5" s="171" t="s">
        <v>33</v>
      </c>
      <c r="W5" s="171" t="s">
        <v>33</v>
      </c>
      <c r="X5" s="171" t="s">
        <v>33</v>
      </c>
      <c r="Y5" s="172" t="s">
        <v>33</v>
      </c>
    </row>
    <row r="6" spans="1:25" ht="14.25" customHeight="1">
      <c r="A6" s="6" t="s">
        <v>6</v>
      </c>
      <c r="B6" s="171" t="s">
        <v>33</v>
      </c>
      <c r="C6" s="171" t="s">
        <v>33</v>
      </c>
      <c r="D6" s="171" t="s">
        <v>33</v>
      </c>
      <c r="E6" s="171" t="s">
        <v>33</v>
      </c>
      <c r="F6" s="171" t="s">
        <v>33</v>
      </c>
      <c r="G6" s="171" t="s">
        <v>33</v>
      </c>
      <c r="H6" s="171" t="s">
        <v>33</v>
      </c>
      <c r="I6" s="171" t="s">
        <v>33</v>
      </c>
      <c r="J6" s="171" t="s">
        <v>33</v>
      </c>
      <c r="K6" s="171" t="s">
        <v>33</v>
      </c>
      <c r="L6" s="171" t="s">
        <v>33</v>
      </c>
      <c r="M6" s="171" t="s">
        <v>33</v>
      </c>
      <c r="N6" s="171" t="s">
        <v>33</v>
      </c>
      <c r="O6" s="171" t="s">
        <v>33</v>
      </c>
      <c r="P6" s="171" t="s">
        <v>33</v>
      </c>
      <c r="Q6" s="171" t="s">
        <v>33</v>
      </c>
      <c r="R6" s="171" t="s">
        <v>33</v>
      </c>
      <c r="S6" s="171" t="s">
        <v>33</v>
      </c>
      <c r="T6" s="171" t="s">
        <v>33</v>
      </c>
      <c r="U6" s="171" t="s">
        <v>33</v>
      </c>
      <c r="V6" s="171" t="s">
        <v>33</v>
      </c>
      <c r="W6" s="171" t="s">
        <v>33</v>
      </c>
      <c r="X6" s="171" t="s">
        <v>33</v>
      </c>
      <c r="Y6" s="172" t="s">
        <v>33</v>
      </c>
    </row>
    <row r="7" spans="1:25" ht="14.25" customHeight="1">
      <c r="A7" s="6" t="s">
        <v>7</v>
      </c>
      <c r="B7" s="8"/>
      <c r="C7" s="171" t="s">
        <v>33</v>
      </c>
      <c r="D7" s="8"/>
      <c r="E7" s="171" t="s">
        <v>33</v>
      </c>
      <c r="F7" s="8"/>
      <c r="G7" s="171" t="s">
        <v>33</v>
      </c>
      <c r="H7" s="8"/>
      <c r="I7" s="171" t="s">
        <v>33</v>
      </c>
      <c r="J7" s="8"/>
      <c r="K7" s="171" t="s">
        <v>33</v>
      </c>
      <c r="L7" s="8"/>
      <c r="M7" s="171" t="s">
        <v>33</v>
      </c>
      <c r="N7" s="8"/>
      <c r="O7" s="171" t="s">
        <v>33</v>
      </c>
      <c r="P7" s="8"/>
      <c r="Q7" s="171" t="s">
        <v>33</v>
      </c>
      <c r="R7" s="8"/>
      <c r="S7" s="171" t="s">
        <v>33</v>
      </c>
      <c r="T7" s="8"/>
      <c r="U7" s="171" t="s">
        <v>33</v>
      </c>
      <c r="V7" s="8"/>
      <c r="W7" s="171" t="s">
        <v>33</v>
      </c>
      <c r="X7" s="8"/>
      <c r="Y7" s="172" t="s">
        <v>33</v>
      </c>
    </row>
    <row r="8" spans="1:25" ht="14.25" customHeight="1">
      <c r="A8" s="6" t="s">
        <v>8</v>
      </c>
      <c r="B8" s="8"/>
      <c r="C8" s="171" t="s">
        <v>33</v>
      </c>
      <c r="D8" s="8"/>
      <c r="E8" s="171" t="s">
        <v>33</v>
      </c>
      <c r="F8" s="8"/>
      <c r="G8" s="171" t="s">
        <v>33</v>
      </c>
      <c r="H8" s="8"/>
      <c r="I8" s="171" t="s">
        <v>33</v>
      </c>
      <c r="J8" s="8"/>
      <c r="K8" s="171" t="s">
        <v>33</v>
      </c>
      <c r="L8" s="8"/>
      <c r="M8" s="171" t="s">
        <v>33</v>
      </c>
      <c r="N8" s="8"/>
      <c r="O8" s="171" t="s">
        <v>33</v>
      </c>
      <c r="P8" s="8"/>
      <c r="Q8" s="171" t="s">
        <v>33</v>
      </c>
      <c r="R8" s="8"/>
      <c r="S8" s="171" t="s">
        <v>33</v>
      </c>
      <c r="T8" s="8"/>
      <c r="U8" s="171" t="s">
        <v>33</v>
      </c>
      <c r="V8" s="8"/>
      <c r="W8" s="171" t="s">
        <v>33</v>
      </c>
      <c r="X8" s="8"/>
      <c r="Y8" s="172" t="s">
        <v>33</v>
      </c>
    </row>
    <row r="9" spans="1:25" ht="14.25" customHeight="1">
      <c r="A9" s="6" t="s">
        <v>9</v>
      </c>
      <c r="B9" s="8"/>
      <c r="C9" s="171" t="s">
        <v>33</v>
      </c>
      <c r="D9" s="8"/>
      <c r="E9" s="171" t="s">
        <v>33</v>
      </c>
      <c r="F9" s="8"/>
      <c r="G9" s="171" t="s">
        <v>33</v>
      </c>
      <c r="H9" s="8"/>
      <c r="I9" s="171" t="s">
        <v>33</v>
      </c>
      <c r="J9" s="8"/>
      <c r="K9" s="171" t="s">
        <v>33</v>
      </c>
      <c r="L9" s="8"/>
      <c r="M9" s="171" t="s">
        <v>33</v>
      </c>
      <c r="N9" s="8"/>
      <c r="O9" s="171" t="s">
        <v>33</v>
      </c>
      <c r="P9" s="8"/>
      <c r="Q9" s="171" t="s">
        <v>33</v>
      </c>
      <c r="R9" s="8"/>
      <c r="S9" s="171" t="s">
        <v>33</v>
      </c>
      <c r="T9" s="8"/>
      <c r="U9" s="171" t="s">
        <v>33</v>
      </c>
      <c r="V9" s="8"/>
      <c r="W9" s="171" t="s">
        <v>33</v>
      </c>
      <c r="X9" s="8"/>
      <c r="Y9" s="172" t="s">
        <v>33</v>
      </c>
    </row>
    <row r="10" spans="1:25" ht="14.25" customHeight="1">
      <c r="A10" s="6" t="s">
        <v>10</v>
      </c>
      <c r="B10" s="8"/>
      <c r="C10" s="171" t="s">
        <v>33</v>
      </c>
      <c r="D10" s="8"/>
      <c r="E10" s="171" t="s">
        <v>33</v>
      </c>
      <c r="F10" s="8"/>
      <c r="G10" s="171" t="s">
        <v>33</v>
      </c>
      <c r="H10" s="8"/>
      <c r="I10" s="171" t="s">
        <v>33</v>
      </c>
      <c r="J10" s="8"/>
      <c r="K10" s="171" t="s">
        <v>33</v>
      </c>
      <c r="L10" s="8"/>
      <c r="M10" s="171" t="s">
        <v>33</v>
      </c>
      <c r="N10" s="8"/>
      <c r="O10" s="171" t="s">
        <v>33</v>
      </c>
      <c r="P10" s="8"/>
      <c r="Q10" s="171" t="s">
        <v>33</v>
      </c>
      <c r="R10" s="8"/>
      <c r="S10" s="171" t="s">
        <v>33</v>
      </c>
      <c r="T10" s="8"/>
      <c r="U10" s="171" t="s">
        <v>33</v>
      </c>
      <c r="V10" s="8"/>
      <c r="W10" s="171" t="s">
        <v>33</v>
      </c>
      <c r="X10" s="8"/>
      <c r="Y10" s="172" t="s">
        <v>33</v>
      </c>
    </row>
    <row r="11" spans="1:25" ht="14.25" customHeight="1">
      <c r="A11" s="6" t="s">
        <v>11</v>
      </c>
      <c r="B11" s="8"/>
      <c r="C11" s="171" t="s">
        <v>33</v>
      </c>
      <c r="D11" s="8"/>
      <c r="E11" s="171" t="s">
        <v>33</v>
      </c>
      <c r="F11" s="8"/>
      <c r="G11" s="171" t="s">
        <v>33</v>
      </c>
      <c r="H11" s="8"/>
      <c r="I11" s="171" t="s">
        <v>33</v>
      </c>
      <c r="J11" s="8"/>
      <c r="K11" s="171" t="s">
        <v>33</v>
      </c>
      <c r="L11" s="8"/>
      <c r="M11" s="171" t="s">
        <v>33</v>
      </c>
      <c r="N11" s="8"/>
      <c r="O11" s="171" t="s">
        <v>33</v>
      </c>
      <c r="P11" s="8"/>
      <c r="Q11" s="171" t="s">
        <v>33</v>
      </c>
      <c r="R11" s="8"/>
      <c r="S11" s="171" t="s">
        <v>33</v>
      </c>
      <c r="T11" s="8"/>
      <c r="U11" s="171" t="s">
        <v>33</v>
      </c>
      <c r="V11" s="8"/>
      <c r="W11" s="171" t="s">
        <v>33</v>
      </c>
      <c r="X11" s="8"/>
      <c r="Y11" s="172" t="s">
        <v>33</v>
      </c>
    </row>
    <row r="12" spans="1:25" ht="14.25" customHeight="1">
      <c r="A12" s="6" t="s">
        <v>12</v>
      </c>
      <c r="B12" s="8"/>
      <c r="C12" s="171" t="s">
        <v>33</v>
      </c>
      <c r="D12" s="8"/>
      <c r="E12" s="171" t="s">
        <v>33</v>
      </c>
      <c r="F12" s="8"/>
      <c r="G12" s="171" t="s">
        <v>33</v>
      </c>
      <c r="H12" s="8"/>
      <c r="I12" s="171" t="s">
        <v>33</v>
      </c>
      <c r="J12" s="8"/>
      <c r="K12" s="171" t="s">
        <v>33</v>
      </c>
      <c r="L12" s="8"/>
      <c r="M12" s="171" t="s">
        <v>33</v>
      </c>
      <c r="N12" s="8"/>
      <c r="O12" s="171" t="s">
        <v>33</v>
      </c>
      <c r="P12" s="8"/>
      <c r="Q12" s="171" t="s">
        <v>33</v>
      </c>
      <c r="R12" s="8"/>
      <c r="S12" s="171" t="s">
        <v>33</v>
      </c>
      <c r="T12" s="8"/>
      <c r="U12" s="171" t="s">
        <v>33</v>
      </c>
      <c r="V12" s="8"/>
      <c r="W12" s="171" t="s">
        <v>33</v>
      </c>
      <c r="X12" s="8"/>
      <c r="Y12" s="172" t="s">
        <v>33</v>
      </c>
    </row>
    <row r="13" spans="1:25" ht="14.25" customHeight="1">
      <c r="A13" s="6" t="s">
        <v>13</v>
      </c>
      <c r="B13" s="8"/>
      <c r="C13" s="171" t="s">
        <v>33</v>
      </c>
      <c r="D13" s="8"/>
      <c r="E13" s="171" t="s">
        <v>33</v>
      </c>
      <c r="F13" s="8"/>
      <c r="G13" s="171" t="s">
        <v>33</v>
      </c>
      <c r="H13" s="8"/>
      <c r="I13" s="171" t="s">
        <v>33</v>
      </c>
      <c r="J13" s="8"/>
      <c r="K13" s="171" t="s">
        <v>33</v>
      </c>
      <c r="L13" s="8"/>
      <c r="M13" s="171" t="s">
        <v>33</v>
      </c>
      <c r="N13" s="8"/>
      <c r="O13" s="171" t="s">
        <v>33</v>
      </c>
      <c r="P13" s="8"/>
      <c r="Q13" s="171" t="s">
        <v>33</v>
      </c>
      <c r="R13" s="8"/>
      <c r="S13" s="171" t="s">
        <v>33</v>
      </c>
      <c r="T13" s="8"/>
      <c r="U13" s="171" t="s">
        <v>33</v>
      </c>
      <c r="V13" s="8"/>
      <c r="W13" s="171" t="s">
        <v>33</v>
      </c>
      <c r="X13" s="8"/>
      <c r="Y13" s="172" t="s">
        <v>33</v>
      </c>
    </row>
    <row r="14" spans="1:25" ht="14.25" hidden="1" customHeight="1">
      <c r="A14" s="6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</row>
    <row r="15" spans="1:25" ht="14.25" customHeight="1">
      <c r="A15" s="6" t="s">
        <v>52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171" t="s">
        <v>33</v>
      </c>
      <c r="V15" s="8"/>
      <c r="W15" s="8"/>
      <c r="X15" s="8"/>
      <c r="Y15" s="9"/>
    </row>
    <row r="16" spans="1:25" ht="14.25" customHeight="1">
      <c r="A16" s="6" t="s">
        <v>214</v>
      </c>
      <c r="B16" s="8"/>
      <c r="C16" s="8"/>
      <c r="D16" s="8"/>
      <c r="E16" s="8"/>
      <c r="F16" s="8"/>
      <c r="G16" s="8"/>
      <c r="H16" s="8"/>
      <c r="I16" s="8"/>
      <c r="J16" s="8"/>
      <c r="K16" s="171" t="s">
        <v>33</v>
      </c>
      <c r="L16" s="8"/>
      <c r="M16" s="8"/>
      <c r="N16" s="8"/>
      <c r="O16" s="8"/>
      <c r="P16" s="8"/>
      <c r="Q16" s="8"/>
      <c r="R16" s="8"/>
      <c r="S16" s="8"/>
      <c r="T16" s="8"/>
      <c r="U16" s="171" t="s">
        <v>33</v>
      </c>
      <c r="V16" s="8"/>
      <c r="W16" s="8"/>
      <c r="X16" s="8"/>
      <c r="Y16" s="9"/>
    </row>
    <row r="17" spans="1:25" ht="14.25" customHeight="1">
      <c r="A17" s="6" t="s">
        <v>215</v>
      </c>
      <c r="B17" s="8"/>
      <c r="C17" s="8"/>
      <c r="D17" s="8"/>
      <c r="E17" s="8"/>
      <c r="F17" s="8"/>
      <c r="G17" s="8"/>
      <c r="H17" s="8"/>
      <c r="I17" s="8"/>
      <c r="J17" s="8"/>
      <c r="K17" s="171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171" t="s">
        <v>33</v>
      </c>
      <c r="V17" s="8"/>
      <c r="W17" s="8"/>
      <c r="X17" s="8"/>
      <c r="Y17" s="9"/>
    </row>
    <row r="18" spans="1:25" ht="14.25" customHeight="1">
      <c r="A18" s="6" t="s">
        <v>216</v>
      </c>
      <c r="B18" s="8"/>
      <c r="C18" s="8"/>
      <c r="D18" s="8"/>
      <c r="E18" s="8"/>
      <c r="F18" s="8"/>
      <c r="G18" s="8"/>
      <c r="H18" s="8"/>
      <c r="I18" s="8"/>
      <c r="J18" s="8"/>
      <c r="K18" s="171" t="s">
        <v>33</v>
      </c>
      <c r="L18" s="8"/>
      <c r="M18" s="8"/>
      <c r="N18" s="8"/>
      <c r="O18" s="8"/>
      <c r="P18" s="8"/>
      <c r="Q18" s="8"/>
      <c r="R18" s="8"/>
      <c r="S18" s="8"/>
      <c r="T18" s="8"/>
      <c r="U18" s="171" t="s">
        <v>33</v>
      </c>
      <c r="V18" s="8"/>
      <c r="W18" s="8"/>
      <c r="X18" s="8"/>
      <c r="Y18" s="9"/>
    </row>
    <row r="19" spans="1:25" ht="14.25" customHeight="1">
      <c r="A19" s="6" t="s">
        <v>217</v>
      </c>
      <c r="B19" s="8"/>
      <c r="C19" s="8"/>
      <c r="D19" s="8"/>
      <c r="E19" s="8"/>
      <c r="F19" s="8"/>
      <c r="G19" s="8"/>
      <c r="H19" s="8"/>
      <c r="I19" s="8"/>
      <c r="J19" s="8"/>
      <c r="K19" s="171" t="s">
        <v>33</v>
      </c>
      <c r="L19" s="8"/>
      <c r="M19" s="8"/>
      <c r="N19" s="8"/>
      <c r="O19" s="8"/>
      <c r="P19" s="8"/>
      <c r="Q19" s="8"/>
      <c r="R19" s="8"/>
      <c r="S19" s="8"/>
      <c r="T19" s="8"/>
      <c r="U19" s="171" t="s">
        <v>33</v>
      </c>
      <c r="V19" s="8"/>
      <c r="W19" s="8"/>
      <c r="X19" s="8"/>
      <c r="Y19" s="9"/>
    </row>
    <row r="20" spans="1:25" ht="14.25" customHeight="1">
      <c r="A20" s="6" t="s">
        <v>18</v>
      </c>
      <c r="B20" s="171" t="s">
        <v>33</v>
      </c>
      <c r="C20" s="171" t="s">
        <v>33</v>
      </c>
      <c r="D20" s="171" t="s">
        <v>33</v>
      </c>
      <c r="E20" s="171" t="s">
        <v>33</v>
      </c>
      <c r="F20" s="171" t="s">
        <v>33</v>
      </c>
      <c r="G20" s="171" t="s">
        <v>33</v>
      </c>
      <c r="H20" s="171" t="s">
        <v>33</v>
      </c>
      <c r="I20" s="171" t="s">
        <v>33</v>
      </c>
      <c r="J20" s="171" t="s">
        <v>33</v>
      </c>
      <c r="K20" s="171" t="s">
        <v>33</v>
      </c>
      <c r="L20" s="171" t="s">
        <v>33</v>
      </c>
      <c r="M20" s="171" t="s">
        <v>33</v>
      </c>
      <c r="N20" s="171" t="s">
        <v>33</v>
      </c>
      <c r="O20" s="171" t="s">
        <v>33</v>
      </c>
      <c r="P20" s="171" t="s">
        <v>33</v>
      </c>
      <c r="Q20" s="171" t="s">
        <v>33</v>
      </c>
      <c r="R20" s="171" t="s">
        <v>33</v>
      </c>
      <c r="S20" s="171" t="s">
        <v>33</v>
      </c>
      <c r="T20" s="171" t="s">
        <v>33</v>
      </c>
      <c r="U20" s="171" t="s">
        <v>33</v>
      </c>
      <c r="V20" s="171" t="s">
        <v>33</v>
      </c>
      <c r="W20" s="171" t="s">
        <v>33</v>
      </c>
      <c r="X20" s="171" t="s">
        <v>33</v>
      </c>
      <c r="Y20" s="172" t="s">
        <v>33</v>
      </c>
    </row>
    <row r="21" spans="1:25" ht="14.25" customHeight="1">
      <c r="A21" s="6" t="s">
        <v>19</v>
      </c>
      <c r="B21" s="8"/>
      <c r="C21" s="8"/>
      <c r="D21" s="8"/>
      <c r="E21" s="8"/>
      <c r="F21" s="8"/>
      <c r="G21" s="8"/>
      <c r="H21" s="8"/>
      <c r="I21" s="8"/>
      <c r="J21" s="8"/>
      <c r="K21" s="171" t="s">
        <v>33</v>
      </c>
      <c r="L21" s="8"/>
      <c r="M21" s="8"/>
      <c r="N21" s="8"/>
      <c r="O21" s="8"/>
      <c r="P21" s="8"/>
      <c r="Q21" s="8"/>
      <c r="R21" s="8"/>
      <c r="S21" s="8"/>
      <c r="T21" s="8"/>
      <c r="U21" s="171" t="s">
        <v>33</v>
      </c>
      <c r="V21" s="8"/>
      <c r="W21" s="8"/>
      <c r="X21" s="8"/>
      <c r="Y21" s="9"/>
    </row>
    <row r="22" spans="1:25" ht="14.25" customHeight="1">
      <c r="A22" s="159" t="s">
        <v>20</v>
      </c>
      <c r="B22" s="8"/>
      <c r="C22" s="8"/>
      <c r="D22" s="8"/>
      <c r="E22" s="8"/>
      <c r="F22" s="8"/>
      <c r="G22" s="171" t="s">
        <v>33</v>
      </c>
      <c r="H22" s="8"/>
      <c r="I22" s="8"/>
      <c r="J22" s="8"/>
      <c r="K22" s="8"/>
      <c r="L22" s="8"/>
      <c r="M22" s="171" t="s">
        <v>33</v>
      </c>
      <c r="N22" s="8"/>
      <c r="O22" s="8"/>
      <c r="P22" s="8"/>
      <c r="Q22" s="8"/>
      <c r="R22" s="8"/>
      <c r="S22" s="171" t="s">
        <v>33</v>
      </c>
      <c r="T22" s="8"/>
      <c r="U22" s="8"/>
      <c r="V22" s="8"/>
      <c r="W22" s="8"/>
      <c r="X22" s="8"/>
      <c r="Y22" s="9"/>
    </row>
    <row r="23" spans="1:25" ht="14.25" customHeight="1">
      <c r="A23" s="20" t="s">
        <v>55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71" t="s">
        <v>33</v>
      </c>
      <c r="P23" s="137"/>
      <c r="Q23" s="137"/>
      <c r="R23" s="137"/>
      <c r="S23" s="137"/>
      <c r="T23" s="137"/>
      <c r="U23" s="137"/>
      <c r="V23" s="137"/>
      <c r="W23" s="137"/>
      <c r="X23" s="137"/>
      <c r="Y23" s="138"/>
    </row>
    <row r="24" spans="1:25" ht="14.25" customHeight="1">
      <c r="A24" s="28" t="s">
        <v>107</v>
      </c>
      <c r="B24" s="173" t="s">
        <v>33</v>
      </c>
      <c r="C24" s="173" t="s">
        <v>33</v>
      </c>
      <c r="D24" s="173" t="s">
        <v>33</v>
      </c>
      <c r="E24" s="173" t="s">
        <v>33</v>
      </c>
      <c r="F24" s="173" t="s">
        <v>33</v>
      </c>
      <c r="G24" s="173" t="s">
        <v>33</v>
      </c>
      <c r="H24" s="173" t="s">
        <v>33</v>
      </c>
      <c r="I24" s="173" t="s">
        <v>33</v>
      </c>
      <c r="J24" s="173" t="s">
        <v>33</v>
      </c>
      <c r="K24" s="173" t="s">
        <v>33</v>
      </c>
      <c r="L24" s="173" t="s">
        <v>33</v>
      </c>
      <c r="M24" s="173" t="s">
        <v>33</v>
      </c>
      <c r="N24" s="173" t="s">
        <v>33</v>
      </c>
      <c r="O24" s="173" t="s">
        <v>33</v>
      </c>
      <c r="P24" s="173" t="s">
        <v>33</v>
      </c>
      <c r="Q24" s="173" t="s">
        <v>33</v>
      </c>
      <c r="R24" s="173" t="s">
        <v>33</v>
      </c>
      <c r="S24" s="173" t="s">
        <v>33</v>
      </c>
      <c r="T24" s="173" t="s">
        <v>33</v>
      </c>
      <c r="U24" s="173" t="s">
        <v>33</v>
      </c>
      <c r="V24" s="173" t="s">
        <v>33</v>
      </c>
      <c r="W24" s="173" t="s">
        <v>33</v>
      </c>
      <c r="X24" s="173" t="s">
        <v>33</v>
      </c>
      <c r="Y24" s="174" t="s">
        <v>33</v>
      </c>
    </row>
    <row r="25" spans="1:25" ht="14.25" customHeight="1">
      <c r="A25" s="31" t="s">
        <v>23</v>
      </c>
      <c r="B25" s="33"/>
      <c r="C25" s="171" t="s">
        <v>33</v>
      </c>
      <c r="D25" s="33"/>
      <c r="E25" s="171" t="s">
        <v>33</v>
      </c>
      <c r="F25" s="33"/>
      <c r="G25" s="171" t="s">
        <v>33</v>
      </c>
      <c r="H25" s="33"/>
      <c r="I25" s="171" t="s">
        <v>33</v>
      </c>
      <c r="J25" s="33"/>
      <c r="K25" s="171" t="s">
        <v>33</v>
      </c>
      <c r="L25" s="33"/>
      <c r="M25" s="171" t="s">
        <v>33</v>
      </c>
      <c r="N25" s="33"/>
      <c r="O25" s="171" t="s">
        <v>33</v>
      </c>
      <c r="P25" s="33"/>
      <c r="Q25" s="171" t="s">
        <v>33</v>
      </c>
      <c r="R25" s="33"/>
      <c r="S25" s="171" t="s">
        <v>33</v>
      </c>
      <c r="T25" s="33"/>
      <c r="U25" s="171" t="s">
        <v>33</v>
      </c>
      <c r="V25" s="33"/>
      <c r="W25" s="171" t="s">
        <v>33</v>
      </c>
      <c r="X25" s="33"/>
      <c r="Y25" s="172" t="s">
        <v>33</v>
      </c>
    </row>
    <row r="26" spans="1:25" ht="14.25" customHeight="1">
      <c r="A26" s="6" t="s">
        <v>24</v>
      </c>
      <c r="B26" s="8"/>
      <c r="C26" s="171" t="s">
        <v>33</v>
      </c>
      <c r="D26" s="8"/>
      <c r="E26" s="171" t="s">
        <v>33</v>
      </c>
      <c r="F26" s="8"/>
      <c r="G26" s="171" t="s">
        <v>33</v>
      </c>
      <c r="H26" s="8"/>
      <c r="I26" s="171" t="s">
        <v>33</v>
      </c>
      <c r="J26" s="8"/>
      <c r="K26" s="171" t="s">
        <v>33</v>
      </c>
      <c r="L26" s="8"/>
      <c r="M26" s="171" t="s">
        <v>33</v>
      </c>
      <c r="N26" s="8"/>
      <c r="O26" s="171" t="s">
        <v>33</v>
      </c>
      <c r="P26" s="8"/>
      <c r="Q26" s="171" t="s">
        <v>33</v>
      </c>
      <c r="R26" s="8"/>
      <c r="S26" s="171" t="s">
        <v>33</v>
      </c>
      <c r="T26" s="8"/>
      <c r="U26" s="171" t="s">
        <v>33</v>
      </c>
      <c r="V26" s="8"/>
      <c r="W26" s="171" t="s">
        <v>33</v>
      </c>
      <c r="X26" s="8"/>
      <c r="Y26" s="172" t="s">
        <v>33</v>
      </c>
    </row>
    <row r="27" spans="1:25" ht="14.25" customHeight="1">
      <c r="A27" s="40" t="s">
        <v>25</v>
      </c>
      <c r="B27" s="175"/>
      <c r="C27" s="176" t="s">
        <v>33</v>
      </c>
      <c r="D27" s="175"/>
      <c r="E27" s="176" t="s">
        <v>33</v>
      </c>
      <c r="F27" s="175"/>
      <c r="G27" s="176" t="s">
        <v>33</v>
      </c>
      <c r="H27" s="175"/>
      <c r="I27" s="176" t="s">
        <v>33</v>
      </c>
      <c r="J27" s="175"/>
      <c r="K27" s="176" t="s">
        <v>33</v>
      </c>
      <c r="L27" s="175"/>
      <c r="M27" s="176" t="s">
        <v>33</v>
      </c>
      <c r="N27" s="175"/>
      <c r="O27" s="176" t="s">
        <v>33</v>
      </c>
      <c r="P27" s="175"/>
      <c r="Q27" s="176" t="s">
        <v>33</v>
      </c>
      <c r="R27" s="175"/>
      <c r="S27" s="176" t="s">
        <v>33</v>
      </c>
      <c r="T27" s="175"/>
      <c r="U27" s="176" t="s">
        <v>33</v>
      </c>
      <c r="V27" s="175"/>
      <c r="W27" s="176" t="s">
        <v>33</v>
      </c>
      <c r="X27" s="175"/>
      <c r="Y27" s="177" t="s">
        <v>33</v>
      </c>
    </row>
    <row r="28" spans="1:25" ht="14.25" customHeight="1"/>
    <row r="29" spans="1:25" ht="14.25" customHeight="1"/>
    <row r="30" spans="1:25" ht="14.25" customHeight="1"/>
    <row r="31" spans="1:25" ht="14.25" customHeight="1"/>
    <row r="32" spans="1:2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Y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50" customWidth="1"/>
    <col min="3" max="3" width="16" customWidth="1"/>
    <col min="4" max="4" width="13.88671875" customWidth="1"/>
    <col min="5" max="5" width="10.6640625" customWidth="1"/>
    <col min="6" max="6" width="15.6640625" customWidth="1"/>
    <col min="7" max="7" width="12.5546875" customWidth="1"/>
    <col min="8" max="8" width="14" customWidth="1"/>
    <col min="9" max="26" width="10.6640625" customWidth="1"/>
  </cols>
  <sheetData>
    <row r="1" spans="1:8" ht="14.25" customHeight="1">
      <c r="A1" s="178" t="s">
        <v>99</v>
      </c>
      <c r="B1" s="244" t="s">
        <v>100</v>
      </c>
      <c r="C1" s="224"/>
      <c r="D1" s="224"/>
      <c r="E1" s="224"/>
      <c r="F1" s="224"/>
      <c r="G1" s="224"/>
      <c r="H1" s="225"/>
    </row>
    <row r="2" spans="1:8" ht="14.25" customHeight="1">
      <c r="A2" s="178" t="s">
        <v>101</v>
      </c>
      <c r="B2" s="179" t="s">
        <v>0</v>
      </c>
      <c r="C2" s="244" t="s">
        <v>102</v>
      </c>
      <c r="D2" s="224"/>
      <c r="E2" s="224"/>
      <c r="F2" s="225"/>
      <c r="G2" s="244" t="s">
        <v>218</v>
      </c>
      <c r="H2" s="225"/>
    </row>
    <row r="3" spans="1:8" ht="14.25" customHeight="1">
      <c r="A3" s="178" t="s">
        <v>103</v>
      </c>
      <c r="B3" s="180" t="s">
        <v>104</v>
      </c>
      <c r="C3" s="181" t="s">
        <v>21</v>
      </c>
      <c r="D3" s="180" t="s">
        <v>219</v>
      </c>
      <c r="E3" s="181" t="s">
        <v>51</v>
      </c>
      <c r="F3" s="180" t="s">
        <v>220</v>
      </c>
      <c r="G3" s="180" t="s">
        <v>111</v>
      </c>
      <c r="H3" s="180" t="s">
        <v>221</v>
      </c>
    </row>
    <row r="4" spans="1:8" ht="14.25" customHeight="1">
      <c r="A4" s="178">
        <v>1</v>
      </c>
      <c r="B4" s="182" t="s">
        <v>112</v>
      </c>
      <c r="C4" s="183">
        <v>1170</v>
      </c>
      <c r="D4" s="184">
        <v>147.6</v>
      </c>
      <c r="E4" s="182"/>
      <c r="F4" s="184">
        <f t="shared" ref="F4:F27" si="0">SUM(C4:E4)</f>
        <v>1317.6</v>
      </c>
      <c r="G4" s="184">
        <f t="shared" ref="G4:G27" si="1">F4*0.12</f>
        <v>158.11199999999999</v>
      </c>
      <c r="H4" s="184">
        <f t="shared" ref="H4:H27" si="2">SUM(F4:G4)</f>
        <v>1475.712</v>
      </c>
    </row>
    <row r="5" spans="1:8" ht="14.25" customHeight="1">
      <c r="A5" s="178">
        <v>2</v>
      </c>
      <c r="B5" s="182" t="s">
        <v>115</v>
      </c>
      <c r="C5" s="184">
        <v>99.09</v>
      </c>
      <c r="D5" s="184">
        <v>132.75</v>
      </c>
      <c r="E5" s="182"/>
      <c r="F5" s="184">
        <f t="shared" si="0"/>
        <v>231.84</v>
      </c>
      <c r="G5" s="184">
        <f t="shared" si="1"/>
        <v>27.820799999999998</v>
      </c>
      <c r="H5" s="184">
        <f t="shared" si="2"/>
        <v>259.66079999999999</v>
      </c>
    </row>
    <row r="6" spans="1:8" ht="14.25" customHeight="1">
      <c r="A6" s="178">
        <v>3</v>
      </c>
      <c r="B6" s="182" t="s">
        <v>117</v>
      </c>
      <c r="C6" s="184">
        <v>187.49</v>
      </c>
      <c r="D6" s="184">
        <v>82.5</v>
      </c>
      <c r="E6" s="183">
        <v>15</v>
      </c>
      <c r="F6" s="184">
        <f t="shared" si="0"/>
        <v>284.99</v>
      </c>
      <c r="G6" s="184">
        <f t="shared" si="1"/>
        <v>34.198799999999999</v>
      </c>
      <c r="H6" s="184">
        <f t="shared" si="2"/>
        <v>319.18880000000001</v>
      </c>
    </row>
    <row r="7" spans="1:8" ht="14.25" customHeight="1">
      <c r="A7" s="178">
        <v>4</v>
      </c>
      <c r="B7" s="182" t="s">
        <v>120</v>
      </c>
      <c r="C7" s="184">
        <v>157.52000000000001</v>
      </c>
      <c r="D7" s="184">
        <v>28.5</v>
      </c>
      <c r="E7" s="182"/>
      <c r="F7" s="184">
        <f t="shared" si="0"/>
        <v>186.02</v>
      </c>
      <c r="G7" s="184">
        <f t="shared" si="1"/>
        <v>22.322400000000002</v>
      </c>
      <c r="H7" s="184">
        <f t="shared" si="2"/>
        <v>208.3424</v>
      </c>
    </row>
    <row r="8" spans="1:8" ht="14.25" customHeight="1">
      <c r="A8" s="178">
        <v>5</v>
      </c>
      <c r="B8" s="182" t="s">
        <v>122</v>
      </c>
      <c r="C8" s="183">
        <v>116</v>
      </c>
      <c r="D8" s="184">
        <v>28.5</v>
      </c>
      <c r="E8" s="182"/>
      <c r="F8" s="184">
        <f t="shared" si="0"/>
        <v>144.5</v>
      </c>
      <c r="G8" s="184">
        <f t="shared" si="1"/>
        <v>17.34</v>
      </c>
      <c r="H8" s="184">
        <f t="shared" si="2"/>
        <v>161.84</v>
      </c>
    </row>
    <row r="9" spans="1:8" ht="14.25" customHeight="1">
      <c r="A9" s="178">
        <v>6</v>
      </c>
      <c r="B9" s="182" t="s">
        <v>124</v>
      </c>
      <c r="C9" s="184">
        <v>204.44</v>
      </c>
      <c r="D9" s="184">
        <v>123.75</v>
      </c>
      <c r="E9" s="182"/>
      <c r="F9" s="184">
        <f t="shared" si="0"/>
        <v>328.19</v>
      </c>
      <c r="G9" s="184">
        <f t="shared" si="1"/>
        <v>39.382799999999996</v>
      </c>
      <c r="H9" s="184">
        <f t="shared" si="2"/>
        <v>367.57279999999997</v>
      </c>
    </row>
    <row r="10" spans="1:8" ht="14.25" customHeight="1">
      <c r="A10" s="178">
        <v>7</v>
      </c>
      <c r="B10" s="182" t="s">
        <v>126</v>
      </c>
      <c r="C10" s="184">
        <v>48.88</v>
      </c>
      <c r="D10" s="184">
        <v>61.05</v>
      </c>
      <c r="E10" s="182"/>
      <c r="F10" s="184">
        <f t="shared" si="0"/>
        <v>109.93</v>
      </c>
      <c r="G10" s="184">
        <f t="shared" si="1"/>
        <v>13.191600000000001</v>
      </c>
      <c r="H10" s="184">
        <f t="shared" si="2"/>
        <v>123.1216</v>
      </c>
    </row>
    <row r="11" spans="1:8" ht="14.25" customHeight="1">
      <c r="A11" s="178">
        <v>8</v>
      </c>
      <c r="B11" s="182" t="s">
        <v>128</v>
      </c>
      <c r="C11" s="184">
        <v>7.76</v>
      </c>
      <c r="D11" s="183">
        <v>82</v>
      </c>
      <c r="E11" s="182"/>
      <c r="F11" s="184">
        <f t="shared" si="0"/>
        <v>89.76</v>
      </c>
      <c r="G11" s="184">
        <f t="shared" si="1"/>
        <v>10.7712</v>
      </c>
      <c r="H11" s="184">
        <f t="shared" si="2"/>
        <v>100.53120000000001</v>
      </c>
    </row>
    <row r="12" spans="1:8" ht="14.25" customHeight="1">
      <c r="A12" s="178">
        <v>9</v>
      </c>
      <c r="B12" s="182" t="s">
        <v>130</v>
      </c>
      <c r="C12" s="184">
        <v>119.18</v>
      </c>
      <c r="D12" s="183">
        <v>30</v>
      </c>
      <c r="E12" s="182"/>
      <c r="F12" s="184">
        <f t="shared" si="0"/>
        <v>149.18</v>
      </c>
      <c r="G12" s="184">
        <f t="shared" si="1"/>
        <v>17.901599999999998</v>
      </c>
      <c r="H12" s="184">
        <f t="shared" si="2"/>
        <v>167.08160000000001</v>
      </c>
    </row>
    <row r="13" spans="1:8" ht="14.25" customHeight="1">
      <c r="A13" s="178">
        <v>10</v>
      </c>
      <c r="B13" s="182" t="s">
        <v>132</v>
      </c>
      <c r="C13" s="184">
        <v>141.47999999999999</v>
      </c>
      <c r="D13" s="183">
        <v>30</v>
      </c>
      <c r="E13" s="182"/>
      <c r="F13" s="184">
        <f t="shared" si="0"/>
        <v>171.48</v>
      </c>
      <c r="G13" s="184">
        <f t="shared" si="1"/>
        <v>20.577599999999997</v>
      </c>
      <c r="H13" s="184">
        <f t="shared" si="2"/>
        <v>192.05759999999998</v>
      </c>
    </row>
    <row r="14" spans="1:8" ht="14.25" customHeight="1">
      <c r="A14" s="178">
        <v>11</v>
      </c>
      <c r="B14" s="182" t="s">
        <v>134</v>
      </c>
      <c r="C14" s="184">
        <v>40</v>
      </c>
      <c r="D14" s="184">
        <v>82.5</v>
      </c>
      <c r="E14" s="182"/>
      <c r="F14" s="184">
        <f t="shared" si="0"/>
        <v>122.5</v>
      </c>
      <c r="G14" s="184">
        <f t="shared" si="1"/>
        <v>14.7</v>
      </c>
      <c r="H14" s="184">
        <f t="shared" si="2"/>
        <v>137.19999999999999</v>
      </c>
    </row>
    <row r="15" spans="1:8" ht="14.25" customHeight="1">
      <c r="A15" s="178">
        <v>12</v>
      </c>
      <c r="B15" s="182" t="s">
        <v>136</v>
      </c>
      <c r="C15" s="184">
        <v>12.96</v>
      </c>
      <c r="D15" s="184">
        <v>82.5</v>
      </c>
      <c r="E15" s="182"/>
      <c r="F15" s="184">
        <f t="shared" si="0"/>
        <v>95.460000000000008</v>
      </c>
      <c r="G15" s="184">
        <f t="shared" si="1"/>
        <v>11.455200000000001</v>
      </c>
      <c r="H15" s="184">
        <f t="shared" si="2"/>
        <v>106.91520000000001</v>
      </c>
    </row>
    <row r="16" spans="1:8" ht="14.25" customHeight="1">
      <c r="A16" s="178">
        <v>13</v>
      </c>
      <c r="B16" s="182" t="s">
        <v>139</v>
      </c>
      <c r="C16" s="184">
        <v>201.37</v>
      </c>
      <c r="D16" s="184">
        <v>86.05</v>
      </c>
      <c r="E16" s="182"/>
      <c r="F16" s="184">
        <f t="shared" si="0"/>
        <v>287.42</v>
      </c>
      <c r="G16" s="184">
        <f t="shared" si="1"/>
        <v>34.490400000000001</v>
      </c>
      <c r="H16" s="184">
        <f t="shared" si="2"/>
        <v>321.91040000000004</v>
      </c>
    </row>
    <row r="17" spans="1:8" ht="14.25" customHeight="1">
      <c r="A17" s="178">
        <v>14</v>
      </c>
      <c r="B17" s="182" t="s">
        <v>142</v>
      </c>
      <c r="C17" s="184">
        <v>30.44</v>
      </c>
      <c r="D17" s="184">
        <v>50.05</v>
      </c>
      <c r="E17" s="182"/>
      <c r="F17" s="184">
        <f t="shared" si="0"/>
        <v>80.489999999999995</v>
      </c>
      <c r="G17" s="184">
        <f t="shared" si="1"/>
        <v>9.6587999999999994</v>
      </c>
      <c r="H17" s="184">
        <f t="shared" si="2"/>
        <v>90.148799999999994</v>
      </c>
    </row>
    <row r="18" spans="1:8" ht="14.25" customHeight="1">
      <c r="A18" s="178">
        <v>15</v>
      </c>
      <c r="B18" s="182" t="s">
        <v>144</v>
      </c>
      <c r="C18" s="184">
        <v>1557.56</v>
      </c>
      <c r="D18" s="184">
        <v>41.25</v>
      </c>
      <c r="E18" s="182"/>
      <c r="F18" s="184">
        <f t="shared" si="0"/>
        <v>1598.81</v>
      </c>
      <c r="G18" s="184">
        <f t="shared" si="1"/>
        <v>191.85719999999998</v>
      </c>
      <c r="H18" s="184">
        <f t="shared" si="2"/>
        <v>1790.6671999999999</v>
      </c>
    </row>
    <row r="19" spans="1:8" ht="14.25" customHeight="1">
      <c r="A19" s="178">
        <v>16</v>
      </c>
      <c r="B19" s="182" t="s">
        <v>146</v>
      </c>
      <c r="C19" s="184">
        <v>1340.14</v>
      </c>
      <c r="D19" s="184">
        <v>99.5</v>
      </c>
      <c r="E19" s="182"/>
      <c r="F19" s="184">
        <f t="shared" si="0"/>
        <v>1439.64</v>
      </c>
      <c r="G19" s="184">
        <f t="shared" si="1"/>
        <v>172.7568</v>
      </c>
      <c r="H19" s="184">
        <f t="shared" si="2"/>
        <v>1612.3968</v>
      </c>
    </row>
    <row r="20" spans="1:8" ht="14.25" customHeight="1">
      <c r="A20" s="178">
        <v>17</v>
      </c>
      <c r="B20" s="182" t="s">
        <v>149</v>
      </c>
      <c r="C20" s="183">
        <v>500</v>
      </c>
      <c r="D20" s="184">
        <v>82.5</v>
      </c>
      <c r="E20" s="183">
        <v>15</v>
      </c>
      <c r="F20" s="184">
        <f t="shared" si="0"/>
        <v>597.5</v>
      </c>
      <c r="G20" s="184">
        <f t="shared" si="1"/>
        <v>71.7</v>
      </c>
      <c r="H20" s="184">
        <f t="shared" si="2"/>
        <v>669.2</v>
      </c>
    </row>
    <row r="21" spans="1:8" ht="14.25" customHeight="1">
      <c r="A21" s="178">
        <v>18</v>
      </c>
      <c r="B21" s="182" t="s">
        <v>151</v>
      </c>
      <c r="C21" s="184">
        <v>71.36</v>
      </c>
      <c r="D21" s="183">
        <v>51</v>
      </c>
      <c r="E21" s="182"/>
      <c r="F21" s="184">
        <f t="shared" si="0"/>
        <v>122.36</v>
      </c>
      <c r="G21" s="184">
        <f t="shared" si="1"/>
        <v>14.683199999999999</v>
      </c>
      <c r="H21" s="184">
        <f t="shared" si="2"/>
        <v>137.04320000000001</v>
      </c>
    </row>
    <row r="22" spans="1:8" ht="14.25" customHeight="1">
      <c r="A22" s="178">
        <v>19</v>
      </c>
      <c r="B22" s="182" t="s">
        <v>154</v>
      </c>
      <c r="C22" s="184">
        <v>71.08</v>
      </c>
      <c r="D22" s="183">
        <v>51</v>
      </c>
      <c r="E22" s="182"/>
      <c r="F22" s="184">
        <f t="shared" si="0"/>
        <v>122.08</v>
      </c>
      <c r="G22" s="184">
        <f t="shared" si="1"/>
        <v>14.6496</v>
      </c>
      <c r="H22" s="184">
        <f t="shared" si="2"/>
        <v>136.7296</v>
      </c>
    </row>
    <row r="23" spans="1:8" ht="14.25" customHeight="1">
      <c r="A23" s="178">
        <v>20</v>
      </c>
      <c r="B23" s="182" t="s">
        <v>155</v>
      </c>
      <c r="C23" s="184">
        <v>390.18</v>
      </c>
      <c r="D23" s="184">
        <v>109.5</v>
      </c>
      <c r="E23" s="182"/>
      <c r="F23" s="184">
        <f t="shared" si="0"/>
        <v>499.68</v>
      </c>
      <c r="G23" s="184">
        <f t="shared" si="1"/>
        <v>59.961599999999997</v>
      </c>
      <c r="H23" s="184">
        <f t="shared" si="2"/>
        <v>559.64160000000004</v>
      </c>
    </row>
    <row r="24" spans="1:8" ht="14.25" customHeight="1">
      <c r="A24" s="178">
        <v>21</v>
      </c>
      <c r="B24" s="182" t="s">
        <v>158</v>
      </c>
      <c r="C24" s="184">
        <v>48.27</v>
      </c>
      <c r="D24" s="184">
        <v>14.85</v>
      </c>
      <c r="E24" s="182"/>
      <c r="F24" s="184">
        <f t="shared" si="0"/>
        <v>63.120000000000005</v>
      </c>
      <c r="G24" s="184">
        <f t="shared" si="1"/>
        <v>7.5744000000000007</v>
      </c>
      <c r="H24" s="184">
        <f t="shared" si="2"/>
        <v>70.694400000000002</v>
      </c>
    </row>
    <row r="25" spans="1:8" ht="14.25" customHeight="1">
      <c r="A25" s="178">
        <v>22</v>
      </c>
      <c r="B25" s="182" t="s">
        <v>160</v>
      </c>
      <c r="C25" s="184">
        <v>177.84</v>
      </c>
      <c r="D25" s="183">
        <v>240</v>
      </c>
      <c r="E25" s="183">
        <v>48</v>
      </c>
      <c r="F25" s="184">
        <f t="shared" si="0"/>
        <v>465.84000000000003</v>
      </c>
      <c r="G25" s="184">
        <f t="shared" si="1"/>
        <v>55.900800000000004</v>
      </c>
      <c r="H25" s="184">
        <f t="shared" si="2"/>
        <v>521.74080000000004</v>
      </c>
    </row>
    <row r="26" spans="1:8" ht="14.25" customHeight="1">
      <c r="A26" s="178">
        <v>23</v>
      </c>
      <c r="B26" s="182" t="s">
        <v>163</v>
      </c>
      <c r="C26" s="184">
        <v>192.32</v>
      </c>
      <c r="D26" s="183">
        <v>240</v>
      </c>
      <c r="E26" s="183">
        <v>48</v>
      </c>
      <c r="F26" s="184">
        <f t="shared" si="0"/>
        <v>480.32</v>
      </c>
      <c r="G26" s="184">
        <f t="shared" si="1"/>
        <v>57.638399999999997</v>
      </c>
      <c r="H26" s="184">
        <f t="shared" si="2"/>
        <v>537.95839999999998</v>
      </c>
    </row>
    <row r="27" spans="1:8" ht="14.25" customHeight="1">
      <c r="A27" s="185">
        <v>24</v>
      </c>
      <c r="B27" s="186" t="s">
        <v>165</v>
      </c>
      <c r="C27" s="187">
        <v>329.28</v>
      </c>
      <c r="D27" s="188">
        <v>66</v>
      </c>
      <c r="E27" s="186"/>
      <c r="F27" s="184">
        <f t="shared" si="0"/>
        <v>395.28</v>
      </c>
      <c r="G27" s="184">
        <f t="shared" si="1"/>
        <v>47.433599999999998</v>
      </c>
      <c r="H27" s="184">
        <f t="shared" si="2"/>
        <v>442.71359999999999</v>
      </c>
    </row>
    <row r="28" spans="1:8" ht="14.25" customHeight="1">
      <c r="A28" s="189"/>
      <c r="B28" s="190" t="s">
        <v>110</v>
      </c>
      <c r="C28" s="191">
        <f t="shared" ref="C28:H28" si="3">SUM(C4:C27)</f>
        <v>7214.64</v>
      </c>
      <c r="D28" s="192">
        <f t="shared" si="3"/>
        <v>2043.35</v>
      </c>
      <c r="E28" s="190">
        <f t="shared" si="3"/>
        <v>126</v>
      </c>
      <c r="F28" s="192">
        <f t="shared" si="3"/>
        <v>9383.99</v>
      </c>
      <c r="G28" s="192">
        <f t="shared" si="3"/>
        <v>1126.0788</v>
      </c>
      <c r="H28" s="193">
        <f t="shared" si="3"/>
        <v>10510.068799999999</v>
      </c>
    </row>
    <row r="29" spans="1:8" ht="14.25" customHeight="1">
      <c r="A29" s="166"/>
      <c r="B29" s="178" t="s">
        <v>111</v>
      </c>
      <c r="C29" s="194">
        <f t="shared" ref="C29:F29" si="4">C28*0.12</f>
        <v>865.7568</v>
      </c>
      <c r="D29" s="194">
        <f t="shared" si="4"/>
        <v>245.20199999999997</v>
      </c>
      <c r="E29" s="194">
        <f t="shared" si="4"/>
        <v>15.12</v>
      </c>
      <c r="F29" s="194">
        <f t="shared" si="4"/>
        <v>1126.0788</v>
      </c>
      <c r="G29" s="178"/>
      <c r="H29" s="195"/>
    </row>
    <row r="30" spans="1:8" ht="14.25" customHeight="1">
      <c r="A30" s="196"/>
      <c r="B30" s="197" t="s">
        <v>27</v>
      </c>
      <c r="C30" s="198">
        <f t="shared" ref="C30:F30" si="5">SUM(C28:C29)</f>
        <v>8080.3968000000004</v>
      </c>
      <c r="D30" s="198">
        <f t="shared" si="5"/>
        <v>2288.5519999999997</v>
      </c>
      <c r="E30" s="198">
        <f t="shared" si="5"/>
        <v>141.12</v>
      </c>
      <c r="F30" s="199">
        <f t="shared" si="5"/>
        <v>10510.068799999999</v>
      </c>
      <c r="G30" s="197"/>
      <c r="H30" s="200"/>
    </row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H1"/>
    <mergeCell ref="C2:F2"/>
    <mergeCell ref="G2:H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001"/>
  <sheetViews>
    <sheetView zoomScale="85" zoomScaleNormal="85" workbookViewId="0"/>
  </sheetViews>
  <sheetFormatPr baseColWidth="10" defaultColWidth="14.44140625" defaultRowHeight="15" customHeight="1"/>
  <cols>
    <col min="1" max="1" width="8.88671875" customWidth="1"/>
    <col min="2" max="2" width="46" customWidth="1"/>
    <col min="3" max="6" width="11.5546875" customWidth="1"/>
    <col min="7" max="26" width="10.6640625" customWidth="1"/>
  </cols>
  <sheetData>
    <row r="1" spans="1:6" ht="14.25" customHeight="1">
      <c r="A1" s="178" t="s">
        <v>99</v>
      </c>
      <c r="B1" s="244" t="s">
        <v>100</v>
      </c>
      <c r="C1" s="224"/>
      <c r="D1" s="224"/>
      <c r="E1" s="224"/>
      <c r="F1" s="225"/>
    </row>
    <row r="2" spans="1:6" ht="14.25" customHeight="1">
      <c r="A2" s="178" t="s">
        <v>101</v>
      </c>
      <c r="B2" s="179" t="s">
        <v>0</v>
      </c>
      <c r="C2" s="246" t="s">
        <v>102</v>
      </c>
      <c r="D2" s="224"/>
      <c r="E2" s="224"/>
      <c r="F2" s="225"/>
    </row>
    <row r="3" spans="1:6" ht="14.25" customHeight="1">
      <c r="A3" s="178" t="s">
        <v>103</v>
      </c>
      <c r="B3" s="180" t="s">
        <v>104</v>
      </c>
      <c r="C3" s="201" t="s">
        <v>21</v>
      </c>
      <c r="D3" s="202" t="s">
        <v>219</v>
      </c>
      <c r="E3" s="201" t="s">
        <v>51</v>
      </c>
      <c r="F3" s="202" t="s">
        <v>220</v>
      </c>
    </row>
    <row r="4" spans="1:6" ht="14.25" customHeight="1">
      <c r="A4" s="178">
        <v>1</v>
      </c>
      <c r="B4" s="182" t="s">
        <v>112</v>
      </c>
      <c r="C4" s="203">
        <v>1322</v>
      </c>
      <c r="D4" s="203">
        <v>160</v>
      </c>
      <c r="E4" s="203"/>
      <c r="F4" s="203">
        <f t="shared" ref="F4:F8" si="0">SUM(C4:E4)</f>
        <v>1482</v>
      </c>
    </row>
    <row r="5" spans="1:6" ht="14.25" customHeight="1">
      <c r="A5" s="178">
        <v>2</v>
      </c>
      <c r="B5" s="182" t="s">
        <v>115</v>
      </c>
      <c r="C5" s="203">
        <v>154.94999999999999</v>
      </c>
      <c r="D5" s="203">
        <v>160</v>
      </c>
      <c r="E5" s="203">
        <v>35.44</v>
      </c>
      <c r="F5" s="203">
        <f t="shared" si="0"/>
        <v>350.39</v>
      </c>
    </row>
    <row r="6" spans="1:6" ht="14.25" customHeight="1">
      <c r="A6" s="178">
        <v>3</v>
      </c>
      <c r="B6" s="182" t="s">
        <v>117</v>
      </c>
      <c r="C6" s="203">
        <v>187.49</v>
      </c>
      <c r="D6" s="203">
        <v>82.5</v>
      </c>
      <c r="E6" s="203">
        <f>8.71*2</f>
        <v>17.420000000000002</v>
      </c>
      <c r="F6" s="203">
        <f t="shared" si="0"/>
        <v>287.41000000000003</v>
      </c>
    </row>
    <row r="7" spans="1:6" ht="14.25" customHeight="1">
      <c r="A7" s="178">
        <v>4</v>
      </c>
      <c r="B7" s="182" t="s">
        <v>222</v>
      </c>
      <c r="C7" s="203">
        <v>157.52000000000001</v>
      </c>
      <c r="D7" s="203">
        <v>40</v>
      </c>
      <c r="E7" s="203"/>
      <c r="F7" s="203">
        <f t="shared" si="0"/>
        <v>197.52</v>
      </c>
    </row>
    <row r="8" spans="1:6" ht="14.25" customHeight="1">
      <c r="A8" s="178">
        <v>5</v>
      </c>
      <c r="B8" s="182" t="s">
        <v>223</v>
      </c>
      <c r="C8" s="203">
        <v>124</v>
      </c>
      <c r="D8" s="203">
        <v>40</v>
      </c>
      <c r="E8" s="203"/>
      <c r="F8" s="203">
        <f t="shared" si="0"/>
        <v>164</v>
      </c>
    </row>
    <row r="9" spans="1:6" ht="14.25" customHeight="1">
      <c r="A9" s="178">
        <v>6</v>
      </c>
      <c r="B9" s="182" t="s">
        <v>124</v>
      </c>
      <c r="C9" s="203">
        <v>250</v>
      </c>
      <c r="D9" s="245">
        <v>150</v>
      </c>
      <c r="E9" s="245"/>
      <c r="F9" s="245">
        <f>C9+C10+D9</f>
        <v>410</v>
      </c>
    </row>
    <row r="10" spans="1:6" ht="14.25" customHeight="1">
      <c r="A10" s="178">
        <v>7</v>
      </c>
      <c r="B10" s="182" t="s">
        <v>224</v>
      </c>
      <c r="C10" s="203">
        <v>10</v>
      </c>
      <c r="D10" s="239"/>
      <c r="E10" s="239"/>
      <c r="F10" s="239"/>
    </row>
    <row r="11" spans="1:6" ht="14.25" customHeight="1">
      <c r="A11" s="178">
        <v>8</v>
      </c>
      <c r="B11" s="182" t="s">
        <v>126</v>
      </c>
      <c r="C11" s="203">
        <v>90</v>
      </c>
      <c r="D11" s="203">
        <v>61.05</v>
      </c>
      <c r="E11" s="203"/>
      <c r="F11" s="203">
        <f t="shared" ref="F11:F22" si="1">SUM(C11:E11)</f>
        <v>151.05000000000001</v>
      </c>
    </row>
    <row r="12" spans="1:6" ht="14.25" customHeight="1">
      <c r="A12" s="178">
        <v>9</v>
      </c>
      <c r="B12" s="182" t="s">
        <v>128</v>
      </c>
      <c r="C12" s="203">
        <v>12</v>
      </c>
      <c r="D12" s="203">
        <v>82</v>
      </c>
      <c r="E12" s="203"/>
      <c r="F12" s="203">
        <f t="shared" si="1"/>
        <v>94</v>
      </c>
    </row>
    <row r="13" spans="1:6" ht="14.25" customHeight="1">
      <c r="A13" s="178">
        <v>10</v>
      </c>
      <c r="B13" s="182" t="s">
        <v>225</v>
      </c>
      <c r="C13" s="203">
        <v>188</v>
      </c>
      <c r="D13" s="203">
        <v>50</v>
      </c>
      <c r="E13" s="203"/>
      <c r="F13" s="203">
        <f t="shared" si="1"/>
        <v>238</v>
      </c>
    </row>
    <row r="14" spans="1:6" ht="14.25" customHeight="1">
      <c r="A14" s="178">
        <v>11</v>
      </c>
      <c r="B14" s="182" t="s">
        <v>226</v>
      </c>
      <c r="C14" s="203">
        <v>190</v>
      </c>
      <c r="D14" s="203">
        <v>50</v>
      </c>
      <c r="E14" s="203"/>
      <c r="F14" s="203">
        <f t="shared" si="1"/>
        <v>240</v>
      </c>
    </row>
    <row r="15" spans="1:6" ht="14.25" customHeight="1">
      <c r="A15" s="178">
        <v>12</v>
      </c>
      <c r="B15" s="182" t="s">
        <v>227</v>
      </c>
      <c r="C15" s="203">
        <v>40</v>
      </c>
      <c r="D15" s="203">
        <v>82.5</v>
      </c>
      <c r="E15" s="203"/>
      <c r="F15" s="203">
        <f t="shared" si="1"/>
        <v>122.5</v>
      </c>
    </row>
    <row r="16" spans="1:6" ht="14.25" customHeight="1">
      <c r="A16" s="178">
        <v>13</v>
      </c>
      <c r="B16" s="182" t="s">
        <v>228</v>
      </c>
      <c r="C16" s="203">
        <v>20</v>
      </c>
      <c r="D16" s="203">
        <v>68</v>
      </c>
      <c r="E16" s="203"/>
      <c r="F16" s="203">
        <f t="shared" si="1"/>
        <v>88</v>
      </c>
    </row>
    <row r="17" spans="1:6" ht="14.25" customHeight="1">
      <c r="A17" s="178">
        <v>14</v>
      </c>
      <c r="B17" s="182" t="s">
        <v>229</v>
      </c>
      <c r="C17" s="203">
        <v>40</v>
      </c>
      <c r="D17" s="203">
        <v>82.5</v>
      </c>
      <c r="E17" s="203"/>
      <c r="F17" s="203">
        <f t="shared" si="1"/>
        <v>122.5</v>
      </c>
    </row>
    <row r="18" spans="1:6" ht="14.25" customHeight="1">
      <c r="A18" s="178">
        <v>15</v>
      </c>
      <c r="B18" s="182" t="s">
        <v>139</v>
      </c>
      <c r="C18" s="203">
        <v>201.37</v>
      </c>
      <c r="D18" s="203">
        <v>86.05</v>
      </c>
      <c r="E18" s="203">
        <v>18</v>
      </c>
      <c r="F18" s="203">
        <f t="shared" si="1"/>
        <v>305.42</v>
      </c>
    </row>
    <row r="19" spans="1:6" ht="14.25" customHeight="1">
      <c r="A19" s="178">
        <v>16</v>
      </c>
      <c r="B19" s="182" t="s">
        <v>142</v>
      </c>
      <c r="C19" s="203">
        <v>50</v>
      </c>
      <c r="D19" s="203">
        <v>50</v>
      </c>
      <c r="E19" s="203"/>
      <c r="F19" s="203">
        <f t="shared" si="1"/>
        <v>100</v>
      </c>
    </row>
    <row r="20" spans="1:6" ht="14.25" customHeight="1">
      <c r="A20" s="178">
        <v>17</v>
      </c>
      <c r="B20" s="182" t="s">
        <v>230</v>
      </c>
      <c r="C20" s="203">
        <v>450</v>
      </c>
      <c r="D20" s="203">
        <v>70</v>
      </c>
      <c r="E20" s="203"/>
      <c r="F20" s="203">
        <f t="shared" si="1"/>
        <v>520</v>
      </c>
    </row>
    <row r="21" spans="1:6" ht="14.25" customHeight="1">
      <c r="A21" s="178">
        <v>18</v>
      </c>
      <c r="B21" s="182" t="s">
        <v>146</v>
      </c>
      <c r="C21" s="203">
        <v>1340.14</v>
      </c>
      <c r="D21" s="203">
        <v>99.5</v>
      </c>
      <c r="E21" s="203"/>
      <c r="F21" s="203">
        <f t="shared" si="1"/>
        <v>1439.64</v>
      </c>
    </row>
    <row r="22" spans="1:6" ht="14.25" customHeight="1">
      <c r="A22" s="178">
        <v>19</v>
      </c>
      <c r="B22" s="182" t="s">
        <v>149</v>
      </c>
      <c r="C22" s="203">
        <v>500</v>
      </c>
      <c r="D22" s="203">
        <v>82.5</v>
      </c>
      <c r="E22" s="203">
        <v>17.420000000000002</v>
      </c>
      <c r="F22" s="203">
        <f t="shared" si="1"/>
        <v>599.91999999999996</v>
      </c>
    </row>
    <row r="23" spans="1:6" ht="14.25" customHeight="1">
      <c r="A23" s="178">
        <v>20</v>
      </c>
      <c r="B23" s="204" t="s">
        <v>231</v>
      </c>
      <c r="C23" s="205">
        <v>28</v>
      </c>
      <c r="D23" s="205">
        <v>45</v>
      </c>
      <c r="E23" s="203"/>
      <c r="F23" s="203">
        <f t="shared" ref="F23:F26" si="2">+C23+D23</f>
        <v>73</v>
      </c>
    </row>
    <row r="24" spans="1:6" ht="14.25" customHeight="1">
      <c r="A24" s="178">
        <v>21</v>
      </c>
      <c r="B24" s="204" t="s">
        <v>232</v>
      </c>
      <c r="C24" s="205">
        <v>28</v>
      </c>
      <c r="D24" s="205">
        <v>45</v>
      </c>
      <c r="E24" s="203"/>
      <c r="F24" s="203">
        <f t="shared" si="2"/>
        <v>73</v>
      </c>
    </row>
    <row r="25" spans="1:6" ht="14.25" customHeight="1">
      <c r="A25" s="178">
        <v>22</v>
      </c>
      <c r="B25" s="204" t="s">
        <v>233</v>
      </c>
      <c r="C25" s="205">
        <v>26</v>
      </c>
      <c r="D25" s="205">
        <v>66</v>
      </c>
      <c r="E25" s="203"/>
      <c r="F25" s="203">
        <f t="shared" si="2"/>
        <v>92</v>
      </c>
    </row>
    <row r="26" spans="1:6" ht="14.25" customHeight="1">
      <c r="A26" s="178">
        <v>23</v>
      </c>
      <c r="B26" s="204" t="s">
        <v>234</v>
      </c>
      <c r="C26" s="205">
        <v>26</v>
      </c>
      <c r="D26" s="205">
        <v>66</v>
      </c>
      <c r="E26" s="203"/>
      <c r="F26" s="203">
        <f t="shared" si="2"/>
        <v>92</v>
      </c>
    </row>
    <row r="27" spans="1:6" ht="14.25" customHeight="1">
      <c r="A27" s="178">
        <v>24</v>
      </c>
      <c r="B27" s="19" t="s">
        <v>235</v>
      </c>
      <c r="C27" s="203">
        <v>40</v>
      </c>
      <c r="D27" s="203">
        <v>40</v>
      </c>
      <c r="E27" s="203"/>
      <c r="F27" s="203">
        <f t="shared" ref="F27:F51" si="3">SUM(C27:E27)</f>
        <v>80</v>
      </c>
    </row>
    <row r="28" spans="1:6" ht="14.25" customHeight="1">
      <c r="A28" s="178">
        <v>25</v>
      </c>
      <c r="B28" s="19" t="s">
        <v>236</v>
      </c>
      <c r="C28" s="203">
        <v>40</v>
      </c>
      <c r="D28" s="203">
        <v>40</v>
      </c>
      <c r="E28" s="203"/>
      <c r="F28" s="203">
        <f t="shared" si="3"/>
        <v>80</v>
      </c>
    </row>
    <row r="29" spans="1:6" ht="14.25" customHeight="1">
      <c r="A29" s="178">
        <v>26</v>
      </c>
      <c r="B29" s="182" t="s">
        <v>155</v>
      </c>
      <c r="C29" s="203">
        <v>400.9</v>
      </c>
      <c r="D29" s="203">
        <v>109.5</v>
      </c>
      <c r="E29" s="203"/>
      <c r="F29" s="203">
        <f t="shared" si="3"/>
        <v>510.4</v>
      </c>
    </row>
    <row r="30" spans="1:6" ht="14.25" customHeight="1">
      <c r="A30" s="178">
        <v>27</v>
      </c>
      <c r="B30" s="182" t="s">
        <v>158</v>
      </c>
      <c r="C30" s="203">
        <v>32</v>
      </c>
      <c r="D30" s="203">
        <v>14.85</v>
      </c>
      <c r="E30" s="203"/>
      <c r="F30" s="203">
        <f t="shared" si="3"/>
        <v>46.85</v>
      </c>
    </row>
    <row r="31" spans="1:6" ht="14.25" customHeight="1">
      <c r="A31" s="178">
        <v>28</v>
      </c>
      <c r="B31" s="182" t="s">
        <v>237</v>
      </c>
      <c r="C31" s="203">
        <v>215.2</v>
      </c>
      <c r="D31" s="203">
        <v>240</v>
      </c>
      <c r="E31" s="203">
        <v>47.05</v>
      </c>
      <c r="F31" s="203">
        <f t="shared" si="3"/>
        <v>502.25</v>
      </c>
    </row>
    <row r="32" spans="1:6" ht="14.25" customHeight="1">
      <c r="A32" s="178">
        <v>29</v>
      </c>
      <c r="B32" s="182" t="s">
        <v>163</v>
      </c>
      <c r="C32" s="203">
        <v>268.95</v>
      </c>
      <c r="D32" s="203">
        <v>240</v>
      </c>
      <c r="E32" s="203">
        <v>47.05</v>
      </c>
      <c r="F32" s="203">
        <f t="shared" si="3"/>
        <v>556</v>
      </c>
    </row>
    <row r="33" spans="1:6" ht="14.25" customHeight="1">
      <c r="A33" s="178">
        <v>30</v>
      </c>
      <c r="B33" s="182" t="s">
        <v>238</v>
      </c>
      <c r="C33" s="203">
        <v>329.28</v>
      </c>
      <c r="D33" s="203">
        <v>66</v>
      </c>
      <c r="E33" s="203"/>
      <c r="F33" s="203">
        <f t="shared" si="3"/>
        <v>395.28</v>
      </c>
    </row>
    <row r="34" spans="1:6" ht="14.25" customHeight="1">
      <c r="A34" s="178">
        <v>31</v>
      </c>
      <c r="B34" s="182" t="s">
        <v>239</v>
      </c>
      <c r="C34" s="203">
        <v>24</v>
      </c>
      <c r="D34" s="203">
        <v>49</v>
      </c>
      <c r="E34" s="203"/>
      <c r="F34" s="203">
        <f t="shared" si="3"/>
        <v>73</v>
      </c>
    </row>
    <row r="35" spans="1:6" ht="14.25" customHeight="1">
      <c r="A35" s="178">
        <v>32</v>
      </c>
      <c r="B35" s="182" t="s">
        <v>240</v>
      </c>
      <c r="C35" s="76">
        <v>29.16</v>
      </c>
      <c r="D35" s="203">
        <v>28.05</v>
      </c>
      <c r="E35" s="203"/>
      <c r="F35" s="203">
        <f t="shared" si="3"/>
        <v>57.21</v>
      </c>
    </row>
    <row r="36" spans="1:6" ht="14.25" customHeight="1">
      <c r="A36" s="178">
        <v>33</v>
      </c>
      <c r="B36" s="182" t="s">
        <v>241</v>
      </c>
      <c r="C36" s="76">
        <v>29.63</v>
      </c>
      <c r="D36" s="203">
        <v>28.05</v>
      </c>
      <c r="E36" s="203"/>
      <c r="F36" s="203">
        <f t="shared" si="3"/>
        <v>57.68</v>
      </c>
    </row>
    <row r="37" spans="1:6" ht="14.25" customHeight="1">
      <c r="A37" s="178">
        <v>34</v>
      </c>
      <c r="B37" s="182" t="s">
        <v>242</v>
      </c>
      <c r="C37" s="203">
        <v>30</v>
      </c>
      <c r="D37" s="203">
        <v>6.6</v>
      </c>
      <c r="E37" s="203"/>
      <c r="F37" s="203">
        <f t="shared" si="3"/>
        <v>36.6</v>
      </c>
    </row>
    <row r="38" spans="1:6" ht="14.25" customHeight="1">
      <c r="A38" s="178">
        <v>35</v>
      </c>
      <c r="B38" s="182" t="s">
        <v>243</v>
      </c>
      <c r="C38" s="203">
        <v>1.5</v>
      </c>
      <c r="D38" s="203">
        <v>6.6</v>
      </c>
      <c r="E38" s="203"/>
      <c r="F38" s="203">
        <f t="shared" si="3"/>
        <v>8.1</v>
      </c>
    </row>
    <row r="39" spans="1:6" ht="14.25" customHeight="1">
      <c r="A39" s="178">
        <v>36</v>
      </c>
      <c r="B39" s="182" t="s">
        <v>244</v>
      </c>
      <c r="C39" s="203">
        <v>1.5</v>
      </c>
      <c r="D39" s="203">
        <v>6.6</v>
      </c>
      <c r="E39" s="203"/>
      <c r="F39" s="203">
        <f t="shared" si="3"/>
        <v>8.1</v>
      </c>
    </row>
    <row r="40" spans="1:6" ht="14.25" customHeight="1">
      <c r="A40" s="178">
        <v>37</v>
      </c>
      <c r="B40" s="182" t="s">
        <v>245</v>
      </c>
      <c r="C40" s="203">
        <v>3</v>
      </c>
      <c r="D40" s="203">
        <v>6.6</v>
      </c>
      <c r="E40" s="203"/>
      <c r="F40" s="203">
        <f t="shared" si="3"/>
        <v>9.6</v>
      </c>
    </row>
    <row r="41" spans="1:6" ht="14.25" customHeight="1">
      <c r="A41" s="178">
        <v>38</v>
      </c>
      <c r="B41" s="19" t="s">
        <v>246</v>
      </c>
      <c r="C41" s="203">
        <v>12</v>
      </c>
      <c r="D41" s="203">
        <v>6.6</v>
      </c>
      <c r="E41" s="203"/>
      <c r="F41" s="203">
        <f t="shared" si="3"/>
        <v>18.600000000000001</v>
      </c>
    </row>
    <row r="42" spans="1:6" ht="14.25" customHeight="1">
      <c r="A42" s="178">
        <v>39</v>
      </c>
      <c r="B42" s="19" t="s">
        <v>247</v>
      </c>
      <c r="C42" s="203">
        <v>190</v>
      </c>
      <c r="D42" s="203">
        <v>6.6</v>
      </c>
      <c r="E42" s="203"/>
      <c r="F42" s="203">
        <f t="shared" si="3"/>
        <v>196.6</v>
      </c>
    </row>
    <row r="43" spans="1:6" ht="14.25" customHeight="1">
      <c r="A43" s="178">
        <v>40</v>
      </c>
      <c r="B43" s="19" t="s">
        <v>248</v>
      </c>
      <c r="C43" s="203">
        <v>160</v>
      </c>
      <c r="D43" s="203">
        <v>6.6</v>
      </c>
      <c r="E43" s="203"/>
      <c r="F43" s="203">
        <f t="shared" si="3"/>
        <v>166.6</v>
      </c>
    </row>
    <row r="44" spans="1:6" ht="14.25" customHeight="1">
      <c r="A44" s="178">
        <v>41</v>
      </c>
      <c r="B44" s="182" t="s">
        <v>249</v>
      </c>
      <c r="C44" s="76"/>
      <c r="D44" s="203">
        <v>6.5</v>
      </c>
      <c r="E44" s="76"/>
      <c r="F44" s="203">
        <f t="shared" si="3"/>
        <v>6.5</v>
      </c>
    </row>
    <row r="45" spans="1:6" ht="14.25" customHeight="1">
      <c r="A45" s="178">
        <v>42</v>
      </c>
      <c r="B45" s="182" t="s">
        <v>250</v>
      </c>
      <c r="C45" s="203"/>
      <c r="D45" s="203">
        <v>15</v>
      </c>
      <c r="E45" s="203"/>
      <c r="F45" s="203">
        <f t="shared" si="3"/>
        <v>15</v>
      </c>
    </row>
    <row r="46" spans="1:6" ht="14.25" customHeight="1">
      <c r="A46" s="178">
        <v>43</v>
      </c>
      <c r="B46" s="182" t="s">
        <v>251</v>
      </c>
      <c r="C46" s="203">
        <v>94.6</v>
      </c>
      <c r="D46" s="203">
        <v>14.6</v>
      </c>
      <c r="E46" s="203"/>
      <c r="F46" s="203">
        <f t="shared" si="3"/>
        <v>109.19999999999999</v>
      </c>
    </row>
    <row r="47" spans="1:6" ht="14.25" customHeight="1">
      <c r="A47" s="178">
        <v>44</v>
      </c>
      <c r="B47" s="182" t="s">
        <v>252</v>
      </c>
      <c r="C47" s="203">
        <v>230</v>
      </c>
      <c r="D47" s="203">
        <v>160</v>
      </c>
      <c r="E47" s="203">
        <v>35.44</v>
      </c>
      <c r="F47" s="203">
        <f t="shared" si="3"/>
        <v>425.44</v>
      </c>
    </row>
    <row r="48" spans="1:6" ht="14.25" customHeight="1">
      <c r="A48" s="178">
        <v>45</v>
      </c>
      <c r="B48" s="206" t="s">
        <v>253</v>
      </c>
      <c r="C48" s="203"/>
      <c r="D48" s="203">
        <v>100</v>
      </c>
      <c r="E48" s="203"/>
      <c r="F48" s="203">
        <f t="shared" si="3"/>
        <v>100</v>
      </c>
    </row>
    <row r="49" spans="1:6" ht="14.25" customHeight="1">
      <c r="A49" s="178">
        <v>46</v>
      </c>
      <c r="B49" s="206" t="s">
        <v>254</v>
      </c>
      <c r="C49" s="203"/>
      <c r="D49" s="203">
        <v>100</v>
      </c>
      <c r="E49" s="203"/>
      <c r="F49" s="203">
        <f t="shared" si="3"/>
        <v>100</v>
      </c>
    </row>
    <row r="50" spans="1:6" ht="14.25" customHeight="1">
      <c r="A50" s="178">
        <v>47</v>
      </c>
      <c r="B50" s="182" t="s">
        <v>255</v>
      </c>
      <c r="C50" s="203">
        <v>15</v>
      </c>
      <c r="D50" s="203">
        <v>3.2</v>
      </c>
      <c r="E50" s="203"/>
      <c r="F50" s="203">
        <f t="shared" si="3"/>
        <v>18.2</v>
      </c>
    </row>
    <row r="51" spans="1:6" ht="14.25" customHeight="1">
      <c r="A51" s="178">
        <v>48</v>
      </c>
      <c r="B51" s="182" t="s">
        <v>256</v>
      </c>
      <c r="C51" s="203">
        <v>1.25</v>
      </c>
      <c r="D51" s="203">
        <v>3.2</v>
      </c>
      <c r="E51" s="203"/>
      <c r="F51" s="203">
        <f t="shared" si="3"/>
        <v>4.45</v>
      </c>
    </row>
    <row r="52" spans="1:6" ht="14.25" customHeight="1">
      <c r="A52" s="247">
        <v>49</v>
      </c>
      <c r="B52" s="182" t="s">
        <v>257</v>
      </c>
      <c r="C52" s="203">
        <v>200</v>
      </c>
      <c r="D52" s="248">
        <v>1060</v>
      </c>
      <c r="E52" s="248">
        <v>79.42</v>
      </c>
      <c r="F52" s="248">
        <f>SUM(C52:E60)</f>
        <v>2700.0400000000004</v>
      </c>
    </row>
    <row r="53" spans="1:6" ht="14.25" customHeight="1">
      <c r="A53" s="238"/>
      <c r="B53" s="182" t="s">
        <v>258</v>
      </c>
      <c r="C53" s="76">
        <v>440</v>
      </c>
      <c r="D53" s="238"/>
      <c r="E53" s="238"/>
      <c r="F53" s="238"/>
    </row>
    <row r="54" spans="1:6" ht="14.25" customHeight="1">
      <c r="A54" s="238"/>
      <c r="B54" s="182" t="s">
        <v>259</v>
      </c>
      <c r="C54" s="76">
        <v>60</v>
      </c>
      <c r="D54" s="238"/>
      <c r="E54" s="238"/>
      <c r="F54" s="238"/>
    </row>
    <row r="55" spans="1:6" ht="14.25" customHeight="1">
      <c r="A55" s="238"/>
      <c r="B55" s="182" t="s">
        <v>260</v>
      </c>
      <c r="C55" s="76">
        <v>160</v>
      </c>
      <c r="D55" s="238"/>
      <c r="E55" s="238"/>
      <c r="F55" s="238"/>
    </row>
    <row r="56" spans="1:6" ht="14.25" customHeight="1">
      <c r="A56" s="238"/>
      <c r="B56" s="182" t="s">
        <v>261</v>
      </c>
      <c r="C56" s="203">
        <v>98</v>
      </c>
      <c r="D56" s="238"/>
      <c r="E56" s="238"/>
      <c r="F56" s="238"/>
    </row>
    <row r="57" spans="1:6" ht="14.25" customHeight="1">
      <c r="A57" s="238"/>
      <c r="B57" s="182" t="s">
        <v>262</v>
      </c>
      <c r="C57" s="76">
        <v>162.71</v>
      </c>
      <c r="D57" s="238"/>
      <c r="E57" s="238"/>
      <c r="F57" s="238"/>
    </row>
    <row r="58" spans="1:6" ht="14.25" customHeight="1">
      <c r="A58" s="238"/>
      <c r="B58" s="182" t="s">
        <v>263</v>
      </c>
      <c r="C58" s="76">
        <v>217.05</v>
      </c>
      <c r="D58" s="238"/>
      <c r="E58" s="238"/>
      <c r="F58" s="238"/>
    </row>
    <row r="59" spans="1:6" ht="14.25" customHeight="1">
      <c r="A59" s="238"/>
      <c r="B59" s="182" t="s">
        <v>264</v>
      </c>
      <c r="C59" s="76">
        <v>50</v>
      </c>
      <c r="D59" s="238"/>
      <c r="E59" s="238"/>
      <c r="F59" s="238"/>
    </row>
    <row r="60" spans="1:6" ht="14.25" customHeight="1">
      <c r="A60" s="239"/>
      <c r="B60" s="182" t="s">
        <v>265</v>
      </c>
      <c r="C60" s="76">
        <v>172.86</v>
      </c>
      <c r="D60" s="239"/>
      <c r="E60" s="239"/>
      <c r="F60" s="239"/>
    </row>
    <row r="61" spans="1:6" ht="14.25" customHeight="1">
      <c r="A61" s="178">
        <v>50</v>
      </c>
      <c r="B61" s="126" t="s">
        <v>266</v>
      </c>
      <c r="C61" s="76">
        <v>3100.48</v>
      </c>
      <c r="D61" s="76">
        <f>33*3</f>
        <v>99</v>
      </c>
      <c r="E61" s="76">
        <v>26.61</v>
      </c>
      <c r="F61" s="203">
        <f t="shared" ref="F61:F68" si="4">SUM(C61:E61)</f>
        <v>3226.09</v>
      </c>
    </row>
    <row r="62" spans="1:6" ht="14.25" customHeight="1">
      <c r="A62" s="178">
        <v>51</v>
      </c>
      <c r="B62" s="182" t="s">
        <v>267</v>
      </c>
      <c r="C62" s="76">
        <v>194.86</v>
      </c>
      <c r="D62" s="76">
        <f t="shared" ref="D62:D65" si="5">33*1.5</f>
        <v>49.5</v>
      </c>
      <c r="E62" s="76">
        <v>12</v>
      </c>
      <c r="F62" s="203">
        <f t="shared" si="4"/>
        <v>256.36</v>
      </c>
    </row>
    <row r="63" spans="1:6" ht="14.25" customHeight="1">
      <c r="A63" s="178">
        <v>52</v>
      </c>
      <c r="B63" s="182" t="s">
        <v>268</v>
      </c>
      <c r="C63" s="76">
        <v>202.52</v>
      </c>
      <c r="D63" s="76">
        <f t="shared" si="5"/>
        <v>49.5</v>
      </c>
      <c r="E63" s="76">
        <v>12</v>
      </c>
      <c r="F63" s="203">
        <f t="shared" si="4"/>
        <v>264.02</v>
      </c>
    </row>
    <row r="64" spans="1:6" ht="14.25" customHeight="1">
      <c r="A64" s="178">
        <v>53</v>
      </c>
      <c r="B64" s="182" t="s">
        <v>269</v>
      </c>
      <c r="C64" s="76">
        <v>145.6</v>
      </c>
      <c r="D64" s="76">
        <f t="shared" si="5"/>
        <v>49.5</v>
      </c>
      <c r="E64" s="76">
        <v>12</v>
      </c>
      <c r="F64" s="203">
        <f t="shared" si="4"/>
        <v>207.1</v>
      </c>
    </row>
    <row r="65" spans="1:6" ht="14.25" customHeight="1">
      <c r="A65" s="178">
        <v>54</v>
      </c>
      <c r="B65" s="182" t="s">
        <v>270</v>
      </c>
      <c r="C65" s="76">
        <v>122.02</v>
      </c>
      <c r="D65" s="76">
        <f t="shared" si="5"/>
        <v>49.5</v>
      </c>
      <c r="E65" s="76">
        <v>12</v>
      </c>
      <c r="F65" s="203">
        <f t="shared" si="4"/>
        <v>183.51999999999998</v>
      </c>
    </row>
    <row r="66" spans="1:6" ht="14.25" customHeight="1">
      <c r="A66" s="178">
        <v>55</v>
      </c>
      <c r="B66" s="182" t="s">
        <v>271</v>
      </c>
      <c r="C66" s="76">
        <v>80</v>
      </c>
      <c r="D66" s="76">
        <v>20</v>
      </c>
      <c r="E66" s="76"/>
      <c r="F66" s="203">
        <f t="shared" si="4"/>
        <v>100</v>
      </c>
    </row>
    <row r="67" spans="1:6" ht="14.25" customHeight="1">
      <c r="A67" s="178">
        <v>56</v>
      </c>
      <c r="B67" s="19" t="s">
        <v>91</v>
      </c>
      <c r="C67" s="76"/>
      <c r="D67" s="76">
        <v>26</v>
      </c>
      <c r="E67" s="76"/>
      <c r="F67" s="203">
        <f t="shared" si="4"/>
        <v>26</v>
      </c>
    </row>
    <row r="68" spans="1:6" ht="14.25" customHeight="1">
      <c r="A68" s="178">
        <v>57</v>
      </c>
      <c r="B68" s="19" t="s">
        <v>92</v>
      </c>
      <c r="C68" s="76"/>
      <c r="D68" s="76">
        <v>26</v>
      </c>
      <c r="E68" s="76"/>
      <c r="F68" s="203">
        <f t="shared" si="4"/>
        <v>26</v>
      </c>
    </row>
    <row r="69" spans="1:6" ht="14.25" customHeight="1">
      <c r="A69" s="178">
        <v>58</v>
      </c>
      <c r="B69" s="19" t="s">
        <v>272</v>
      </c>
      <c r="C69" s="76"/>
      <c r="D69" s="207">
        <v>17.16</v>
      </c>
      <c r="E69" s="76"/>
      <c r="F69" s="76">
        <f t="shared" ref="F69:F70" si="6">+C69+D69</f>
        <v>17.16</v>
      </c>
    </row>
    <row r="70" spans="1:6" ht="14.25" customHeight="1">
      <c r="A70" s="178">
        <v>59</v>
      </c>
      <c r="B70" s="19" t="s">
        <v>24</v>
      </c>
      <c r="C70" s="76"/>
      <c r="D70" s="207">
        <v>15.84</v>
      </c>
      <c r="E70" s="76"/>
      <c r="F70" s="76">
        <f t="shared" si="6"/>
        <v>15.84</v>
      </c>
    </row>
    <row r="71" spans="1:6" ht="14.25" customHeight="1">
      <c r="A71" s="178">
        <v>60</v>
      </c>
      <c r="B71" s="19" t="s">
        <v>273</v>
      </c>
      <c r="C71" s="76">
        <f>155*0.1+155</f>
        <v>170.5</v>
      </c>
      <c r="D71" s="76">
        <v>68</v>
      </c>
      <c r="E71" s="76"/>
      <c r="F71" s="76">
        <f t="shared" ref="F71:F74" si="7">+C71+D71+E71</f>
        <v>238.5</v>
      </c>
    </row>
    <row r="72" spans="1:6" ht="14.25" customHeight="1">
      <c r="A72" s="178">
        <v>61</v>
      </c>
      <c r="B72" s="19" t="s">
        <v>274</v>
      </c>
      <c r="C72" s="76">
        <f>269.73*0.1+269.73</f>
        <v>296.70300000000003</v>
      </c>
      <c r="D72" s="76">
        <v>68</v>
      </c>
      <c r="E72" s="76"/>
      <c r="F72" s="76">
        <f t="shared" si="7"/>
        <v>364.70300000000003</v>
      </c>
    </row>
    <row r="73" spans="1:6" ht="14.25" customHeight="1">
      <c r="A73" s="178">
        <v>62</v>
      </c>
      <c r="B73" s="19" t="s">
        <v>275</v>
      </c>
      <c r="C73" s="76">
        <v>0</v>
      </c>
      <c r="D73" s="76">
        <v>850</v>
      </c>
      <c r="E73" s="76">
        <v>0</v>
      </c>
      <c r="F73" s="76">
        <f t="shared" si="7"/>
        <v>850</v>
      </c>
    </row>
    <row r="74" spans="1:6" ht="14.25" customHeight="1">
      <c r="A74" s="178">
        <v>63</v>
      </c>
      <c r="B74" s="19" t="s">
        <v>276</v>
      </c>
      <c r="C74" s="76">
        <v>300</v>
      </c>
      <c r="D74" s="76">
        <v>68</v>
      </c>
      <c r="E74" s="76"/>
      <c r="F74" s="76">
        <f t="shared" si="7"/>
        <v>368</v>
      </c>
    </row>
    <row r="75" spans="1:6" ht="14.25" customHeight="1">
      <c r="C75" s="83"/>
      <c r="D75" s="83"/>
      <c r="E75" s="83"/>
      <c r="F75" s="83"/>
    </row>
    <row r="76" spans="1:6" ht="14.25" customHeight="1">
      <c r="C76" s="83"/>
      <c r="D76" s="83"/>
      <c r="E76" s="83"/>
      <c r="F76" s="83"/>
    </row>
    <row r="77" spans="1:6" ht="14.25" customHeight="1">
      <c r="C77" s="83"/>
      <c r="D77" s="83"/>
      <c r="E77" s="83"/>
      <c r="F77" s="83"/>
    </row>
    <row r="78" spans="1:6" ht="14.25" customHeight="1">
      <c r="C78" s="83"/>
      <c r="D78" s="83"/>
      <c r="E78" s="83"/>
      <c r="F78" s="83"/>
    </row>
    <row r="79" spans="1:6" ht="14.25" customHeight="1">
      <c r="C79" s="83"/>
      <c r="D79" s="83"/>
      <c r="E79" s="83"/>
      <c r="F79" s="83"/>
    </row>
    <row r="80" spans="1:6" ht="14.25" customHeight="1">
      <c r="C80" s="83"/>
      <c r="D80" s="83"/>
      <c r="E80" s="83"/>
      <c r="F80" s="83"/>
    </row>
    <row r="81" spans="3:6" ht="14.25" customHeight="1">
      <c r="C81" s="83"/>
      <c r="D81" s="83"/>
      <c r="E81" s="83"/>
      <c r="F81" s="83"/>
    </row>
    <row r="82" spans="3:6" ht="14.25" customHeight="1">
      <c r="C82" s="83"/>
      <c r="D82" s="83"/>
      <c r="E82" s="83"/>
      <c r="F82" s="83"/>
    </row>
    <row r="83" spans="3:6" ht="14.25" customHeight="1">
      <c r="C83" s="83"/>
      <c r="D83" s="83"/>
      <c r="E83" s="83"/>
      <c r="F83" s="83"/>
    </row>
    <row r="84" spans="3:6" ht="14.25" customHeight="1">
      <c r="C84" s="83"/>
      <c r="D84" s="83"/>
      <c r="E84" s="83"/>
      <c r="F84" s="83"/>
    </row>
    <row r="85" spans="3:6" ht="14.25" customHeight="1">
      <c r="C85" s="83"/>
      <c r="D85" s="83"/>
      <c r="E85" s="83"/>
      <c r="F85" s="83"/>
    </row>
    <row r="86" spans="3:6" ht="14.25" customHeight="1">
      <c r="C86" s="83"/>
      <c r="D86" s="83"/>
      <c r="E86" s="83"/>
      <c r="F86" s="83"/>
    </row>
    <row r="87" spans="3:6" ht="14.25" customHeight="1">
      <c r="C87" s="83"/>
      <c r="D87" s="83"/>
      <c r="E87" s="83"/>
      <c r="F87" s="83"/>
    </row>
    <row r="88" spans="3:6" ht="14.25" customHeight="1">
      <c r="C88" s="83"/>
      <c r="D88" s="83"/>
      <c r="E88" s="83"/>
      <c r="F88" s="83"/>
    </row>
    <row r="89" spans="3:6" ht="14.25" customHeight="1">
      <c r="C89" s="83"/>
      <c r="D89" s="83"/>
      <c r="E89" s="83"/>
      <c r="F89" s="83"/>
    </row>
    <row r="90" spans="3:6" ht="14.25" customHeight="1">
      <c r="C90" s="83"/>
      <c r="D90" s="83"/>
      <c r="E90" s="83"/>
      <c r="F90" s="83"/>
    </row>
    <row r="91" spans="3:6" ht="14.25" customHeight="1">
      <c r="C91" s="83"/>
      <c r="D91" s="83"/>
      <c r="E91" s="83"/>
      <c r="F91" s="83"/>
    </row>
    <row r="92" spans="3:6" ht="14.25" customHeight="1">
      <c r="C92" s="83"/>
      <c r="D92" s="83"/>
      <c r="E92" s="83"/>
      <c r="F92" s="83"/>
    </row>
    <row r="93" spans="3:6" ht="14.25" customHeight="1">
      <c r="C93" s="83"/>
      <c r="D93" s="83"/>
      <c r="E93" s="83"/>
      <c r="F93" s="83"/>
    </row>
    <row r="94" spans="3:6" ht="14.25" customHeight="1">
      <c r="C94" s="83"/>
      <c r="D94" s="83"/>
      <c r="E94" s="83"/>
      <c r="F94" s="83"/>
    </row>
    <row r="95" spans="3:6" ht="14.25" customHeight="1">
      <c r="C95" s="83"/>
      <c r="D95" s="83"/>
      <c r="E95" s="83"/>
      <c r="F95" s="83"/>
    </row>
    <row r="96" spans="3:6" ht="14.25" customHeight="1">
      <c r="C96" s="83"/>
      <c r="D96" s="83"/>
      <c r="E96" s="83"/>
      <c r="F96" s="83"/>
    </row>
    <row r="97" spans="3:6" ht="14.25" customHeight="1">
      <c r="C97" s="83"/>
      <c r="D97" s="83"/>
      <c r="E97" s="83"/>
      <c r="F97" s="83"/>
    </row>
    <row r="98" spans="3:6" ht="14.25" customHeight="1">
      <c r="C98" s="83"/>
      <c r="D98" s="83"/>
      <c r="E98" s="83"/>
      <c r="F98" s="83"/>
    </row>
    <row r="99" spans="3:6" ht="14.25" customHeight="1">
      <c r="C99" s="83"/>
      <c r="D99" s="83"/>
      <c r="E99" s="83"/>
      <c r="F99" s="83"/>
    </row>
    <row r="100" spans="3:6" ht="14.25" customHeight="1">
      <c r="C100" s="83"/>
      <c r="D100" s="83"/>
      <c r="E100" s="83"/>
      <c r="F100" s="83"/>
    </row>
    <row r="101" spans="3:6" ht="14.25" customHeight="1">
      <c r="C101" s="83"/>
      <c r="D101" s="83"/>
      <c r="E101" s="83"/>
      <c r="F101" s="83"/>
    </row>
    <row r="102" spans="3:6" ht="14.25" customHeight="1">
      <c r="C102" s="83"/>
      <c r="D102" s="83"/>
      <c r="E102" s="83"/>
      <c r="F102" s="83"/>
    </row>
    <row r="103" spans="3:6" ht="14.25" customHeight="1">
      <c r="C103" s="83"/>
      <c r="D103" s="83"/>
      <c r="E103" s="83"/>
      <c r="F103" s="83"/>
    </row>
    <row r="104" spans="3:6" ht="14.25" customHeight="1">
      <c r="C104" s="83"/>
      <c r="D104" s="83"/>
      <c r="E104" s="83"/>
      <c r="F104" s="83"/>
    </row>
    <row r="105" spans="3:6" ht="14.25" customHeight="1">
      <c r="C105" s="83"/>
      <c r="D105" s="83"/>
      <c r="E105" s="83"/>
      <c r="F105" s="83"/>
    </row>
    <row r="106" spans="3:6" ht="14.25" customHeight="1">
      <c r="C106" s="83"/>
      <c r="D106" s="83"/>
      <c r="E106" s="83"/>
      <c r="F106" s="83"/>
    </row>
    <row r="107" spans="3:6" ht="14.25" customHeight="1">
      <c r="C107" s="83"/>
      <c r="D107" s="83"/>
      <c r="E107" s="83"/>
      <c r="F107" s="83"/>
    </row>
    <row r="108" spans="3:6" ht="14.25" customHeight="1">
      <c r="C108" s="83"/>
      <c r="D108" s="83"/>
      <c r="E108" s="83"/>
      <c r="F108" s="83"/>
    </row>
    <row r="109" spans="3:6" ht="14.25" customHeight="1">
      <c r="C109" s="83"/>
      <c r="D109" s="83"/>
      <c r="E109" s="83"/>
      <c r="F109" s="83"/>
    </row>
    <row r="110" spans="3:6" ht="14.25" customHeight="1">
      <c r="C110" s="83"/>
      <c r="D110" s="83"/>
      <c r="E110" s="83"/>
      <c r="F110" s="83"/>
    </row>
    <row r="111" spans="3:6" ht="14.25" customHeight="1">
      <c r="C111" s="83"/>
      <c r="D111" s="83"/>
      <c r="E111" s="83"/>
      <c r="F111" s="83"/>
    </row>
    <row r="112" spans="3:6" ht="14.25" customHeight="1">
      <c r="C112" s="83"/>
      <c r="D112" s="83"/>
      <c r="E112" s="83"/>
      <c r="F112" s="83"/>
    </row>
    <row r="113" spans="3:6" ht="14.25" customHeight="1">
      <c r="C113" s="83"/>
      <c r="D113" s="83"/>
      <c r="E113" s="83"/>
      <c r="F113" s="83"/>
    </row>
    <row r="114" spans="3:6" ht="14.25" customHeight="1">
      <c r="C114" s="83"/>
      <c r="D114" s="83"/>
      <c r="E114" s="83"/>
      <c r="F114" s="83"/>
    </row>
    <row r="115" spans="3:6" ht="14.25" customHeight="1">
      <c r="C115" s="83"/>
      <c r="D115" s="83"/>
      <c r="E115" s="83"/>
      <c r="F115" s="83"/>
    </row>
    <row r="116" spans="3:6" ht="14.25" customHeight="1">
      <c r="C116" s="83"/>
      <c r="D116" s="83"/>
      <c r="E116" s="83"/>
      <c r="F116" s="83"/>
    </row>
    <row r="117" spans="3:6" ht="14.25" customHeight="1">
      <c r="C117" s="83"/>
      <c r="D117" s="83"/>
      <c r="E117" s="83"/>
      <c r="F117" s="83"/>
    </row>
    <row r="118" spans="3:6" ht="14.25" customHeight="1">
      <c r="C118" s="83"/>
      <c r="D118" s="83"/>
      <c r="E118" s="83"/>
      <c r="F118" s="83"/>
    </row>
    <row r="119" spans="3:6" ht="14.25" customHeight="1">
      <c r="C119" s="83"/>
      <c r="D119" s="83"/>
      <c r="E119" s="83"/>
      <c r="F119" s="83"/>
    </row>
    <row r="120" spans="3:6" ht="14.25" customHeight="1">
      <c r="C120" s="83"/>
      <c r="D120" s="83"/>
      <c r="E120" s="83"/>
      <c r="F120" s="83"/>
    </row>
    <row r="121" spans="3:6" ht="14.25" customHeight="1">
      <c r="C121" s="83"/>
      <c r="D121" s="83"/>
      <c r="E121" s="83"/>
      <c r="F121" s="83"/>
    </row>
    <row r="122" spans="3:6" ht="14.25" customHeight="1">
      <c r="C122" s="83"/>
      <c r="D122" s="83"/>
      <c r="E122" s="83"/>
      <c r="F122" s="83"/>
    </row>
    <row r="123" spans="3:6" ht="14.25" customHeight="1">
      <c r="C123" s="83"/>
      <c r="D123" s="83"/>
      <c r="E123" s="83"/>
      <c r="F123" s="83"/>
    </row>
    <row r="124" spans="3:6" ht="14.25" customHeight="1">
      <c r="C124" s="83"/>
      <c r="D124" s="83"/>
      <c r="E124" s="83"/>
      <c r="F124" s="83"/>
    </row>
    <row r="125" spans="3:6" ht="14.25" customHeight="1">
      <c r="C125" s="83"/>
      <c r="D125" s="83"/>
      <c r="E125" s="83"/>
      <c r="F125" s="83"/>
    </row>
    <row r="126" spans="3:6" ht="14.25" customHeight="1">
      <c r="C126" s="83"/>
      <c r="D126" s="83"/>
      <c r="E126" s="83"/>
      <c r="F126" s="83"/>
    </row>
    <row r="127" spans="3:6" ht="14.25" customHeight="1">
      <c r="C127" s="83"/>
      <c r="D127" s="83"/>
      <c r="E127" s="83"/>
      <c r="F127" s="83"/>
    </row>
    <row r="128" spans="3:6" ht="14.25" customHeight="1">
      <c r="C128" s="83"/>
      <c r="D128" s="83"/>
      <c r="E128" s="83"/>
      <c r="F128" s="83"/>
    </row>
    <row r="129" spans="3:6" ht="14.25" customHeight="1">
      <c r="C129" s="83"/>
      <c r="D129" s="83"/>
      <c r="E129" s="83"/>
      <c r="F129" s="83"/>
    </row>
    <row r="130" spans="3:6" ht="14.25" customHeight="1">
      <c r="C130" s="83"/>
      <c r="D130" s="83"/>
      <c r="E130" s="83"/>
      <c r="F130" s="83"/>
    </row>
    <row r="131" spans="3:6" ht="14.25" customHeight="1">
      <c r="C131" s="83"/>
      <c r="D131" s="83"/>
      <c r="E131" s="83"/>
      <c r="F131" s="83"/>
    </row>
    <row r="132" spans="3:6" ht="14.25" customHeight="1">
      <c r="C132" s="83"/>
      <c r="D132" s="83"/>
      <c r="E132" s="83"/>
      <c r="F132" s="83"/>
    </row>
    <row r="133" spans="3:6" ht="14.25" customHeight="1">
      <c r="C133" s="83"/>
      <c r="D133" s="83"/>
      <c r="E133" s="83"/>
      <c r="F133" s="83"/>
    </row>
    <row r="134" spans="3:6" ht="14.25" customHeight="1">
      <c r="C134" s="83"/>
      <c r="D134" s="83"/>
      <c r="E134" s="83"/>
      <c r="F134" s="83"/>
    </row>
    <row r="135" spans="3:6" ht="14.25" customHeight="1">
      <c r="C135" s="83"/>
      <c r="D135" s="83"/>
      <c r="E135" s="83"/>
      <c r="F135" s="83"/>
    </row>
    <row r="136" spans="3:6" ht="14.25" customHeight="1">
      <c r="C136" s="83"/>
      <c r="D136" s="83"/>
      <c r="E136" s="83"/>
      <c r="F136" s="83"/>
    </row>
    <row r="137" spans="3:6" ht="14.25" customHeight="1">
      <c r="C137" s="83"/>
      <c r="D137" s="83"/>
      <c r="E137" s="83"/>
      <c r="F137" s="83"/>
    </row>
    <row r="138" spans="3:6" ht="14.25" customHeight="1">
      <c r="C138" s="83"/>
      <c r="D138" s="83"/>
      <c r="E138" s="83"/>
      <c r="F138" s="83"/>
    </row>
    <row r="139" spans="3:6" ht="14.25" customHeight="1">
      <c r="C139" s="83"/>
      <c r="D139" s="83"/>
      <c r="E139" s="83"/>
      <c r="F139" s="83"/>
    </row>
    <row r="140" spans="3:6" ht="14.25" customHeight="1">
      <c r="C140" s="83"/>
      <c r="D140" s="83"/>
      <c r="E140" s="83"/>
      <c r="F140" s="83"/>
    </row>
    <row r="141" spans="3:6" ht="14.25" customHeight="1">
      <c r="C141" s="83"/>
      <c r="D141" s="83"/>
      <c r="E141" s="83"/>
      <c r="F141" s="83"/>
    </row>
    <row r="142" spans="3:6" ht="14.25" customHeight="1">
      <c r="C142" s="83"/>
      <c r="D142" s="83"/>
      <c r="E142" s="83"/>
      <c r="F142" s="83"/>
    </row>
    <row r="143" spans="3:6" ht="14.25" customHeight="1">
      <c r="C143" s="83"/>
      <c r="D143" s="83"/>
      <c r="E143" s="83"/>
      <c r="F143" s="83"/>
    </row>
    <row r="144" spans="3:6" ht="14.25" customHeight="1">
      <c r="C144" s="83"/>
      <c r="D144" s="83"/>
      <c r="E144" s="83"/>
      <c r="F144" s="83"/>
    </row>
    <row r="145" spans="3:6" ht="14.25" customHeight="1">
      <c r="C145" s="83"/>
      <c r="D145" s="83"/>
      <c r="E145" s="83"/>
      <c r="F145" s="83"/>
    </row>
    <row r="146" spans="3:6" ht="14.25" customHeight="1">
      <c r="C146" s="83"/>
      <c r="D146" s="83"/>
      <c r="E146" s="83"/>
      <c r="F146" s="83"/>
    </row>
    <row r="147" spans="3:6" ht="14.25" customHeight="1">
      <c r="C147" s="83"/>
      <c r="D147" s="83"/>
      <c r="E147" s="83"/>
      <c r="F147" s="83"/>
    </row>
    <row r="148" spans="3:6" ht="14.25" customHeight="1">
      <c r="C148" s="83"/>
      <c r="D148" s="83"/>
      <c r="E148" s="83"/>
      <c r="F148" s="83"/>
    </row>
    <row r="149" spans="3:6" ht="14.25" customHeight="1">
      <c r="C149" s="83"/>
      <c r="D149" s="83"/>
      <c r="E149" s="83"/>
      <c r="F149" s="83"/>
    </row>
    <row r="150" spans="3:6" ht="14.25" customHeight="1">
      <c r="C150" s="83"/>
      <c r="D150" s="83"/>
      <c r="E150" s="83"/>
      <c r="F150" s="83"/>
    </row>
    <row r="151" spans="3:6" ht="14.25" customHeight="1">
      <c r="C151" s="83"/>
      <c r="D151" s="83"/>
      <c r="E151" s="83"/>
      <c r="F151" s="83"/>
    </row>
    <row r="152" spans="3:6" ht="14.25" customHeight="1">
      <c r="C152" s="83"/>
      <c r="D152" s="83"/>
      <c r="E152" s="83"/>
      <c r="F152" s="83"/>
    </row>
    <row r="153" spans="3:6" ht="14.25" customHeight="1">
      <c r="C153" s="83"/>
      <c r="D153" s="83"/>
      <c r="E153" s="83"/>
      <c r="F153" s="83"/>
    </row>
    <row r="154" spans="3:6" ht="14.25" customHeight="1">
      <c r="C154" s="83"/>
      <c r="D154" s="83"/>
      <c r="E154" s="83"/>
      <c r="F154" s="83"/>
    </row>
    <row r="155" spans="3:6" ht="14.25" customHeight="1">
      <c r="C155" s="83"/>
      <c r="D155" s="83"/>
      <c r="E155" s="83"/>
      <c r="F155" s="83"/>
    </row>
    <row r="156" spans="3:6" ht="14.25" customHeight="1">
      <c r="C156" s="83"/>
      <c r="D156" s="83"/>
      <c r="E156" s="83"/>
      <c r="F156" s="83"/>
    </row>
    <row r="157" spans="3:6" ht="14.25" customHeight="1">
      <c r="C157" s="83"/>
      <c r="D157" s="83"/>
      <c r="E157" s="83"/>
      <c r="F157" s="83"/>
    </row>
    <row r="158" spans="3:6" ht="14.25" customHeight="1">
      <c r="C158" s="83"/>
      <c r="D158" s="83"/>
      <c r="E158" s="83"/>
      <c r="F158" s="83"/>
    </row>
    <row r="159" spans="3:6" ht="14.25" customHeight="1">
      <c r="C159" s="83"/>
      <c r="D159" s="83"/>
      <c r="E159" s="83"/>
      <c r="F159" s="83"/>
    </row>
    <row r="160" spans="3:6" ht="14.25" customHeight="1">
      <c r="C160" s="83"/>
      <c r="D160" s="83"/>
      <c r="E160" s="83"/>
      <c r="F160" s="83"/>
    </row>
    <row r="161" spans="3:6" ht="14.25" customHeight="1">
      <c r="C161" s="83"/>
      <c r="D161" s="83"/>
      <c r="E161" s="83"/>
      <c r="F161" s="83"/>
    </row>
    <row r="162" spans="3:6" ht="14.25" customHeight="1">
      <c r="C162" s="83"/>
      <c r="D162" s="83"/>
      <c r="E162" s="83"/>
      <c r="F162" s="83"/>
    </row>
    <row r="163" spans="3:6" ht="14.25" customHeight="1">
      <c r="C163" s="83"/>
      <c r="D163" s="83"/>
      <c r="E163" s="83"/>
      <c r="F163" s="83"/>
    </row>
    <row r="164" spans="3:6" ht="14.25" customHeight="1">
      <c r="C164" s="83"/>
      <c r="D164" s="83"/>
      <c r="E164" s="83"/>
      <c r="F164" s="83"/>
    </row>
    <row r="165" spans="3:6" ht="14.25" customHeight="1">
      <c r="C165" s="83"/>
      <c r="D165" s="83"/>
      <c r="E165" s="83"/>
      <c r="F165" s="83"/>
    </row>
    <row r="166" spans="3:6" ht="14.25" customHeight="1">
      <c r="C166" s="83"/>
      <c r="D166" s="83"/>
      <c r="E166" s="83"/>
      <c r="F166" s="83"/>
    </row>
    <row r="167" spans="3:6" ht="14.25" customHeight="1">
      <c r="C167" s="83"/>
      <c r="D167" s="83"/>
      <c r="E167" s="83"/>
      <c r="F167" s="83"/>
    </row>
    <row r="168" spans="3:6" ht="14.25" customHeight="1">
      <c r="C168" s="83"/>
      <c r="D168" s="83"/>
      <c r="E168" s="83"/>
      <c r="F168" s="83"/>
    </row>
    <row r="169" spans="3:6" ht="14.25" customHeight="1">
      <c r="C169" s="83"/>
      <c r="D169" s="83"/>
      <c r="E169" s="83"/>
      <c r="F169" s="83"/>
    </row>
    <row r="170" spans="3:6" ht="14.25" customHeight="1">
      <c r="C170" s="83"/>
      <c r="D170" s="83"/>
      <c r="E170" s="83"/>
      <c r="F170" s="83"/>
    </row>
    <row r="171" spans="3:6" ht="14.25" customHeight="1">
      <c r="C171" s="83"/>
      <c r="D171" s="83"/>
      <c r="E171" s="83"/>
      <c r="F171" s="83"/>
    </row>
    <row r="172" spans="3:6" ht="14.25" customHeight="1">
      <c r="C172" s="83"/>
      <c r="D172" s="83"/>
      <c r="E172" s="83"/>
      <c r="F172" s="83"/>
    </row>
    <row r="173" spans="3:6" ht="14.25" customHeight="1">
      <c r="C173" s="83"/>
      <c r="D173" s="83"/>
      <c r="E173" s="83"/>
      <c r="F173" s="83"/>
    </row>
    <row r="174" spans="3:6" ht="14.25" customHeight="1">
      <c r="C174" s="83"/>
      <c r="D174" s="83"/>
      <c r="E174" s="83"/>
      <c r="F174" s="83"/>
    </row>
    <row r="175" spans="3:6" ht="14.25" customHeight="1">
      <c r="C175" s="83"/>
      <c r="D175" s="83"/>
      <c r="E175" s="83"/>
      <c r="F175" s="83"/>
    </row>
    <row r="176" spans="3:6" ht="14.25" customHeight="1">
      <c r="C176" s="83"/>
      <c r="D176" s="83"/>
      <c r="E176" s="83"/>
      <c r="F176" s="83"/>
    </row>
    <row r="177" spans="3:6" ht="14.25" customHeight="1">
      <c r="C177" s="83"/>
      <c r="D177" s="83"/>
      <c r="E177" s="83"/>
      <c r="F177" s="83"/>
    </row>
    <row r="178" spans="3:6" ht="14.25" customHeight="1">
      <c r="C178" s="83"/>
      <c r="D178" s="83"/>
      <c r="E178" s="83"/>
      <c r="F178" s="83"/>
    </row>
    <row r="179" spans="3:6" ht="14.25" customHeight="1">
      <c r="C179" s="83"/>
      <c r="D179" s="83"/>
      <c r="E179" s="83"/>
      <c r="F179" s="83"/>
    </row>
    <row r="180" spans="3:6" ht="14.25" customHeight="1">
      <c r="C180" s="83"/>
      <c r="D180" s="83"/>
      <c r="E180" s="83"/>
      <c r="F180" s="83"/>
    </row>
    <row r="181" spans="3:6" ht="14.25" customHeight="1">
      <c r="C181" s="83"/>
      <c r="D181" s="83"/>
      <c r="E181" s="83"/>
      <c r="F181" s="83"/>
    </row>
    <row r="182" spans="3:6" ht="14.25" customHeight="1">
      <c r="C182" s="83"/>
      <c r="D182" s="83"/>
      <c r="E182" s="83"/>
      <c r="F182" s="83"/>
    </row>
    <row r="183" spans="3:6" ht="14.25" customHeight="1">
      <c r="C183" s="83"/>
      <c r="D183" s="83"/>
      <c r="E183" s="83"/>
      <c r="F183" s="83"/>
    </row>
    <row r="184" spans="3:6" ht="14.25" customHeight="1">
      <c r="C184" s="83"/>
      <c r="D184" s="83"/>
      <c r="E184" s="83"/>
      <c r="F184" s="83"/>
    </row>
    <row r="185" spans="3:6" ht="14.25" customHeight="1">
      <c r="C185" s="83"/>
      <c r="D185" s="83"/>
      <c r="E185" s="83"/>
      <c r="F185" s="83"/>
    </row>
    <row r="186" spans="3:6" ht="14.25" customHeight="1">
      <c r="C186" s="83"/>
      <c r="D186" s="83"/>
      <c r="E186" s="83"/>
      <c r="F186" s="83"/>
    </row>
    <row r="187" spans="3:6" ht="14.25" customHeight="1">
      <c r="C187" s="83"/>
      <c r="D187" s="83"/>
      <c r="E187" s="83"/>
      <c r="F187" s="83"/>
    </row>
    <row r="188" spans="3:6" ht="14.25" customHeight="1">
      <c r="C188" s="83"/>
      <c r="D188" s="83"/>
      <c r="E188" s="83"/>
      <c r="F188" s="83"/>
    </row>
    <row r="189" spans="3:6" ht="14.25" customHeight="1">
      <c r="C189" s="83"/>
      <c r="D189" s="83"/>
      <c r="E189" s="83"/>
      <c r="F189" s="83"/>
    </row>
    <row r="190" spans="3:6" ht="14.25" customHeight="1">
      <c r="C190" s="83"/>
      <c r="D190" s="83"/>
      <c r="E190" s="83"/>
      <c r="F190" s="83"/>
    </row>
    <row r="191" spans="3:6" ht="14.25" customHeight="1">
      <c r="C191" s="83"/>
      <c r="D191" s="83"/>
      <c r="E191" s="83"/>
      <c r="F191" s="83"/>
    </row>
    <row r="192" spans="3:6" ht="14.25" customHeight="1">
      <c r="C192" s="83"/>
      <c r="D192" s="83"/>
      <c r="E192" s="83"/>
      <c r="F192" s="83"/>
    </row>
    <row r="193" spans="3:6" ht="14.25" customHeight="1">
      <c r="C193" s="83"/>
      <c r="D193" s="83"/>
      <c r="E193" s="83"/>
      <c r="F193" s="83"/>
    </row>
    <row r="194" spans="3:6" ht="14.25" customHeight="1">
      <c r="C194" s="83"/>
      <c r="D194" s="83"/>
      <c r="E194" s="83"/>
      <c r="F194" s="83"/>
    </row>
    <row r="195" spans="3:6" ht="14.25" customHeight="1">
      <c r="C195" s="83"/>
      <c r="D195" s="83"/>
      <c r="E195" s="83"/>
      <c r="F195" s="83"/>
    </row>
    <row r="196" spans="3:6" ht="14.25" customHeight="1">
      <c r="C196" s="83"/>
      <c r="D196" s="83"/>
      <c r="E196" s="83"/>
      <c r="F196" s="83"/>
    </row>
    <row r="197" spans="3:6" ht="14.25" customHeight="1">
      <c r="C197" s="83"/>
      <c r="D197" s="83"/>
      <c r="E197" s="83"/>
      <c r="F197" s="83"/>
    </row>
    <row r="198" spans="3:6" ht="14.25" customHeight="1">
      <c r="C198" s="83"/>
      <c r="D198" s="83"/>
      <c r="E198" s="83"/>
      <c r="F198" s="83"/>
    </row>
    <row r="199" spans="3:6" ht="14.25" customHeight="1">
      <c r="C199" s="83"/>
      <c r="D199" s="83"/>
      <c r="E199" s="83"/>
      <c r="F199" s="83"/>
    </row>
    <row r="200" spans="3:6" ht="14.25" customHeight="1">
      <c r="C200" s="83"/>
      <c r="D200" s="83"/>
      <c r="E200" s="83"/>
      <c r="F200" s="83"/>
    </row>
    <row r="201" spans="3:6" ht="14.25" customHeight="1">
      <c r="C201" s="83"/>
      <c r="D201" s="83"/>
      <c r="E201" s="83"/>
      <c r="F201" s="83"/>
    </row>
    <row r="202" spans="3:6" ht="14.25" customHeight="1">
      <c r="C202" s="83"/>
      <c r="D202" s="83"/>
      <c r="E202" s="83"/>
      <c r="F202" s="83"/>
    </row>
    <row r="203" spans="3:6" ht="14.25" customHeight="1">
      <c r="C203" s="83"/>
      <c r="D203" s="83"/>
      <c r="E203" s="83"/>
      <c r="F203" s="83"/>
    </row>
    <row r="204" spans="3:6" ht="14.25" customHeight="1">
      <c r="C204" s="83"/>
      <c r="D204" s="83"/>
      <c r="E204" s="83"/>
      <c r="F204" s="83"/>
    </row>
    <row r="205" spans="3:6" ht="14.25" customHeight="1">
      <c r="C205" s="83"/>
      <c r="D205" s="83"/>
      <c r="E205" s="83"/>
      <c r="F205" s="83"/>
    </row>
    <row r="206" spans="3:6" ht="14.25" customHeight="1">
      <c r="C206" s="83"/>
      <c r="D206" s="83"/>
      <c r="E206" s="83"/>
      <c r="F206" s="83"/>
    </row>
    <row r="207" spans="3:6" ht="14.25" customHeight="1">
      <c r="C207" s="83"/>
      <c r="D207" s="83"/>
      <c r="E207" s="83"/>
      <c r="F207" s="83"/>
    </row>
    <row r="208" spans="3:6" ht="14.25" customHeight="1">
      <c r="C208" s="83"/>
      <c r="D208" s="83"/>
      <c r="E208" s="83"/>
      <c r="F208" s="83"/>
    </row>
    <row r="209" spans="3:6" ht="14.25" customHeight="1">
      <c r="C209" s="83"/>
      <c r="D209" s="83"/>
      <c r="E209" s="83"/>
      <c r="F209" s="83"/>
    </row>
    <row r="210" spans="3:6" ht="14.25" customHeight="1">
      <c r="C210" s="83"/>
      <c r="D210" s="83"/>
      <c r="E210" s="83"/>
      <c r="F210" s="83"/>
    </row>
    <row r="211" spans="3:6" ht="14.25" customHeight="1">
      <c r="C211" s="83"/>
      <c r="D211" s="83"/>
      <c r="E211" s="83"/>
      <c r="F211" s="83"/>
    </row>
    <row r="212" spans="3:6" ht="14.25" customHeight="1">
      <c r="C212" s="83"/>
      <c r="D212" s="83"/>
      <c r="E212" s="83"/>
      <c r="F212" s="83"/>
    </row>
    <row r="213" spans="3:6" ht="14.25" customHeight="1">
      <c r="C213" s="83"/>
      <c r="D213" s="83"/>
      <c r="E213" s="83"/>
      <c r="F213" s="83"/>
    </row>
    <row r="214" spans="3:6" ht="14.25" customHeight="1">
      <c r="C214" s="83"/>
      <c r="D214" s="83"/>
      <c r="E214" s="83"/>
      <c r="F214" s="83"/>
    </row>
    <row r="215" spans="3:6" ht="14.25" customHeight="1">
      <c r="C215" s="83"/>
      <c r="D215" s="83"/>
      <c r="E215" s="83"/>
      <c r="F215" s="83"/>
    </row>
    <row r="216" spans="3:6" ht="14.25" customHeight="1">
      <c r="C216" s="83"/>
      <c r="D216" s="83"/>
      <c r="E216" s="83"/>
      <c r="F216" s="83"/>
    </row>
    <row r="217" spans="3:6" ht="14.25" customHeight="1">
      <c r="C217" s="83"/>
      <c r="D217" s="83"/>
      <c r="E217" s="83"/>
      <c r="F217" s="83"/>
    </row>
    <row r="218" spans="3:6" ht="14.25" customHeight="1">
      <c r="C218" s="83"/>
      <c r="D218" s="83"/>
      <c r="E218" s="83"/>
      <c r="F218" s="83"/>
    </row>
    <row r="219" spans="3:6" ht="14.25" customHeight="1">
      <c r="C219" s="83"/>
      <c r="D219" s="83"/>
      <c r="E219" s="83"/>
      <c r="F219" s="83"/>
    </row>
    <row r="220" spans="3:6" ht="14.25" customHeight="1">
      <c r="C220" s="83"/>
      <c r="D220" s="83"/>
      <c r="E220" s="83"/>
      <c r="F220" s="83"/>
    </row>
    <row r="221" spans="3:6" ht="14.25" customHeight="1">
      <c r="C221" s="83"/>
      <c r="D221" s="83"/>
      <c r="E221" s="83"/>
      <c r="F221" s="83"/>
    </row>
    <row r="222" spans="3:6" ht="14.25" customHeight="1">
      <c r="C222" s="83"/>
      <c r="D222" s="83"/>
      <c r="E222" s="83"/>
      <c r="F222" s="83"/>
    </row>
    <row r="223" spans="3:6" ht="14.25" customHeight="1">
      <c r="C223" s="83"/>
      <c r="D223" s="83"/>
      <c r="E223" s="83"/>
      <c r="F223" s="83"/>
    </row>
    <row r="224" spans="3:6" ht="14.25" customHeight="1">
      <c r="C224" s="83"/>
      <c r="D224" s="83"/>
      <c r="E224" s="83"/>
      <c r="F224" s="83"/>
    </row>
    <row r="225" spans="3:6" ht="14.25" customHeight="1">
      <c r="C225" s="83"/>
      <c r="D225" s="83"/>
      <c r="E225" s="83"/>
      <c r="F225" s="83"/>
    </row>
    <row r="226" spans="3:6" ht="14.25" customHeight="1">
      <c r="C226" s="83"/>
      <c r="D226" s="83"/>
      <c r="E226" s="83"/>
      <c r="F226" s="83"/>
    </row>
    <row r="227" spans="3:6" ht="14.25" customHeight="1">
      <c r="C227" s="83"/>
      <c r="D227" s="83"/>
      <c r="E227" s="83"/>
      <c r="F227" s="83"/>
    </row>
    <row r="228" spans="3:6" ht="14.25" customHeight="1">
      <c r="C228" s="83"/>
      <c r="D228" s="83"/>
      <c r="E228" s="83"/>
      <c r="F228" s="83"/>
    </row>
    <row r="229" spans="3:6" ht="14.25" customHeight="1">
      <c r="C229" s="83"/>
      <c r="D229" s="83"/>
      <c r="E229" s="83"/>
      <c r="F229" s="83"/>
    </row>
    <row r="230" spans="3:6" ht="14.25" customHeight="1">
      <c r="C230" s="83"/>
      <c r="D230" s="83"/>
      <c r="E230" s="83"/>
      <c r="F230" s="83"/>
    </row>
    <row r="231" spans="3:6" ht="14.25" customHeight="1">
      <c r="C231" s="83"/>
      <c r="D231" s="83"/>
      <c r="E231" s="83"/>
      <c r="F231" s="83"/>
    </row>
    <row r="232" spans="3:6" ht="14.25" customHeight="1">
      <c r="C232" s="83"/>
      <c r="D232" s="83"/>
      <c r="E232" s="83"/>
      <c r="F232" s="83"/>
    </row>
    <row r="233" spans="3:6" ht="14.25" customHeight="1">
      <c r="C233" s="83"/>
      <c r="D233" s="83"/>
      <c r="E233" s="83"/>
      <c r="F233" s="83"/>
    </row>
    <row r="234" spans="3:6" ht="14.25" customHeight="1">
      <c r="C234" s="83"/>
      <c r="D234" s="83"/>
      <c r="E234" s="83"/>
      <c r="F234" s="83"/>
    </row>
    <row r="235" spans="3:6" ht="14.25" customHeight="1">
      <c r="C235" s="83"/>
      <c r="D235" s="83"/>
      <c r="E235" s="83"/>
      <c r="F235" s="83"/>
    </row>
    <row r="236" spans="3:6" ht="14.25" customHeight="1">
      <c r="C236" s="83"/>
      <c r="D236" s="83"/>
      <c r="E236" s="83"/>
      <c r="F236" s="83"/>
    </row>
    <row r="237" spans="3:6" ht="14.25" customHeight="1">
      <c r="C237" s="83"/>
      <c r="D237" s="83"/>
      <c r="E237" s="83"/>
      <c r="F237" s="83"/>
    </row>
    <row r="238" spans="3:6" ht="14.25" customHeight="1">
      <c r="C238" s="83"/>
      <c r="D238" s="83"/>
      <c r="E238" s="83"/>
      <c r="F238" s="83"/>
    </row>
    <row r="239" spans="3:6" ht="14.25" customHeight="1">
      <c r="C239" s="83"/>
      <c r="D239" s="83"/>
      <c r="E239" s="83"/>
      <c r="F239" s="83"/>
    </row>
    <row r="240" spans="3:6" ht="14.25" customHeight="1">
      <c r="C240" s="83"/>
      <c r="D240" s="83"/>
      <c r="E240" s="83"/>
      <c r="F240" s="83"/>
    </row>
    <row r="241" spans="3:6" ht="14.25" customHeight="1">
      <c r="C241" s="83"/>
      <c r="D241" s="83"/>
      <c r="E241" s="83"/>
      <c r="F241" s="83"/>
    </row>
    <row r="242" spans="3:6" ht="14.25" customHeight="1">
      <c r="C242" s="83"/>
      <c r="D242" s="83"/>
      <c r="E242" s="83"/>
      <c r="F242" s="83"/>
    </row>
    <row r="243" spans="3:6" ht="14.25" customHeight="1">
      <c r="C243" s="83"/>
      <c r="D243" s="83"/>
      <c r="E243" s="83"/>
      <c r="F243" s="83"/>
    </row>
    <row r="244" spans="3:6" ht="14.25" customHeight="1">
      <c r="C244" s="83"/>
      <c r="D244" s="83"/>
      <c r="E244" s="83"/>
      <c r="F244" s="83"/>
    </row>
    <row r="245" spans="3:6" ht="14.25" customHeight="1">
      <c r="C245" s="83"/>
      <c r="D245" s="83"/>
      <c r="E245" s="83"/>
      <c r="F245" s="83"/>
    </row>
    <row r="246" spans="3:6" ht="14.25" customHeight="1">
      <c r="C246" s="83"/>
      <c r="D246" s="83"/>
      <c r="E246" s="83"/>
      <c r="F246" s="83"/>
    </row>
    <row r="247" spans="3:6" ht="14.25" customHeight="1">
      <c r="C247" s="83"/>
      <c r="D247" s="83"/>
      <c r="E247" s="83"/>
      <c r="F247" s="83"/>
    </row>
    <row r="248" spans="3:6" ht="14.25" customHeight="1">
      <c r="C248" s="83"/>
      <c r="D248" s="83"/>
      <c r="E248" s="83"/>
      <c r="F248" s="83"/>
    </row>
    <row r="249" spans="3:6" ht="14.25" customHeight="1">
      <c r="C249" s="83"/>
      <c r="D249" s="83"/>
      <c r="E249" s="83"/>
      <c r="F249" s="83"/>
    </row>
    <row r="250" spans="3:6" ht="14.25" customHeight="1">
      <c r="C250" s="83"/>
      <c r="D250" s="83"/>
      <c r="E250" s="83"/>
      <c r="F250" s="83"/>
    </row>
    <row r="251" spans="3:6" ht="14.25" customHeight="1">
      <c r="C251" s="83"/>
      <c r="D251" s="83"/>
      <c r="E251" s="83"/>
      <c r="F251" s="83"/>
    </row>
    <row r="252" spans="3:6" ht="14.25" customHeight="1">
      <c r="C252" s="83"/>
      <c r="D252" s="83"/>
      <c r="E252" s="83"/>
      <c r="F252" s="83"/>
    </row>
    <row r="253" spans="3:6" ht="14.25" customHeight="1">
      <c r="C253" s="83"/>
      <c r="D253" s="83"/>
      <c r="E253" s="83"/>
      <c r="F253" s="83"/>
    </row>
    <row r="254" spans="3:6" ht="14.25" customHeight="1">
      <c r="C254" s="83"/>
      <c r="D254" s="83"/>
      <c r="E254" s="83"/>
      <c r="F254" s="83"/>
    </row>
    <row r="255" spans="3:6" ht="14.25" customHeight="1">
      <c r="C255" s="83"/>
      <c r="D255" s="83"/>
      <c r="E255" s="83"/>
      <c r="F255" s="83"/>
    </row>
    <row r="256" spans="3:6" ht="14.25" customHeight="1">
      <c r="C256" s="83"/>
      <c r="D256" s="83"/>
      <c r="E256" s="83"/>
      <c r="F256" s="83"/>
    </row>
    <row r="257" spans="3:6" ht="14.25" customHeight="1">
      <c r="C257" s="83"/>
      <c r="D257" s="83"/>
      <c r="E257" s="83"/>
      <c r="F257" s="83"/>
    </row>
    <row r="258" spans="3:6" ht="14.25" customHeight="1">
      <c r="C258" s="83"/>
      <c r="D258" s="83"/>
      <c r="E258" s="83"/>
      <c r="F258" s="83"/>
    </row>
    <row r="259" spans="3:6" ht="14.25" customHeight="1">
      <c r="C259" s="83"/>
      <c r="D259" s="83"/>
      <c r="E259" s="83"/>
      <c r="F259" s="83"/>
    </row>
    <row r="260" spans="3:6" ht="14.25" customHeight="1">
      <c r="C260" s="83"/>
      <c r="D260" s="83"/>
      <c r="E260" s="83"/>
      <c r="F260" s="83"/>
    </row>
    <row r="261" spans="3:6" ht="14.25" customHeight="1">
      <c r="C261" s="83"/>
      <c r="D261" s="83"/>
      <c r="E261" s="83"/>
      <c r="F261" s="83"/>
    </row>
    <row r="262" spans="3:6" ht="14.25" customHeight="1">
      <c r="C262" s="83"/>
      <c r="D262" s="83"/>
      <c r="E262" s="83"/>
      <c r="F262" s="83"/>
    </row>
    <row r="263" spans="3:6" ht="14.25" customHeight="1">
      <c r="C263" s="83"/>
      <c r="D263" s="83"/>
      <c r="E263" s="83"/>
      <c r="F263" s="83"/>
    </row>
    <row r="264" spans="3:6" ht="14.25" customHeight="1">
      <c r="C264" s="83"/>
      <c r="D264" s="83"/>
      <c r="E264" s="83"/>
      <c r="F264" s="83"/>
    </row>
    <row r="265" spans="3:6" ht="14.25" customHeight="1">
      <c r="C265" s="83"/>
      <c r="D265" s="83"/>
      <c r="E265" s="83"/>
      <c r="F265" s="83"/>
    </row>
    <row r="266" spans="3:6" ht="14.25" customHeight="1">
      <c r="C266" s="83"/>
      <c r="D266" s="83"/>
      <c r="E266" s="83"/>
      <c r="F266" s="83"/>
    </row>
    <row r="267" spans="3:6" ht="14.25" customHeight="1">
      <c r="C267" s="83"/>
      <c r="D267" s="83"/>
      <c r="E267" s="83"/>
      <c r="F267" s="83"/>
    </row>
    <row r="268" spans="3:6" ht="14.25" customHeight="1">
      <c r="C268" s="83"/>
      <c r="D268" s="83"/>
      <c r="E268" s="83"/>
      <c r="F268" s="83"/>
    </row>
    <row r="269" spans="3:6" ht="14.25" customHeight="1">
      <c r="C269" s="83"/>
      <c r="D269" s="83"/>
      <c r="E269" s="83"/>
      <c r="F269" s="83"/>
    </row>
    <row r="270" spans="3:6" ht="14.25" customHeight="1">
      <c r="C270" s="83"/>
      <c r="D270" s="83"/>
      <c r="E270" s="83"/>
      <c r="F270" s="83"/>
    </row>
    <row r="271" spans="3:6" ht="14.25" customHeight="1">
      <c r="C271" s="83"/>
      <c r="D271" s="83"/>
      <c r="E271" s="83"/>
      <c r="F271" s="83"/>
    </row>
    <row r="272" spans="3:6" ht="14.25" customHeight="1">
      <c r="C272" s="83"/>
      <c r="D272" s="83"/>
      <c r="E272" s="83"/>
      <c r="F272" s="83"/>
    </row>
    <row r="273" spans="3:6" ht="14.25" customHeight="1">
      <c r="C273" s="83"/>
      <c r="D273" s="83"/>
      <c r="E273" s="83"/>
      <c r="F273" s="83"/>
    </row>
    <row r="274" spans="3:6" ht="14.25" customHeight="1">
      <c r="C274" s="83"/>
      <c r="D274" s="83"/>
      <c r="E274" s="83"/>
      <c r="F274" s="83"/>
    </row>
    <row r="275" spans="3:6" ht="14.25" customHeight="1">
      <c r="C275" s="83"/>
      <c r="D275" s="83"/>
      <c r="E275" s="83"/>
      <c r="F275" s="83"/>
    </row>
    <row r="276" spans="3:6" ht="14.25" customHeight="1">
      <c r="C276" s="83"/>
      <c r="D276" s="83"/>
      <c r="E276" s="83"/>
      <c r="F276" s="83"/>
    </row>
    <row r="277" spans="3:6" ht="14.25" customHeight="1">
      <c r="C277" s="83"/>
      <c r="D277" s="83"/>
      <c r="E277" s="83"/>
      <c r="F277" s="83"/>
    </row>
    <row r="278" spans="3:6" ht="14.25" customHeight="1">
      <c r="C278" s="83"/>
      <c r="D278" s="83"/>
      <c r="E278" s="83"/>
      <c r="F278" s="83"/>
    </row>
    <row r="279" spans="3:6" ht="14.25" customHeight="1">
      <c r="C279" s="83"/>
      <c r="D279" s="83"/>
      <c r="E279" s="83"/>
      <c r="F279" s="83"/>
    </row>
    <row r="280" spans="3:6" ht="14.25" customHeight="1">
      <c r="C280" s="83"/>
      <c r="D280" s="83"/>
      <c r="E280" s="83"/>
      <c r="F280" s="83"/>
    </row>
    <row r="281" spans="3:6" ht="14.25" customHeight="1">
      <c r="C281" s="83"/>
      <c r="D281" s="83"/>
      <c r="E281" s="83"/>
      <c r="F281" s="83"/>
    </row>
    <row r="282" spans="3:6" ht="14.25" customHeight="1">
      <c r="C282" s="83"/>
      <c r="D282" s="83"/>
      <c r="E282" s="83"/>
      <c r="F282" s="83"/>
    </row>
    <row r="283" spans="3:6" ht="14.25" customHeight="1">
      <c r="C283" s="83"/>
      <c r="D283" s="83"/>
      <c r="E283" s="83"/>
      <c r="F283" s="83"/>
    </row>
    <row r="284" spans="3:6" ht="14.25" customHeight="1">
      <c r="C284" s="83"/>
      <c r="D284" s="83"/>
      <c r="E284" s="83"/>
      <c r="F284" s="83"/>
    </row>
    <row r="285" spans="3:6" ht="14.25" customHeight="1">
      <c r="C285" s="83"/>
      <c r="D285" s="83"/>
      <c r="E285" s="83"/>
      <c r="F285" s="83"/>
    </row>
    <row r="286" spans="3:6" ht="14.25" customHeight="1">
      <c r="C286" s="83"/>
      <c r="D286" s="83"/>
      <c r="E286" s="83"/>
      <c r="F286" s="83"/>
    </row>
    <row r="287" spans="3:6" ht="14.25" customHeight="1">
      <c r="C287" s="83"/>
      <c r="D287" s="83"/>
      <c r="E287" s="83"/>
      <c r="F287" s="83"/>
    </row>
    <row r="288" spans="3:6" ht="14.25" customHeight="1">
      <c r="C288" s="83"/>
      <c r="D288" s="83"/>
      <c r="E288" s="83"/>
      <c r="F288" s="83"/>
    </row>
    <row r="289" spans="3:6" ht="14.25" customHeight="1">
      <c r="C289" s="83"/>
      <c r="D289" s="83"/>
      <c r="E289" s="83"/>
      <c r="F289" s="83"/>
    </row>
    <row r="290" spans="3:6" ht="14.25" customHeight="1">
      <c r="C290" s="83"/>
      <c r="D290" s="83"/>
      <c r="E290" s="83"/>
      <c r="F290" s="83"/>
    </row>
    <row r="291" spans="3:6" ht="14.25" customHeight="1">
      <c r="C291" s="83"/>
      <c r="D291" s="83"/>
      <c r="E291" s="83"/>
      <c r="F291" s="83"/>
    </row>
    <row r="292" spans="3:6" ht="14.25" customHeight="1">
      <c r="C292" s="83"/>
      <c r="D292" s="83"/>
      <c r="E292" s="83"/>
      <c r="F292" s="83"/>
    </row>
    <row r="293" spans="3:6" ht="14.25" customHeight="1">
      <c r="C293" s="83"/>
      <c r="D293" s="83"/>
      <c r="E293" s="83"/>
      <c r="F293" s="83"/>
    </row>
    <row r="294" spans="3:6" ht="14.25" customHeight="1">
      <c r="C294" s="83"/>
      <c r="D294" s="83"/>
      <c r="E294" s="83"/>
      <c r="F294" s="83"/>
    </row>
    <row r="295" spans="3:6" ht="14.25" customHeight="1">
      <c r="C295" s="83"/>
      <c r="D295" s="83"/>
      <c r="E295" s="83"/>
      <c r="F295" s="83"/>
    </row>
    <row r="296" spans="3:6" ht="14.25" customHeight="1">
      <c r="C296" s="83"/>
      <c r="D296" s="83"/>
      <c r="E296" s="83"/>
      <c r="F296" s="83"/>
    </row>
    <row r="297" spans="3:6" ht="14.25" customHeight="1">
      <c r="C297" s="83"/>
      <c r="D297" s="83"/>
      <c r="E297" s="83"/>
      <c r="F297" s="83"/>
    </row>
    <row r="298" spans="3:6" ht="14.25" customHeight="1">
      <c r="C298" s="83"/>
      <c r="D298" s="83"/>
      <c r="E298" s="83"/>
      <c r="F298" s="83"/>
    </row>
    <row r="299" spans="3:6" ht="14.25" customHeight="1">
      <c r="C299" s="83"/>
      <c r="D299" s="83"/>
      <c r="E299" s="83"/>
      <c r="F299" s="83"/>
    </row>
    <row r="300" spans="3:6" ht="14.25" customHeight="1">
      <c r="C300" s="83"/>
      <c r="D300" s="83"/>
      <c r="E300" s="83"/>
      <c r="F300" s="83"/>
    </row>
    <row r="301" spans="3:6" ht="14.25" customHeight="1">
      <c r="C301" s="83"/>
      <c r="D301" s="83"/>
      <c r="E301" s="83"/>
      <c r="F301" s="83"/>
    </row>
    <row r="302" spans="3:6" ht="14.25" customHeight="1">
      <c r="C302" s="83"/>
      <c r="D302" s="83"/>
      <c r="E302" s="83"/>
      <c r="F302" s="83"/>
    </row>
    <row r="303" spans="3:6" ht="14.25" customHeight="1">
      <c r="C303" s="83"/>
      <c r="D303" s="83"/>
      <c r="E303" s="83"/>
      <c r="F303" s="83"/>
    </row>
    <row r="304" spans="3:6" ht="14.25" customHeight="1">
      <c r="C304" s="83"/>
      <c r="D304" s="83"/>
      <c r="E304" s="83"/>
      <c r="F304" s="83"/>
    </row>
    <row r="305" spans="3:6" ht="14.25" customHeight="1">
      <c r="C305" s="83"/>
      <c r="D305" s="83"/>
      <c r="E305" s="83"/>
      <c r="F305" s="83"/>
    </row>
    <row r="306" spans="3:6" ht="14.25" customHeight="1">
      <c r="C306" s="83"/>
      <c r="D306" s="83"/>
      <c r="E306" s="83"/>
      <c r="F306" s="83"/>
    </row>
    <row r="307" spans="3:6" ht="14.25" customHeight="1">
      <c r="C307" s="83"/>
      <c r="D307" s="83"/>
      <c r="E307" s="83"/>
      <c r="F307" s="83"/>
    </row>
    <row r="308" spans="3:6" ht="14.25" customHeight="1">
      <c r="C308" s="83"/>
      <c r="D308" s="83"/>
      <c r="E308" s="83"/>
      <c r="F308" s="83"/>
    </row>
    <row r="309" spans="3:6" ht="14.25" customHeight="1">
      <c r="C309" s="83"/>
      <c r="D309" s="83"/>
      <c r="E309" s="83"/>
      <c r="F309" s="83"/>
    </row>
    <row r="310" spans="3:6" ht="14.25" customHeight="1">
      <c r="C310" s="83"/>
      <c r="D310" s="83"/>
      <c r="E310" s="83"/>
      <c r="F310" s="83"/>
    </row>
    <row r="311" spans="3:6" ht="14.25" customHeight="1">
      <c r="C311" s="83"/>
      <c r="D311" s="83"/>
      <c r="E311" s="83"/>
      <c r="F311" s="83"/>
    </row>
    <row r="312" spans="3:6" ht="14.25" customHeight="1">
      <c r="C312" s="83"/>
      <c r="D312" s="83"/>
      <c r="E312" s="83"/>
      <c r="F312" s="83"/>
    </row>
    <row r="313" spans="3:6" ht="14.25" customHeight="1">
      <c r="C313" s="83"/>
      <c r="D313" s="83"/>
      <c r="E313" s="83"/>
      <c r="F313" s="83"/>
    </row>
    <row r="314" spans="3:6" ht="14.25" customHeight="1">
      <c r="C314" s="83"/>
      <c r="D314" s="83"/>
      <c r="E314" s="83"/>
      <c r="F314" s="83"/>
    </row>
    <row r="315" spans="3:6" ht="14.25" customHeight="1">
      <c r="C315" s="83"/>
      <c r="D315" s="83"/>
      <c r="E315" s="83"/>
      <c r="F315" s="83"/>
    </row>
    <row r="316" spans="3:6" ht="14.25" customHeight="1">
      <c r="C316" s="83"/>
      <c r="D316" s="83"/>
      <c r="E316" s="83"/>
      <c r="F316" s="83"/>
    </row>
    <row r="317" spans="3:6" ht="14.25" customHeight="1">
      <c r="C317" s="83"/>
      <c r="D317" s="83"/>
      <c r="E317" s="83"/>
      <c r="F317" s="83"/>
    </row>
    <row r="318" spans="3:6" ht="14.25" customHeight="1">
      <c r="C318" s="83"/>
      <c r="D318" s="83"/>
      <c r="E318" s="83"/>
      <c r="F318" s="83"/>
    </row>
    <row r="319" spans="3:6" ht="14.25" customHeight="1">
      <c r="C319" s="83"/>
      <c r="D319" s="83"/>
      <c r="E319" s="83"/>
      <c r="F319" s="83"/>
    </row>
    <row r="320" spans="3:6" ht="14.25" customHeight="1">
      <c r="C320" s="83"/>
      <c r="D320" s="83"/>
      <c r="E320" s="83"/>
      <c r="F320" s="83"/>
    </row>
    <row r="321" spans="3:6" ht="14.25" customHeight="1">
      <c r="C321" s="83"/>
      <c r="D321" s="83"/>
      <c r="E321" s="83"/>
      <c r="F321" s="83"/>
    </row>
    <row r="322" spans="3:6" ht="14.25" customHeight="1">
      <c r="C322" s="83"/>
      <c r="D322" s="83"/>
      <c r="E322" s="83"/>
      <c r="F322" s="83"/>
    </row>
    <row r="323" spans="3:6" ht="14.25" customHeight="1">
      <c r="C323" s="83"/>
      <c r="D323" s="83"/>
      <c r="E323" s="83"/>
      <c r="F323" s="83"/>
    </row>
    <row r="324" spans="3:6" ht="14.25" customHeight="1">
      <c r="C324" s="83"/>
      <c r="D324" s="83"/>
      <c r="E324" s="83"/>
      <c r="F324" s="83"/>
    </row>
    <row r="325" spans="3:6" ht="14.25" customHeight="1">
      <c r="C325" s="83"/>
      <c r="D325" s="83"/>
      <c r="E325" s="83"/>
      <c r="F325" s="83"/>
    </row>
    <row r="326" spans="3:6" ht="14.25" customHeight="1">
      <c r="C326" s="83"/>
      <c r="D326" s="83"/>
      <c r="E326" s="83"/>
      <c r="F326" s="83"/>
    </row>
    <row r="327" spans="3:6" ht="14.25" customHeight="1">
      <c r="C327" s="83"/>
      <c r="D327" s="83"/>
      <c r="E327" s="83"/>
      <c r="F327" s="83"/>
    </row>
    <row r="328" spans="3:6" ht="14.25" customHeight="1">
      <c r="C328" s="83"/>
      <c r="D328" s="83"/>
      <c r="E328" s="83"/>
      <c r="F328" s="83"/>
    </row>
    <row r="329" spans="3:6" ht="14.25" customHeight="1">
      <c r="C329" s="83"/>
      <c r="D329" s="83"/>
      <c r="E329" s="83"/>
      <c r="F329" s="83"/>
    </row>
    <row r="330" spans="3:6" ht="14.25" customHeight="1">
      <c r="C330" s="83"/>
      <c r="D330" s="83"/>
      <c r="E330" s="83"/>
      <c r="F330" s="83"/>
    </row>
    <row r="331" spans="3:6" ht="14.25" customHeight="1">
      <c r="C331" s="83"/>
      <c r="D331" s="83"/>
      <c r="E331" s="83"/>
      <c r="F331" s="83"/>
    </row>
    <row r="332" spans="3:6" ht="14.25" customHeight="1">
      <c r="C332" s="83"/>
      <c r="D332" s="83"/>
      <c r="E332" s="83"/>
      <c r="F332" s="83"/>
    </row>
    <row r="333" spans="3:6" ht="14.25" customHeight="1">
      <c r="C333" s="83"/>
      <c r="D333" s="83"/>
      <c r="E333" s="83"/>
      <c r="F333" s="83"/>
    </row>
    <row r="334" spans="3:6" ht="14.25" customHeight="1">
      <c r="C334" s="83"/>
      <c r="D334" s="83"/>
      <c r="E334" s="83"/>
      <c r="F334" s="83"/>
    </row>
    <row r="335" spans="3:6" ht="14.25" customHeight="1">
      <c r="C335" s="83"/>
      <c r="D335" s="83"/>
      <c r="E335" s="83"/>
      <c r="F335" s="83"/>
    </row>
    <row r="336" spans="3:6" ht="14.25" customHeight="1">
      <c r="C336" s="83"/>
      <c r="D336" s="83"/>
      <c r="E336" s="83"/>
      <c r="F336" s="83"/>
    </row>
    <row r="337" spans="3:6" ht="14.25" customHeight="1">
      <c r="C337" s="83"/>
      <c r="D337" s="83"/>
      <c r="E337" s="83"/>
      <c r="F337" s="83"/>
    </row>
    <row r="338" spans="3:6" ht="14.25" customHeight="1">
      <c r="C338" s="83"/>
      <c r="D338" s="83"/>
      <c r="E338" s="83"/>
      <c r="F338" s="83"/>
    </row>
    <row r="339" spans="3:6" ht="14.25" customHeight="1">
      <c r="C339" s="83"/>
      <c r="D339" s="83"/>
      <c r="E339" s="83"/>
      <c r="F339" s="83"/>
    </row>
    <row r="340" spans="3:6" ht="14.25" customHeight="1">
      <c r="C340" s="83"/>
      <c r="D340" s="83"/>
      <c r="E340" s="83"/>
      <c r="F340" s="83"/>
    </row>
    <row r="341" spans="3:6" ht="14.25" customHeight="1">
      <c r="C341" s="83"/>
      <c r="D341" s="83"/>
      <c r="E341" s="83"/>
      <c r="F341" s="83"/>
    </row>
    <row r="342" spans="3:6" ht="14.25" customHeight="1">
      <c r="C342" s="83"/>
      <c r="D342" s="83"/>
      <c r="E342" s="83"/>
      <c r="F342" s="83"/>
    </row>
    <row r="343" spans="3:6" ht="14.25" customHeight="1">
      <c r="C343" s="83"/>
      <c r="D343" s="83"/>
      <c r="E343" s="83"/>
      <c r="F343" s="83"/>
    </row>
    <row r="344" spans="3:6" ht="14.25" customHeight="1">
      <c r="C344" s="83"/>
      <c r="D344" s="83"/>
      <c r="E344" s="83"/>
      <c r="F344" s="83"/>
    </row>
    <row r="345" spans="3:6" ht="14.25" customHeight="1">
      <c r="C345" s="83"/>
      <c r="D345" s="83"/>
      <c r="E345" s="83"/>
      <c r="F345" s="83"/>
    </row>
    <row r="346" spans="3:6" ht="14.25" customHeight="1">
      <c r="C346" s="83"/>
      <c r="D346" s="83"/>
      <c r="E346" s="83"/>
      <c r="F346" s="83"/>
    </row>
    <row r="347" spans="3:6" ht="14.25" customHeight="1">
      <c r="C347" s="83"/>
      <c r="D347" s="83"/>
      <c r="E347" s="83"/>
      <c r="F347" s="83"/>
    </row>
    <row r="348" spans="3:6" ht="14.25" customHeight="1">
      <c r="C348" s="83"/>
      <c r="D348" s="83"/>
      <c r="E348" s="83"/>
      <c r="F348" s="83"/>
    </row>
    <row r="349" spans="3:6" ht="14.25" customHeight="1">
      <c r="C349" s="83"/>
      <c r="D349" s="83"/>
      <c r="E349" s="83"/>
      <c r="F349" s="83"/>
    </row>
    <row r="350" spans="3:6" ht="14.25" customHeight="1">
      <c r="C350" s="83"/>
      <c r="D350" s="83"/>
      <c r="E350" s="83"/>
      <c r="F350" s="83"/>
    </row>
    <row r="351" spans="3:6" ht="14.25" customHeight="1">
      <c r="C351" s="83"/>
      <c r="D351" s="83"/>
      <c r="E351" s="83"/>
      <c r="F351" s="83"/>
    </row>
    <row r="352" spans="3:6" ht="14.25" customHeight="1">
      <c r="C352" s="83"/>
      <c r="D352" s="83"/>
      <c r="E352" s="83"/>
      <c r="F352" s="83"/>
    </row>
    <row r="353" spans="3:6" ht="14.25" customHeight="1">
      <c r="C353" s="83"/>
      <c r="D353" s="83"/>
      <c r="E353" s="83"/>
      <c r="F353" s="83"/>
    </row>
    <row r="354" spans="3:6" ht="14.25" customHeight="1">
      <c r="C354" s="83"/>
      <c r="D354" s="83"/>
      <c r="E354" s="83"/>
      <c r="F354" s="83"/>
    </row>
    <row r="355" spans="3:6" ht="14.25" customHeight="1">
      <c r="C355" s="83"/>
      <c r="D355" s="83"/>
      <c r="E355" s="83"/>
      <c r="F355" s="83"/>
    </row>
    <row r="356" spans="3:6" ht="14.25" customHeight="1">
      <c r="C356" s="83"/>
      <c r="D356" s="83"/>
      <c r="E356" s="83"/>
      <c r="F356" s="83"/>
    </row>
    <row r="357" spans="3:6" ht="14.25" customHeight="1">
      <c r="C357" s="83"/>
      <c r="D357" s="83"/>
      <c r="E357" s="83"/>
      <c r="F357" s="83"/>
    </row>
    <row r="358" spans="3:6" ht="14.25" customHeight="1">
      <c r="C358" s="83"/>
      <c r="D358" s="83"/>
      <c r="E358" s="83"/>
      <c r="F358" s="83"/>
    </row>
    <row r="359" spans="3:6" ht="14.25" customHeight="1">
      <c r="C359" s="83"/>
      <c r="D359" s="83"/>
      <c r="E359" s="83"/>
      <c r="F359" s="83"/>
    </row>
    <row r="360" spans="3:6" ht="14.25" customHeight="1">
      <c r="C360" s="83"/>
      <c r="D360" s="83"/>
      <c r="E360" s="83"/>
      <c r="F360" s="83"/>
    </row>
    <row r="361" spans="3:6" ht="14.25" customHeight="1">
      <c r="C361" s="83"/>
      <c r="D361" s="83"/>
      <c r="E361" s="83"/>
      <c r="F361" s="83"/>
    </row>
    <row r="362" spans="3:6" ht="14.25" customHeight="1">
      <c r="C362" s="83"/>
      <c r="D362" s="83"/>
      <c r="E362" s="83"/>
      <c r="F362" s="83"/>
    </row>
    <row r="363" spans="3:6" ht="14.25" customHeight="1">
      <c r="C363" s="83"/>
      <c r="D363" s="83"/>
      <c r="E363" s="83"/>
      <c r="F363" s="83"/>
    </row>
    <row r="364" spans="3:6" ht="14.25" customHeight="1">
      <c r="C364" s="83"/>
      <c r="D364" s="83"/>
      <c r="E364" s="83"/>
      <c r="F364" s="83"/>
    </row>
    <row r="365" spans="3:6" ht="14.25" customHeight="1">
      <c r="C365" s="83"/>
      <c r="D365" s="83"/>
      <c r="E365" s="83"/>
      <c r="F365" s="83"/>
    </row>
    <row r="366" spans="3:6" ht="14.25" customHeight="1">
      <c r="C366" s="83"/>
      <c r="D366" s="83"/>
      <c r="E366" s="83"/>
      <c r="F366" s="83"/>
    </row>
    <row r="367" spans="3:6" ht="14.25" customHeight="1">
      <c r="C367" s="83"/>
      <c r="D367" s="83"/>
      <c r="E367" s="83"/>
      <c r="F367" s="83"/>
    </row>
    <row r="368" spans="3:6" ht="14.25" customHeight="1">
      <c r="C368" s="83"/>
      <c r="D368" s="83"/>
      <c r="E368" s="83"/>
      <c r="F368" s="83"/>
    </row>
    <row r="369" spans="3:6" ht="14.25" customHeight="1">
      <c r="C369" s="83"/>
      <c r="D369" s="83"/>
      <c r="E369" s="83"/>
      <c r="F369" s="83"/>
    </row>
    <row r="370" spans="3:6" ht="14.25" customHeight="1">
      <c r="C370" s="83"/>
      <c r="D370" s="83"/>
      <c r="E370" s="83"/>
      <c r="F370" s="83"/>
    </row>
    <row r="371" spans="3:6" ht="14.25" customHeight="1">
      <c r="C371" s="83"/>
      <c r="D371" s="83"/>
      <c r="E371" s="83"/>
      <c r="F371" s="83"/>
    </row>
    <row r="372" spans="3:6" ht="14.25" customHeight="1">
      <c r="C372" s="83"/>
      <c r="D372" s="83"/>
      <c r="E372" s="83"/>
      <c r="F372" s="83"/>
    </row>
    <row r="373" spans="3:6" ht="14.25" customHeight="1">
      <c r="C373" s="83"/>
      <c r="D373" s="83"/>
      <c r="E373" s="83"/>
      <c r="F373" s="83"/>
    </row>
    <row r="374" spans="3:6" ht="14.25" customHeight="1">
      <c r="C374" s="83"/>
      <c r="D374" s="83"/>
      <c r="E374" s="83"/>
      <c r="F374" s="83"/>
    </row>
    <row r="375" spans="3:6" ht="14.25" customHeight="1">
      <c r="C375" s="83"/>
      <c r="D375" s="83"/>
      <c r="E375" s="83"/>
      <c r="F375" s="83"/>
    </row>
    <row r="376" spans="3:6" ht="14.25" customHeight="1">
      <c r="C376" s="83"/>
      <c r="D376" s="83"/>
      <c r="E376" s="83"/>
      <c r="F376" s="83"/>
    </row>
    <row r="377" spans="3:6" ht="14.25" customHeight="1">
      <c r="C377" s="83"/>
      <c r="D377" s="83"/>
      <c r="E377" s="83"/>
      <c r="F377" s="83"/>
    </row>
    <row r="378" spans="3:6" ht="14.25" customHeight="1">
      <c r="C378" s="83"/>
      <c r="D378" s="83"/>
      <c r="E378" s="83"/>
      <c r="F378" s="83"/>
    </row>
    <row r="379" spans="3:6" ht="14.25" customHeight="1">
      <c r="C379" s="83"/>
      <c r="D379" s="83"/>
      <c r="E379" s="83"/>
      <c r="F379" s="83"/>
    </row>
    <row r="380" spans="3:6" ht="14.25" customHeight="1">
      <c r="C380" s="83"/>
      <c r="D380" s="83"/>
      <c r="E380" s="83"/>
      <c r="F380" s="83"/>
    </row>
    <row r="381" spans="3:6" ht="14.25" customHeight="1">
      <c r="C381" s="83"/>
      <c r="D381" s="83"/>
      <c r="E381" s="83"/>
      <c r="F381" s="83"/>
    </row>
    <row r="382" spans="3:6" ht="14.25" customHeight="1">
      <c r="C382" s="83"/>
      <c r="D382" s="83"/>
      <c r="E382" s="83"/>
      <c r="F382" s="83"/>
    </row>
    <row r="383" spans="3:6" ht="14.25" customHeight="1">
      <c r="C383" s="83"/>
      <c r="D383" s="83"/>
      <c r="E383" s="83"/>
      <c r="F383" s="83"/>
    </row>
    <row r="384" spans="3:6" ht="14.25" customHeight="1">
      <c r="C384" s="83"/>
      <c r="D384" s="83"/>
      <c r="E384" s="83"/>
      <c r="F384" s="83"/>
    </row>
    <row r="385" spans="3:6" ht="14.25" customHeight="1">
      <c r="C385" s="83"/>
      <c r="D385" s="83"/>
      <c r="E385" s="83"/>
      <c r="F385" s="83"/>
    </row>
    <row r="386" spans="3:6" ht="14.25" customHeight="1">
      <c r="C386" s="83"/>
      <c r="D386" s="83"/>
      <c r="E386" s="83"/>
      <c r="F386" s="83"/>
    </row>
    <row r="387" spans="3:6" ht="14.25" customHeight="1">
      <c r="C387" s="83"/>
      <c r="D387" s="83"/>
      <c r="E387" s="83"/>
      <c r="F387" s="83"/>
    </row>
    <row r="388" spans="3:6" ht="14.25" customHeight="1">
      <c r="C388" s="83"/>
      <c r="D388" s="83"/>
      <c r="E388" s="83"/>
      <c r="F388" s="83"/>
    </row>
    <row r="389" spans="3:6" ht="14.25" customHeight="1">
      <c r="C389" s="83"/>
      <c r="D389" s="83"/>
      <c r="E389" s="83"/>
      <c r="F389" s="83"/>
    </row>
    <row r="390" spans="3:6" ht="14.25" customHeight="1">
      <c r="C390" s="83"/>
      <c r="D390" s="83"/>
      <c r="E390" s="83"/>
      <c r="F390" s="83"/>
    </row>
    <row r="391" spans="3:6" ht="14.25" customHeight="1">
      <c r="C391" s="83"/>
      <c r="D391" s="83"/>
      <c r="E391" s="83"/>
      <c r="F391" s="83"/>
    </row>
    <row r="392" spans="3:6" ht="14.25" customHeight="1">
      <c r="C392" s="83"/>
      <c r="D392" s="83"/>
      <c r="E392" s="83"/>
      <c r="F392" s="83"/>
    </row>
    <row r="393" spans="3:6" ht="14.25" customHeight="1">
      <c r="C393" s="83"/>
      <c r="D393" s="83"/>
      <c r="E393" s="83"/>
      <c r="F393" s="83"/>
    </row>
    <row r="394" spans="3:6" ht="14.25" customHeight="1">
      <c r="C394" s="83"/>
      <c r="D394" s="83"/>
      <c r="E394" s="83"/>
      <c r="F394" s="83"/>
    </row>
    <row r="395" spans="3:6" ht="14.25" customHeight="1">
      <c r="C395" s="83"/>
      <c r="D395" s="83"/>
      <c r="E395" s="83"/>
      <c r="F395" s="83"/>
    </row>
    <row r="396" spans="3:6" ht="14.25" customHeight="1">
      <c r="C396" s="83"/>
      <c r="D396" s="83"/>
      <c r="E396" s="83"/>
      <c r="F396" s="83"/>
    </row>
    <row r="397" spans="3:6" ht="14.25" customHeight="1">
      <c r="C397" s="83"/>
      <c r="D397" s="83"/>
      <c r="E397" s="83"/>
      <c r="F397" s="83"/>
    </row>
    <row r="398" spans="3:6" ht="14.25" customHeight="1">
      <c r="C398" s="83"/>
      <c r="D398" s="83"/>
      <c r="E398" s="83"/>
      <c r="F398" s="83"/>
    </row>
    <row r="399" spans="3:6" ht="14.25" customHeight="1">
      <c r="C399" s="83"/>
      <c r="D399" s="83"/>
      <c r="E399" s="83"/>
      <c r="F399" s="83"/>
    </row>
    <row r="400" spans="3:6" ht="14.25" customHeight="1">
      <c r="C400" s="83"/>
      <c r="D400" s="83"/>
      <c r="E400" s="83"/>
      <c r="F400" s="83"/>
    </row>
    <row r="401" spans="3:6" ht="14.25" customHeight="1">
      <c r="C401" s="83"/>
      <c r="D401" s="83"/>
      <c r="E401" s="83"/>
      <c r="F401" s="83"/>
    </row>
    <row r="402" spans="3:6" ht="14.25" customHeight="1">
      <c r="C402" s="83"/>
      <c r="D402" s="83"/>
      <c r="E402" s="83"/>
      <c r="F402" s="83"/>
    </row>
    <row r="403" spans="3:6" ht="14.25" customHeight="1">
      <c r="C403" s="83"/>
      <c r="D403" s="83"/>
      <c r="E403" s="83"/>
      <c r="F403" s="83"/>
    </row>
    <row r="404" spans="3:6" ht="14.25" customHeight="1">
      <c r="C404" s="83"/>
      <c r="D404" s="83"/>
      <c r="E404" s="83"/>
      <c r="F404" s="83"/>
    </row>
    <row r="405" spans="3:6" ht="14.25" customHeight="1">
      <c r="C405" s="83"/>
      <c r="D405" s="83"/>
      <c r="E405" s="83"/>
      <c r="F405" s="83"/>
    </row>
    <row r="406" spans="3:6" ht="14.25" customHeight="1">
      <c r="C406" s="83"/>
      <c r="D406" s="83"/>
      <c r="E406" s="83"/>
      <c r="F406" s="83"/>
    </row>
    <row r="407" spans="3:6" ht="14.25" customHeight="1">
      <c r="C407" s="83"/>
      <c r="D407" s="83"/>
      <c r="E407" s="83"/>
      <c r="F407" s="83"/>
    </row>
    <row r="408" spans="3:6" ht="14.25" customHeight="1">
      <c r="C408" s="83"/>
      <c r="D408" s="83"/>
      <c r="E408" s="83"/>
      <c r="F408" s="83"/>
    </row>
    <row r="409" spans="3:6" ht="14.25" customHeight="1">
      <c r="C409" s="83"/>
      <c r="D409" s="83"/>
      <c r="E409" s="83"/>
      <c r="F409" s="83"/>
    </row>
    <row r="410" spans="3:6" ht="14.25" customHeight="1">
      <c r="C410" s="83"/>
      <c r="D410" s="83"/>
      <c r="E410" s="83"/>
      <c r="F410" s="83"/>
    </row>
    <row r="411" spans="3:6" ht="14.25" customHeight="1">
      <c r="C411" s="83"/>
      <c r="D411" s="83"/>
      <c r="E411" s="83"/>
      <c r="F411" s="83"/>
    </row>
    <row r="412" spans="3:6" ht="14.25" customHeight="1">
      <c r="C412" s="83"/>
      <c r="D412" s="83"/>
      <c r="E412" s="83"/>
      <c r="F412" s="83"/>
    </row>
    <row r="413" spans="3:6" ht="14.25" customHeight="1">
      <c r="C413" s="83"/>
      <c r="D413" s="83"/>
      <c r="E413" s="83"/>
      <c r="F413" s="83"/>
    </row>
    <row r="414" spans="3:6" ht="14.25" customHeight="1">
      <c r="C414" s="83"/>
      <c r="D414" s="83"/>
      <c r="E414" s="83"/>
      <c r="F414" s="83"/>
    </row>
    <row r="415" spans="3:6" ht="14.25" customHeight="1">
      <c r="C415" s="83"/>
      <c r="D415" s="83"/>
      <c r="E415" s="83"/>
      <c r="F415" s="83"/>
    </row>
    <row r="416" spans="3:6" ht="14.25" customHeight="1">
      <c r="C416" s="83"/>
      <c r="D416" s="83"/>
      <c r="E416" s="83"/>
      <c r="F416" s="83"/>
    </row>
    <row r="417" spans="3:6" ht="14.25" customHeight="1">
      <c r="C417" s="83"/>
      <c r="D417" s="83"/>
      <c r="E417" s="83"/>
      <c r="F417" s="83"/>
    </row>
    <row r="418" spans="3:6" ht="14.25" customHeight="1">
      <c r="C418" s="83"/>
      <c r="D418" s="83"/>
      <c r="E418" s="83"/>
      <c r="F418" s="83"/>
    </row>
    <row r="419" spans="3:6" ht="14.25" customHeight="1">
      <c r="C419" s="83"/>
      <c r="D419" s="83"/>
      <c r="E419" s="83"/>
      <c r="F419" s="83"/>
    </row>
    <row r="420" spans="3:6" ht="14.25" customHeight="1">
      <c r="C420" s="83"/>
      <c r="D420" s="83"/>
      <c r="E420" s="83"/>
      <c r="F420" s="83"/>
    </row>
    <row r="421" spans="3:6" ht="14.25" customHeight="1">
      <c r="C421" s="83"/>
      <c r="D421" s="83"/>
      <c r="E421" s="83"/>
      <c r="F421" s="83"/>
    </row>
    <row r="422" spans="3:6" ht="14.25" customHeight="1">
      <c r="C422" s="83"/>
      <c r="D422" s="83"/>
      <c r="E422" s="83"/>
      <c r="F422" s="83"/>
    </row>
    <row r="423" spans="3:6" ht="14.25" customHeight="1">
      <c r="C423" s="83"/>
      <c r="D423" s="83"/>
      <c r="E423" s="83"/>
      <c r="F423" s="83"/>
    </row>
    <row r="424" spans="3:6" ht="14.25" customHeight="1">
      <c r="C424" s="83"/>
      <c r="D424" s="83"/>
      <c r="E424" s="83"/>
      <c r="F424" s="83"/>
    </row>
    <row r="425" spans="3:6" ht="14.25" customHeight="1">
      <c r="C425" s="83"/>
      <c r="D425" s="83"/>
      <c r="E425" s="83"/>
      <c r="F425" s="83"/>
    </row>
    <row r="426" spans="3:6" ht="14.25" customHeight="1">
      <c r="C426" s="83"/>
      <c r="D426" s="83"/>
      <c r="E426" s="83"/>
      <c r="F426" s="83"/>
    </row>
    <row r="427" spans="3:6" ht="14.25" customHeight="1">
      <c r="C427" s="83"/>
      <c r="D427" s="83"/>
      <c r="E427" s="83"/>
      <c r="F427" s="83"/>
    </row>
    <row r="428" spans="3:6" ht="14.25" customHeight="1">
      <c r="C428" s="83"/>
      <c r="D428" s="83"/>
      <c r="E428" s="83"/>
      <c r="F428" s="83"/>
    </row>
    <row r="429" spans="3:6" ht="14.25" customHeight="1">
      <c r="C429" s="83"/>
      <c r="D429" s="83"/>
      <c r="E429" s="83"/>
      <c r="F429" s="83"/>
    </row>
    <row r="430" spans="3:6" ht="14.25" customHeight="1">
      <c r="C430" s="83"/>
      <c r="D430" s="83"/>
      <c r="E430" s="83"/>
      <c r="F430" s="83"/>
    </row>
    <row r="431" spans="3:6" ht="14.25" customHeight="1">
      <c r="C431" s="83"/>
      <c r="D431" s="83"/>
      <c r="E431" s="83"/>
      <c r="F431" s="83"/>
    </row>
    <row r="432" spans="3:6" ht="14.25" customHeight="1">
      <c r="C432" s="83"/>
      <c r="D432" s="83"/>
      <c r="E432" s="83"/>
      <c r="F432" s="83"/>
    </row>
    <row r="433" spans="3:6" ht="14.25" customHeight="1">
      <c r="C433" s="83"/>
      <c r="D433" s="83"/>
      <c r="E433" s="83"/>
      <c r="F433" s="83"/>
    </row>
    <row r="434" spans="3:6" ht="14.25" customHeight="1">
      <c r="C434" s="83"/>
      <c r="D434" s="83"/>
      <c r="E434" s="83"/>
      <c r="F434" s="83"/>
    </row>
    <row r="435" spans="3:6" ht="14.25" customHeight="1">
      <c r="C435" s="83"/>
      <c r="D435" s="83"/>
      <c r="E435" s="83"/>
      <c r="F435" s="83"/>
    </row>
    <row r="436" spans="3:6" ht="14.25" customHeight="1">
      <c r="C436" s="83"/>
      <c r="D436" s="83"/>
      <c r="E436" s="83"/>
      <c r="F436" s="83"/>
    </row>
    <row r="437" spans="3:6" ht="14.25" customHeight="1">
      <c r="C437" s="83"/>
      <c r="D437" s="83"/>
      <c r="E437" s="83"/>
      <c r="F437" s="83"/>
    </row>
    <row r="438" spans="3:6" ht="14.25" customHeight="1">
      <c r="C438" s="83"/>
      <c r="D438" s="83"/>
      <c r="E438" s="83"/>
      <c r="F438" s="83"/>
    </row>
    <row r="439" spans="3:6" ht="14.25" customHeight="1">
      <c r="C439" s="83"/>
      <c r="D439" s="83"/>
      <c r="E439" s="83"/>
      <c r="F439" s="83"/>
    </row>
    <row r="440" spans="3:6" ht="14.25" customHeight="1">
      <c r="C440" s="83"/>
      <c r="D440" s="83"/>
      <c r="E440" s="83"/>
      <c r="F440" s="83"/>
    </row>
    <row r="441" spans="3:6" ht="14.25" customHeight="1">
      <c r="C441" s="83"/>
      <c r="D441" s="83"/>
      <c r="E441" s="83"/>
      <c r="F441" s="83"/>
    </row>
    <row r="442" spans="3:6" ht="14.25" customHeight="1">
      <c r="C442" s="83"/>
      <c r="D442" s="83"/>
      <c r="E442" s="83"/>
      <c r="F442" s="83"/>
    </row>
    <row r="443" spans="3:6" ht="14.25" customHeight="1">
      <c r="C443" s="83"/>
      <c r="D443" s="83"/>
      <c r="E443" s="83"/>
      <c r="F443" s="83"/>
    </row>
    <row r="444" spans="3:6" ht="14.25" customHeight="1">
      <c r="C444" s="83"/>
      <c r="D444" s="83"/>
      <c r="E444" s="83"/>
      <c r="F444" s="83"/>
    </row>
    <row r="445" spans="3:6" ht="14.25" customHeight="1">
      <c r="C445" s="83"/>
      <c r="D445" s="83"/>
      <c r="E445" s="83"/>
      <c r="F445" s="83"/>
    </row>
    <row r="446" spans="3:6" ht="14.25" customHeight="1">
      <c r="C446" s="83"/>
      <c r="D446" s="83"/>
      <c r="E446" s="83"/>
      <c r="F446" s="83"/>
    </row>
    <row r="447" spans="3:6" ht="14.25" customHeight="1">
      <c r="C447" s="83"/>
      <c r="D447" s="83"/>
      <c r="E447" s="83"/>
      <c r="F447" s="83"/>
    </row>
    <row r="448" spans="3:6" ht="14.25" customHeight="1">
      <c r="C448" s="83"/>
      <c r="D448" s="83"/>
      <c r="E448" s="83"/>
      <c r="F448" s="83"/>
    </row>
    <row r="449" spans="3:6" ht="14.25" customHeight="1">
      <c r="C449" s="83"/>
      <c r="D449" s="83"/>
      <c r="E449" s="83"/>
      <c r="F449" s="83"/>
    </row>
    <row r="450" spans="3:6" ht="14.25" customHeight="1">
      <c r="C450" s="83"/>
      <c r="D450" s="83"/>
      <c r="E450" s="83"/>
      <c r="F450" s="83"/>
    </row>
    <row r="451" spans="3:6" ht="14.25" customHeight="1">
      <c r="C451" s="83"/>
      <c r="D451" s="83"/>
      <c r="E451" s="83"/>
      <c r="F451" s="83"/>
    </row>
    <row r="452" spans="3:6" ht="14.25" customHeight="1">
      <c r="C452" s="83"/>
      <c r="D452" s="83"/>
      <c r="E452" s="83"/>
      <c r="F452" s="83"/>
    </row>
    <row r="453" spans="3:6" ht="14.25" customHeight="1">
      <c r="C453" s="83"/>
      <c r="D453" s="83"/>
      <c r="E453" s="83"/>
      <c r="F453" s="83"/>
    </row>
    <row r="454" spans="3:6" ht="14.25" customHeight="1">
      <c r="C454" s="83"/>
      <c r="D454" s="83"/>
      <c r="E454" s="83"/>
      <c r="F454" s="83"/>
    </row>
    <row r="455" spans="3:6" ht="14.25" customHeight="1">
      <c r="C455" s="83"/>
      <c r="D455" s="83"/>
      <c r="E455" s="83"/>
      <c r="F455" s="83"/>
    </row>
    <row r="456" spans="3:6" ht="14.25" customHeight="1">
      <c r="C456" s="83"/>
      <c r="D456" s="83"/>
      <c r="E456" s="83"/>
      <c r="F456" s="83"/>
    </row>
    <row r="457" spans="3:6" ht="14.25" customHeight="1">
      <c r="C457" s="83"/>
      <c r="D457" s="83"/>
      <c r="E457" s="83"/>
      <c r="F457" s="83"/>
    </row>
    <row r="458" spans="3:6" ht="14.25" customHeight="1">
      <c r="C458" s="83"/>
      <c r="D458" s="83"/>
      <c r="E458" s="83"/>
      <c r="F458" s="83"/>
    </row>
    <row r="459" spans="3:6" ht="14.25" customHeight="1">
      <c r="C459" s="83"/>
      <c r="D459" s="83"/>
      <c r="E459" s="83"/>
      <c r="F459" s="83"/>
    </row>
    <row r="460" spans="3:6" ht="14.25" customHeight="1">
      <c r="C460" s="83"/>
      <c r="D460" s="83"/>
      <c r="E460" s="83"/>
      <c r="F460" s="83"/>
    </row>
    <row r="461" spans="3:6" ht="14.25" customHeight="1">
      <c r="C461" s="83"/>
      <c r="D461" s="83"/>
      <c r="E461" s="83"/>
      <c r="F461" s="83"/>
    </row>
    <row r="462" spans="3:6" ht="14.25" customHeight="1">
      <c r="C462" s="83"/>
      <c r="D462" s="83"/>
      <c r="E462" s="83"/>
      <c r="F462" s="83"/>
    </row>
    <row r="463" spans="3:6" ht="14.25" customHeight="1">
      <c r="C463" s="83"/>
      <c r="D463" s="83"/>
      <c r="E463" s="83"/>
      <c r="F463" s="83"/>
    </row>
    <row r="464" spans="3:6" ht="14.25" customHeight="1">
      <c r="C464" s="83"/>
      <c r="D464" s="83"/>
      <c r="E464" s="83"/>
      <c r="F464" s="83"/>
    </row>
    <row r="465" spans="3:6" ht="14.25" customHeight="1">
      <c r="C465" s="83"/>
      <c r="D465" s="83"/>
      <c r="E465" s="83"/>
      <c r="F465" s="83"/>
    </row>
    <row r="466" spans="3:6" ht="14.25" customHeight="1">
      <c r="C466" s="83"/>
      <c r="D466" s="83"/>
      <c r="E466" s="83"/>
      <c r="F466" s="83"/>
    </row>
    <row r="467" spans="3:6" ht="14.25" customHeight="1">
      <c r="C467" s="83"/>
      <c r="D467" s="83"/>
      <c r="E467" s="83"/>
      <c r="F467" s="83"/>
    </row>
    <row r="468" spans="3:6" ht="14.25" customHeight="1">
      <c r="C468" s="83"/>
      <c r="D468" s="83"/>
      <c r="E468" s="83"/>
      <c r="F468" s="83"/>
    </row>
    <row r="469" spans="3:6" ht="14.25" customHeight="1">
      <c r="C469" s="83"/>
      <c r="D469" s="83"/>
      <c r="E469" s="83"/>
      <c r="F469" s="83"/>
    </row>
    <row r="470" spans="3:6" ht="14.25" customHeight="1">
      <c r="C470" s="83"/>
      <c r="D470" s="83"/>
      <c r="E470" s="83"/>
      <c r="F470" s="83"/>
    </row>
    <row r="471" spans="3:6" ht="14.25" customHeight="1">
      <c r="C471" s="83"/>
      <c r="D471" s="83"/>
      <c r="E471" s="83"/>
      <c r="F471" s="83"/>
    </row>
    <row r="472" spans="3:6" ht="14.25" customHeight="1">
      <c r="C472" s="83"/>
      <c r="D472" s="83"/>
      <c r="E472" s="83"/>
      <c r="F472" s="83"/>
    </row>
    <row r="473" spans="3:6" ht="14.25" customHeight="1">
      <c r="C473" s="83"/>
      <c r="D473" s="83"/>
      <c r="E473" s="83"/>
      <c r="F473" s="83"/>
    </row>
    <row r="474" spans="3:6" ht="14.25" customHeight="1">
      <c r="C474" s="83"/>
      <c r="D474" s="83"/>
      <c r="E474" s="83"/>
      <c r="F474" s="83"/>
    </row>
    <row r="475" spans="3:6" ht="14.25" customHeight="1">
      <c r="C475" s="83"/>
      <c r="D475" s="83"/>
      <c r="E475" s="83"/>
      <c r="F475" s="83"/>
    </row>
    <row r="476" spans="3:6" ht="14.25" customHeight="1">
      <c r="C476" s="83"/>
      <c r="D476" s="83"/>
      <c r="E476" s="83"/>
      <c r="F476" s="83"/>
    </row>
    <row r="477" spans="3:6" ht="14.25" customHeight="1">
      <c r="C477" s="83"/>
      <c r="D477" s="83"/>
      <c r="E477" s="83"/>
      <c r="F477" s="83"/>
    </row>
    <row r="478" spans="3:6" ht="14.25" customHeight="1">
      <c r="C478" s="83"/>
      <c r="D478" s="83"/>
      <c r="E478" s="83"/>
      <c r="F478" s="83"/>
    </row>
    <row r="479" spans="3:6" ht="14.25" customHeight="1">
      <c r="C479" s="83"/>
      <c r="D479" s="83"/>
      <c r="E479" s="83"/>
      <c r="F479" s="83"/>
    </row>
    <row r="480" spans="3:6" ht="14.25" customHeight="1">
      <c r="C480" s="83"/>
      <c r="D480" s="83"/>
      <c r="E480" s="83"/>
      <c r="F480" s="83"/>
    </row>
    <row r="481" spans="3:6" ht="14.25" customHeight="1">
      <c r="C481" s="83"/>
      <c r="D481" s="83"/>
      <c r="E481" s="83"/>
      <c r="F481" s="83"/>
    </row>
    <row r="482" spans="3:6" ht="14.25" customHeight="1">
      <c r="C482" s="83"/>
      <c r="D482" s="83"/>
      <c r="E482" s="83"/>
      <c r="F482" s="83"/>
    </row>
    <row r="483" spans="3:6" ht="14.25" customHeight="1">
      <c r="C483" s="83"/>
      <c r="D483" s="83"/>
      <c r="E483" s="83"/>
      <c r="F483" s="83"/>
    </row>
    <row r="484" spans="3:6" ht="14.25" customHeight="1">
      <c r="C484" s="83"/>
      <c r="D484" s="83"/>
      <c r="E484" s="83"/>
      <c r="F484" s="83"/>
    </row>
    <row r="485" spans="3:6" ht="14.25" customHeight="1">
      <c r="C485" s="83"/>
      <c r="D485" s="83"/>
      <c r="E485" s="83"/>
      <c r="F485" s="83"/>
    </row>
    <row r="486" spans="3:6" ht="14.25" customHeight="1">
      <c r="C486" s="83"/>
      <c r="D486" s="83"/>
      <c r="E486" s="83"/>
      <c r="F486" s="83"/>
    </row>
    <row r="487" spans="3:6" ht="14.25" customHeight="1">
      <c r="C487" s="83"/>
      <c r="D487" s="83"/>
      <c r="E487" s="83"/>
      <c r="F487" s="83"/>
    </row>
    <row r="488" spans="3:6" ht="14.25" customHeight="1">
      <c r="C488" s="83"/>
      <c r="D488" s="83"/>
      <c r="E488" s="83"/>
      <c r="F488" s="83"/>
    </row>
    <row r="489" spans="3:6" ht="14.25" customHeight="1">
      <c r="C489" s="83"/>
      <c r="D489" s="83"/>
      <c r="E489" s="83"/>
      <c r="F489" s="83"/>
    </row>
    <row r="490" spans="3:6" ht="14.25" customHeight="1">
      <c r="C490" s="83"/>
      <c r="D490" s="83"/>
      <c r="E490" s="83"/>
      <c r="F490" s="83"/>
    </row>
    <row r="491" spans="3:6" ht="14.25" customHeight="1">
      <c r="C491" s="83"/>
      <c r="D491" s="83"/>
      <c r="E491" s="83"/>
      <c r="F491" s="83"/>
    </row>
    <row r="492" spans="3:6" ht="14.25" customHeight="1">
      <c r="C492" s="83"/>
      <c r="D492" s="83"/>
      <c r="E492" s="83"/>
      <c r="F492" s="83"/>
    </row>
    <row r="493" spans="3:6" ht="14.25" customHeight="1">
      <c r="C493" s="83"/>
      <c r="D493" s="83"/>
      <c r="E493" s="83"/>
      <c r="F493" s="83"/>
    </row>
    <row r="494" spans="3:6" ht="14.25" customHeight="1">
      <c r="C494" s="83"/>
      <c r="D494" s="83"/>
      <c r="E494" s="83"/>
      <c r="F494" s="83"/>
    </row>
    <row r="495" spans="3:6" ht="14.25" customHeight="1">
      <c r="C495" s="83"/>
      <c r="D495" s="83"/>
      <c r="E495" s="83"/>
      <c r="F495" s="83"/>
    </row>
    <row r="496" spans="3:6" ht="14.25" customHeight="1">
      <c r="C496" s="83"/>
      <c r="D496" s="83"/>
      <c r="E496" s="83"/>
      <c r="F496" s="83"/>
    </row>
    <row r="497" spans="3:6" ht="14.25" customHeight="1">
      <c r="C497" s="83"/>
      <c r="D497" s="83"/>
      <c r="E497" s="83"/>
      <c r="F497" s="83"/>
    </row>
    <row r="498" spans="3:6" ht="14.25" customHeight="1">
      <c r="C498" s="83"/>
      <c r="D498" s="83"/>
      <c r="E498" s="83"/>
      <c r="F498" s="83"/>
    </row>
    <row r="499" spans="3:6" ht="14.25" customHeight="1">
      <c r="C499" s="83"/>
      <c r="D499" s="83"/>
      <c r="E499" s="83"/>
      <c r="F499" s="83"/>
    </row>
    <row r="500" spans="3:6" ht="14.25" customHeight="1">
      <c r="C500" s="83"/>
      <c r="D500" s="83"/>
      <c r="E500" s="83"/>
      <c r="F500" s="83"/>
    </row>
    <row r="501" spans="3:6" ht="14.25" customHeight="1">
      <c r="C501" s="83"/>
      <c r="D501" s="83"/>
      <c r="E501" s="83"/>
      <c r="F501" s="83"/>
    </row>
    <row r="502" spans="3:6" ht="14.25" customHeight="1">
      <c r="C502" s="83"/>
      <c r="D502" s="83"/>
      <c r="E502" s="83"/>
      <c r="F502" s="83"/>
    </row>
    <row r="503" spans="3:6" ht="14.25" customHeight="1">
      <c r="C503" s="83"/>
      <c r="D503" s="83"/>
      <c r="E503" s="83"/>
      <c r="F503" s="83"/>
    </row>
    <row r="504" spans="3:6" ht="14.25" customHeight="1">
      <c r="C504" s="83"/>
      <c r="D504" s="83"/>
      <c r="E504" s="83"/>
      <c r="F504" s="83"/>
    </row>
    <row r="505" spans="3:6" ht="14.25" customHeight="1">
      <c r="C505" s="83"/>
      <c r="D505" s="83"/>
      <c r="E505" s="83"/>
      <c r="F505" s="83"/>
    </row>
    <row r="506" spans="3:6" ht="14.25" customHeight="1">
      <c r="C506" s="83"/>
      <c r="D506" s="83"/>
      <c r="E506" s="83"/>
      <c r="F506" s="83"/>
    </row>
    <row r="507" spans="3:6" ht="14.25" customHeight="1">
      <c r="C507" s="83"/>
      <c r="D507" s="83"/>
      <c r="E507" s="83"/>
      <c r="F507" s="83"/>
    </row>
    <row r="508" spans="3:6" ht="14.25" customHeight="1">
      <c r="C508" s="83"/>
      <c r="D508" s="83"/>
      <c r="E508" s="83"/>
      <c r="F508" s="83"/>
    </row>
    <row r="509" spans="3:6" ht="14.25" customHeight="1">
      <c r="C509" s="83"/>
      <c r="D509" s="83"/>
      <c r="E509" s="83"/>
      <c r="F509" s="83"/>
    </row>
    <row r="510" spans="3:6" ht="14.25" customHeight="1">
      <c r="C510" s="83"/>
      <c r="D510" s="83"/>
      <c r="E510" s="83"/>
      <c r="F510" s="83"/>
    </row>
    <row r="511" spans="3:6" ht="14.25" customHeight="1">
      <c r="C511" s="83"/>
      <c r="D511" s="83"/>
      <c r="E511" s="83"/>
      <c r="F511" s="83"/>
    </row>
    <row r="512" spans="3:6" ht="14.25" customHeight="1">
      <c r="C512" s="83"/>
      <c r="D512" s="83"/>
      <c r="E512" s="83"/>
      <c r="F512" s="83"/>
    </row>
    <row r="513" spans="3:6" ht="14.25" customHeight="1">
      <c r="C513" s="83"/>
      <c r="D513" s="83"/>
      <c r="E513" s="83"/>
      <c r="F513" s="83"/>
    </row>
    <row r="514" spans="3:6" ht="14.25" customHeight="1">
      <c r="C514" s="83"/>
      <c r="D514" s="83"/>
      <c r="E514" s="83"/>
      <c r="F514" s="83"/>
    </row>
    <row r="515" spans="3:6" ht="14.25" customHeight="1">
      <c r="C515" s="83"/>
      <c r="D515" s="83"/>
      <c r="E515" s="83"/>
      <c r="F515" s="83"/>
    </row>
    <row r="516" spans="3:6" ht="14.25" customHeight="1">
      <c r="C516" s="83"/>
      <c r="D516" s="83"/>
      <c r="E516" s="83"/>
      <c r="F516" s="83"/>
    </row>
    <row r="517" spans="3:6" ht="14.25" customHeight="1">
      <c r="C517" s="83"/>
      <c r="D517" s="83"/>
      <c r="E517" s="83"/>
      <c r="F517" s="83"/>
    </row>
    <row r="518" spans="3:6" ht="14.25" customHeight="1">
      <c r="C518" s="83"/>
      <c r="D518" s="83"/>
      <c r="E518" s="83"/>
      <c r="F518" s="83"/>
    </row>
    <row r="519" spans="3:6" ht="14.25" customHeight="1">
      <c r="C519" s="83"/>
      <c r="D519" s="83"/>
      <c r="E519" s="83"/>
      <c r="F519" s="83"/>
    </row>
    <row r="520" spans="3:6" ht="14.25" customHeight="1">
      <c r="C520" s="83"/>
      <c r="D520" s="83"/>
      <c r="E520" s="83"/>
      <c r="F520" s="83"/>
    </row>
    <row r="521" spans="3:6" ht="14.25" customHeight="1">
      <c r="C521" s="83"/>
      <c r="D521" s="83"/>
      <c r="E521" s="83"/>
      <c r="F521" s="83"/>
    </row>
    <row r="522" spans="3:6" ht="14.25" customHeight="1">
      <c r="C522" s="83"/>
      <c r="D522" s="83"/>
      <c r="E522" s="83"/>
      <c r="F522" s="83"/>
    </row>
    <row r="523" spans="3:6" ht="14.25" customHeight="1">
      <c r="C523" s="83"/>
      <c r="D523" s="83"/>
      <c r="E523" s="83"/>
      <c r="F523" s="83"/>
    </row>
    <row r="524" spans="3:6" ht="14.25" customHeight="1">
      <c r="C524" s="83"/>
      <c r="D524" s="83"/>
      <c r="E524" s="83"/>
      <c r="F524" s="83"/>
    </row>
    <row r="525" spans="3:6" ht="14.25" customHeight="1">
      <c r="C525" s="83"/>
      <c r="D525" s="83"/>
      <c r="E525" s="83"/>
      <c r="F525" s="83"/>
    </row>
    <row r="526" spans="3:6" ht="14.25" customHeight="1">
      <c r="C526" s="83"/>
      <c r="D526" s="83"/>
      <c r="E526" s="83"/>
      <c r="F526" s="83"/>
    </row>
    <row r="527" spans="3:6" ht="14.25" customHeight="1">
      <c r="C527" s="83"/>
      <c r="D527" s="83"/>
      <c r="E527" s="83"/>
      <c r="F527" s="83"/>
    </row>
    <row r="528" spans="3:6" ht="14.25" customHeight="1">
      <c r="C528" s="83"/>
      <c r="D528" s="83"/>
      <c r="E528" s="83"/>
      <c r="F528" s="83"/>
    </row>
    <row r="529" spans="3:6" ht="14.25" customHeight="1">
      <c r="C529" s="83"/>
      <c r="D529" s="83"/>
      <c r="E529" s="83"/>
      <c r="F529" s="83"/>
    </row>
    <row r="530" spans="3:6" ht="14.25" customHeight="1">
      <c r="C530" s="83"/>
      <c r="D530" s="83"/>
      <c r="E530" s="83"/>
      <c r="F530" s="83"/>
    </row>
    <row r="531" spans="3:6" ht="14.25" customHeight="1">
      <c r="C531" s="83"/>
      <c r="D531" s="83"/>
      <c r="E531" s="83"/>
      <c r="F531" s="83"/>
    </row>
    <row r="532" spans="3:6" ht="14.25" customHeight="1">
      <c r="C532" s="83"/>
      <c r="D532" s="83"/>
      <c r="E532" s="83"/>
      <c r="F532" s="83"/>
    </row>
    <row r="533" spans="3:6" ht="14.25" customHeight="1">
      <c r="C533" s="83"/>
      <c r="D533" s="83"/>
      <c r="E533" s="83"/>
      <c r="F533" s="83"/>
    </row>
    <row r="534" spans="3:6" ht="14.25" customHeight="1">
      <c r="C534" s="83"/>
      <c r="D534" s="83"/>
      <c r="E534" s="83"/>
      <c r="F534" s="83"/>
    </row>
    <row r="535" spans="3:6" ht="14.25" customHeight="1">
      <c r="C535" s="83"/>
      <c r="D535" s="83"/>
      <c r="E535" s="83"/>
      <c r="F535" s="83"/>
    </row>
    <row r="536" spans="3:6" ht="14.25" customHeight="1">
      <c r="C536" s="83"/>
      <c r="D536" s="83"/>
      <c r="E536" s="83"/>
      <c r="F536" s="83"/>
    </row>
    <row r="537" spans="3:6" ht="14.25" customHeight="1">
      <c r="C537" s="83"/>
      <c r="D537" s="83"/>
      <c r="E537" s="83"/>
      <c r="F537" s="83"/>
    </row>
    <row r="538" spans="3:6" ht="14.25" customHeight="1">
      <c r="C538" s="83"/>
      <c r="D538" s="83"/>
      <c r="E538" s="83"/>
      <c r="F538" s="83"/>
    </row>
    <row r="539" spans="3:6" ht="14.25" customHeight="1">
      <c r="C539" s="83"/>
      <c r="D539" s="83"/>
      <c r="E539" s="83"/>
      <c r="F539" s="83"/>
    </row>
    <row r="540" spans="3:6" ht="14.25" customHeight="1">
      <c r="C540" s="83"/>
      <c r="D540" s="83"/>
      <c r="E540" s="83"/>
      <c r="F540" s="83"/>
    </row>
    <row r="541" spans="3:6" ht="14.25" customHeight="1">
      <c r="C541" s="83"/>
      <c r="D541" s="83"/>
      <c r="E541" s="83"/>
      <c r="F541" s="83"/>
    </row>
    <row r="542" spans="3:6" ht="14.25" customHeight="1">
      <c r="C542" s="83"/>
      <c r="D542" s="83"/>
      <c r="E542" s="83"/>
      <c r="F542" s="83"/>
    </row>
    <row r="543" spans="3:6" ht="14.25" customHeight="1">
      <c r="C543" s="83"/>
      <c r="D543" s="83"/>
      <c r="E543" s="83"/>
      <c r="F543" s="83"/>
    </row>
    <row r="544" spans="3:6" ht="14.25" customHeight="1">
      <c r="C544" s="83"/>
      <c r="D544" s="83"/>
      <c r="E544" s="83"/>
      <c r="F544" s="83"/>
    </row>
    <row r="545" spans="3:6" ht="14.25" customHeight="1">
      <c r="C545" s="83"/>
      <c r="D545" s="83"/>
      <c r="E545" s="83"/>
      <c r="F545" s="83"/>
    </row>
    <row r="546" spans="3:6" ht="14.25" customHeight="1">
      <c r="C546" s="83"/>
      <c r="D546" s="83"/>
      <c r="E546" s="83"/>
      <c r="F546" s="83"/>
    </row>
    <row r="547" spans="3:6" ht="14.25" customHeight="1">
      <c r="C547" s="83"/>
      <c r="D547" s="83"/>
      <c r="E547" s="83"/>
      <c r="F547" s="83"/>
    </row>
    <row r="548" spans="3:6" ht="14.25" customHeight="1">
      <c r="C548" s="83"/>
      <c r="D548" s="83"/>
      <c r="E548" s="83"/>
      <c r="F548" s="83"/>
    </row>
    <row r="549" spans="3:6" ht="14.25" customHeight="1">
      <c r="C549" s="83"/>
      <c r="D549" s="83"/>
      <c r="E549" s="83"/>
      <c r="F549" s="83"/>
    </row>
    <row r="550" spans="3:6" ht="14.25" customHeight="1">
      <c r="C550" s="83"/>
      <c r="D550" s="83"/>
      <c r="E550" s="83"/>
      <c r="F550" s="83"/>
    </row>
    <row r="551" spans="3:6" ht="14.25" customHeight="1">
      <c r="C551" s="83"/>
      <c r="D551" s="83"/>
      <c r="E551" s="83"/>
      <c r="F551" s="83"/>
    </row>
    <row r="552" spans="3:6" ht="14.25" customHeight="1">
      <c r="C552" s="83"/>
      <c r="D552" s="83"/>
      <c r="E552" s="83"/>
      <c r="F552" s="83"/>
    </row>
    <row r="553" spans="3:6" ht="14.25" customHeight="1">
      <c r="C553" s="83"/>
      <c r="D553" s="83"/>
      <c r="E553" s="83"/>
      <c r="F553" s="83"/>
    </row>
    <row r="554" spans="3:6" ht="14.25" customHeight="1">
      <c r="C554" s="83"/>
      <c r="D554" s="83"/>
      <c r="E554" s="83"/>
      <c r="F554" s="83"/>
    </row>
    <row r="555" spans="3:6" ht="14.25" customHeight="1">
      <c r="C555" s="83"/>
      <c r="D555" s="83"/>
      <c r="E555" s="83"/>
      <c r="F555" s="83"/>
    </row>
    <row r="556" spans="3:6" ht="14.25" customHeight="1">
      <c r="C556" s="83"/>
      <c r="D556" s="83"/>
      <c r="E556" s="83"/>
      <c r="F556" s="83"/>
    </row>
    <row r="557" spans="3:6" ht="14.25" customHeight="1">
      <c r="C557" s="83"/>
      <c r="D557" s="83"/>
      <c r="E557" s="83"/>
      <c r="F557" s="83"/>
    </row>
    <row r="558" spans="3:6" ht="14.25" customHeight="1">
      <c r="C558" s="83"/>
      <c r="D558" s="83"/>
      <c r="E558" s="83"/>
      <c r="F558" s="83"/>
    </row>
    <row r="559" spans="3:6" ht="14.25" customHeight="1">
      <c r="C559" s="83"/>
      <c r="D559" s="83"/>
      <c r="E559" s="83"/>
      <c r="F559" s="83"/>
    </row>
    <row r="560" spans="3:6" ht="14.25" customHeight="1">
      <c r="C560" s="83"/>
      <c r="D560" s="83"/>
      <c r="E560" s="83"/>
      <c r="F560" s="83"/>
    </row>
    <row r="561" spans="3:6" ht="14.25" customHeight="1">
      <c r="C561" s="83"/>
      <c r="D561" s="83"/>
      <c r="E561" s="83"/>
      <c r="F561" s="83"/>
    </row>
    <row r="562" spans="3:6" ht="14.25" customHeight="1">
      <c r="C562" s="83"/>
      <c r="D562" s="83"/>
      <c r="E562" s="83"/>
      <c r="F562" s="83"/>
    </row>
    <row r="563" spans="3:6" ht="14.25" customHeight="1">
      <c r="C563" s="83"/>
      <c r="D563" s="83"/>
      <c r="E563" s="83"/>
      <c r="F563" s="83"/>
    </row>
    <row r="564" spans="3:6" ht="14.25" customHeight="1">
      <c r="C564" s="83"/>
      <c r="D564" s="83"/>
      <c r="E564" s="83"/>
      <c r="F564" s="83"/>
    </row>
    <row r="565" spans="3:6" ht="14.25" customHeight="1">
      <c r="C565" s="83"/>
      <c r="D565" s="83"/>
      <c r="E565" s="83"/>
      <c r="F565" s="83"/>
    </row>
    <row r="566" spans="3:6" ht="14.25" customHeight="1">
      <c r="C566" s="83"/>
      <c r="D566" s="83"/>
      <c r="E566" s="83"/>
      <c r="F566" s="83"/>
    </row>
    <row r="567" spans="3:6" ht="14.25" customHeight="1">
      <c r="C567" s="83"/>
      <c r="D567" s="83"/>
      <c r="E567" s="83"/>
      <c r="F567" s="83"/>
    </row>
    <row r="568" spans="3:6" ht="14.25" customHeight="1">
      <c r="C568" s="83"/>
      <c r="D568" s="83"/>
      <c r="E568" s="83"/>
      <c r="F568" s="83"/>
    </row>
    <row r="569" spans="3:6" ht="14.25" customHeight="1">
      <c r="C569" s="83"/>
      <c r="D569" s="83"/>
      <c r="E569" s="83"/>
      <c r="F569" s="83"/>
    </row>
    <row r="570" spans="3:6" ht="14.25" customHeight="1">
      <c r="C570" s="83"/>
      <c r="D570" s="83"/>
      <c r="E570" s="83"/>
      <c r="F570" s="83"/>
    </row>
    <row r="571" spans="3:6" ht="14.25" customHeight="1">
      <c r="C571" s="83"/>
      <c r="D571" s="83"/>
      <c r="E571" s="83"/>
      <c r="F571" s="83"/>
    </row>
    <row r="572" spans="3:6" ht="14.25" customHeight="1">
      <c r="C572" s="83"/>
      <c r="D572" s="83"/>
      <c r="E572" s="83"/>
      <c r="F572" s="83"/>
    </row>
    <row r="573" spans="3:6" ht="14.25" customHeight="1">
      <c r="C573" s="83"/>
      <c r="D573" s="83"/>
      <c r="E573" s="83"/>
      <c r="F573" s="83"/>
    </row>
    <row r="574" spans="3:6" ht="14.25" customHeight="1">
      <c r="C574" s="83"/>
      <c r="D574" s="83"/>
      <c r="E574" s="83"/>
      <c r="F574" s="83"/>
    </row>
    <row r="575" spans="3:6" ht="14.25" customHeight="1">
      <c r="C575" s="83"/>
      <c r="D575" s="83"/>
      <c r="E575" s="83"/>
      <c r="F575" s="83"/>
    </row>
    <row r="576" spans="3:6" ht="14.25" customHeight="1">
      <c r="C576" s="83"/>
      <c r="D576" s="83"/>
      <c r="E576" s="83"/>
      <c r="F576" s="83"/>
    </row>
    <row r="577" spans="3:6" ht="14.25" customHeight="1">
      <c r="C577" s="83"/>
      <c r="D577" s="83"/>
      <c r="E577" s="83"/>
      <c r="F577" s="83"/>
    </row>
    <row r="578" spans="3:6" ht="14.25" customHeight="1">
      <c r="C578" s="83"/>
      <c r="D578" s="83"/>
      <c r="E578" s="83"/>
      <c r="F578" s="83"/>
    </row>
    <row r="579" spans="3:6" ht="14.25" customHeight="1">
      <c r="C579" s="83"/>
      <c r="D579" s="83"/>
      <c r="E579" s="83"/>
      <c r="F579" s="83"/>
    </row>
    <row r="580" spans="3:6" ht="14.25" customHeight="1">
      <c r="C580" s="83"/>
      <c r="D580" s="83"/>
      <c r="E580" s="83"/>
      <c r="F580" s="83"/>
    </row>
    <row r="581" spans="3:6" ht="14.25" customHeight="1">
      <c r="C581" s="83"/>
      <c r="D581" s="83"/>
      <c r="E581" s="83"/>
      <c r="F581" s="83"/>
    </row>
    <row r="582" spans="3:6" ht="14.25" customHeight="1">
      <c r="C582" s="83"/>
      <c r="D582" s="83"/>
      <c r="E582" s="83"/>
      <c r="F582" s="83"/>
    </row>
    <row r="583" spans="3:6" ht="14.25" customHeight="1">
      <c r="C583" s="83"/>
      <c r="D583" s="83"/>
      <c r="E583" s="83"/>
      <c r="F583" s="83"/>
    </row>
    <row r="584" spans="3:6" ht="14.25" customHeight="1">
      <c r="C584" s="83"/>
      <c r="D584" s="83"/>
      <c r="E584" s="83"/>
      <c r="F584" s="83"/>
    </row>
    <row r="585" spans="3:6" ht="14.25" customHeight="1">
      <c r="C585" s="83"/>
      <c r="D585" s="83"/>
      <c r="E585" s="83"/>
      <c r="F585" s="83"/>
    </row>
    <row r="586" spans="3:6" ht="14.25" customHeight="1">
      <c r="C586" s="83"/>
      <c r="D586" s="83"/>
      <c r="E586" s="83"/>
      <c r="F586" s="83"/>
    </row>
    <row r="587" spans="3:6" ht="14.25" customHeight="1">
      <c r="C587" s="83"/>
      <c r="D587" s="83"/>
      <c r="E587" s="83"/>
      <c r="F587" s="83"/>
    </row>
    <row r="588" spans="3:6" ht="14.25" customHeight="1">
      <c r="C588" s="83"/>
      <c r="D588" s="83"/>
      <c r="E588" s="83"/>
      <c r="F588" s="83"/>
    </row>
    <row r="589" spans="3:6" ht="14.25" customHeight="1">
      <c r="C589" s="83"/>
      <c r="D589" s="83"/>
      <c r="E589" s="83"/>
      <c r="F589" s="83"/>
    </row>
    <row r="590" spans="3:6" ht="14.25" customHeight="1">
      <c r="C590" s="83"/>
      <c r="D590" s="83"/>
      <c r="E590" s="83"/>
      <c r="F590" s="83"/>
    </row>
    <row r="591" spans="3:6" ht="14.25" customHeight="1">
      <c r="C591" s="83"/>
      <c r="D591" s="83"/>
      <c r="E591" s="83"/>
      <c r="F591" s="83"/>
    </row>
    <row r="592" spans="3:6" ht="14.25" customHeight="1">
      <c r="C592" s="83"/>
      <c r="D592" s="83"/>
      <c r="E592" s="83"/>
      <c r="F592" s="83"/>
    </row>
    <row r="593" spans="3:6" ht="14.25" customHeight="1">
      <c r="C593" s="83"/>
      <c r="D593" s="83"/>
      <c r="E593" s="83"/>
      <c r="F593" s="83"/>
    </row>
    <row r="594" spans="3:6" ht="14.25" customHeight="1">
      <c r="C594" s="83"/>
      <c r="D594" s="83"/>
      <c r="E594" s="83"/>
      <c r="F594" s="83"/>
    </row>
    <row r="595" spans="3:6" ht="14.25" customHeight="1">
      <c r="C595" s="83"/>
      <c r="D595" s="83"/>
      <c r="E595" s="83"/>
      <c r="F595" s="83"/>
    </row>
    <row r="596" spans="3:6" ht="14.25" customHeight="1">
      <c r="C596" s="83"/>
      <c r="D596" s="83"/>
      <c r="E596" s="83"/>
      <c r="F596" s="83"/>
    </row>
    <row r="597" spans="3:6" ht="14.25" customHeight="1">
      <c r="C597" s="83"/>
      <c r="D597" s="83"/>
      <c r="E597" s="83"/>
      <c r="F597" s="83"/>
    </row>
    <row r="598" spans="3:6" ht="14.25" customHeight="1">
      <c r="C598" s="83"/>
      <c r="D598" s="83"/>
      <c r="E598" s="83"/>
      <c r="F598" s="83"/>
    </row>
    <row r="599" spans="3:6" ht="14.25" customHeight="1">
      <c r="C599" s="83"/>
      <c r="D599" s="83"/>
      <c r="E599" s="83"/>
      <c r="F599" s="83"/>
    </row>
    <row r="600" spans="3:6" ht="14.25" customHeight="1">
      <c r="C600" s="83"/>
      <c r="D600" s="83"/>
      <c r="E600" s="83"/>
      <c r="F600" s="83"/>
    </row>
    <row r="601" spans="3:6" ht="14.25" customHeight="1">
      <c r="C601" s="83"/>
      <c r="D601" s="83"/>
      <c r="E601" s="83"/>
      <c r="F601" s="83"/>
    </row>
    <row r="602" spans="3:6" ht="14.25" customHeight="1">
      <c r="C602" s="83"/>
      <c r="D602" s="83"/>
      <c r="E602" s="83"/>
      <c r="F602" s="83"/>
    </row>
    <row r="603" spans="3:6" ht="14.25" customHeight="1">
      <c r="C603" s="83"/>
      <c r="D603" s="83"/>
      <c r="E603" s="83"/>
      <c r="F603" s="83"/>
    </row>
    <row r="604" spans="3:6" ht="14.25" customHeight="1">
      <c r="C604" s="83"/>
      <c r="D604" s="83"/>
      <c r="E604" s="83"/>
      <c r="F604" s="83"/>
    </row>
    <row r="605" spans="3:6" ht="14.25" customHeight="1">
      <c r="C605" s="83"/>
      <c r="D605" s="83"/>
      <c r="E605" s="83"/>
      <c r="F605" s="83"/>
    </row>
    <row r="606" spans="3:6" ht="14.25" customHeight="1">
      <c r="C606" s="83"/>
      <c r="D606" s="83"/>
      <c r="E606" s="83"/>
      <c r="F606" s="83"/>
    </row>
    <row r="607" spans="3:6" ht="14.25" customHeight="1">
      <c r="C607" s="83"/>
      <c r="D607" s="83"/>
      <c r="E607" s="83"/>
      <c r="F607" s="83"/>
    </row>
    <row r="608" spans="3:6" ht="14.25" customHeight="1">
      <c r="C608" s="83"/>
      <c r="D608" s="83"/>
      <c r="E608" s="83"/>
      <c r="F608" s="83"/>
    </row>
    <row r="609" spans="3:6" ht="14.25" customHeight="1">
      <c r="C609" s="83"/>
      <c r="D609" s="83"/>
      <c r="E609" s="83"/>
      <c r="F609" s="83"/>
    </row>
    <row r="610" spans="3:6" ht="14.25" customHeight="1">
      <c r="C610" s="83"/>
      <c r="D610" s="83"/>
      <c r="E610" s="83"/>
      <c r="F610" s="83"/>
    </row>
    <row r="611" spans="3:6" ht="14.25" customHeight="1">
      <c r="C611" s="83"/>
      <c r="D611" s="83"/>
      <c r="E611" s="83"/>
      <c r="F611" s="83"/>
    </row>
    <row r="612" spans="3:6" ht="14.25" customHeight="1">
      <c r="C612" s="83"/>
      <c r="D612" s="83"/>
      <c r="E612" s="83"/>
      <c r="F612" s="83"/>
    </row>
    <row r="613" spans="3:6" ht="14.25" customHeight="1">
      <c r="C613" s="83"/>
      <c r="D613" s="83"/>
      <c r="E613" s="83"/>
      <c r="F613" s="83"/>
    </row>
    <row r="614" spans="3:6" ht="14.25" customHeight="1">
      <c r="C614" s="83"/>
      <c r="D614" s="83"/>
      <c r="E614" s="83"/>
      <c r="F614" s="83"/>
    </row>
    <row r="615" spans="3:6" ht="14.25" customHeight="1">
      <c r="C615" s="83"/>
      <c r="D615" s="83"/>
      <c r="E615" s="83"/>
      <c r="F615" s="83"/>
    </row>
    <row r="616" spans="3:6" ht="14.25" customHeight="1">
      <c r="C616" s="83"/>
      <c r="D616" s="83"/>
      <c r="E616" s="83"/>
      <c r="F616" s="83"/>
    </row>
    <row r="617" spans="3:6" ht="14.25" customHeight="1">
      <c r="C617" s="83"/>
      <c r="D617" s="83"/>
      <c r="E617" s="83"/>
      <c r="F617" s="83"/>
    </row>
    <row r="618" spans="3:6" ht="14.25" customHeight="1">
      <c r="C618" s="83"/>
      <c r="D618" s="83"/>
      <c r="E618" s="83"/>
      <c r="F618" s="83"/>
    </row>
    <row r="619" spans="3:6" ht="14.25" customHeight="1">
      <c r="C619" s="83"/>
      <c r="D619" s="83"/>
      <c r="E619" s="83"/>
      <c r="F619" s="83"/>
    </row>
    <row r="620" spans="3:6" ht="14.25" customHeight="1">
      <c r="C620" s="83"/>
      <c r="D620" s="83"/>
      <c r="E620" s="83"/>
      <c r="F620" s="83"/>
    </row>
    <row r="621" spans="3:6" ht="14.25" customHeight="1">
      <c r="C621" s="83"/>
      <c r="D621" s="83"/>
      <c r="E621" s="83"/>
      <c r="F621" s="83"/>
    </row>
    <row r="622" spans="3:6" ht="14.25" customHeight="1">
      <c r="C622" s="83"/>
      <c r="D622" s="83"/>
      <c r="E622" s="83"/>
      <c r="F622" s="83"/>
    </row>
    <row r="623" spans="3:6" ht="14.25" customHeight="1">
      <c r="C623" s="83"/>
      <c r="D623" s="83"/>
      <c r="E623" s="83"/>
      <c r="F623" s="83"/>
    </row>
    <row r="624" spans="3:6" ht="14.25" customHeight="1">
      <c r="C624" s="83"/>
      <c r="D624" s="83"/>
      <c r="E624" s="83"/>
      <c r="F624" s="83"/>
    </row>
    <row r="625" spans="3:6" ht="14.25" customHeight="1">
      <c r="C625" s="83"/>
      <c r="D625" s="83"/>
      <c r="E625" s="83"/>
      <c r="F625" s="83"/>
    </row>
    <row r="626" spans="3:6" ht="14.25" customHeight="1">
      <c r="C626" s="83"/>
      <c r="D626" s="83"/>
      <c r="E626" s="83"/>
      <c r="F626" s="83"/>
    </row>
    <row r="627" spans="3:6" ht="14.25" customHeight="1">
      <c r="C627" s="83"/>
      <c r="D627" s="83"/>
      <c r="E627" s="83"/>
      <c r="F627" s="83"/>
    </row>
    <row r="628" spans="3:6" ht="14.25" customHeight="1">
      <c r="C628" s="83"/>
      <c r="D628" s="83"/>
      <c r="E628" s="83"/>
      <c r="F628" s="83"/>
    </row>
    <row r="629" spans="3:6" ht="14.25" customHeight="1">
      <c r="C629" s="83"/>
      <c r="D629" s="83"/>
      <c r="E629" s="83"/>
      <c r="F629" s="83"/>
    </row>
    <row r="630" spans="3:6" ht="14.25" customHeight="1">
      <c r="C630" s="83"/>
      <c r="D630" s="83"/>
      <c r="E630" s="83"/>
      <c r="F630" s="83"/>
    </row>
    <row r="631" spans="3:6" ht="14.25" customHeight="1">
      <c r="C631" s="83"/>
      <c r="D631" s="83"/>
      <c r="E631" s="83"/>
      <c r="F631" s="83"/>
    </row>
    <row r="632" spans="3:6" ht="14.25" customHeight="1">
      <c r="C632" s="83"/>
      <c r="D632" s="83"/>
      <c r="E632" s="83"/>
      <c r="F632" s="83"/>
    </row>
    <row r="633" spans="3:6" ht="14.25" customHeight="1">
      <c r="C633" s="83"/>
      <c r="D633" s="83"/>
      <c r="E633" s="83"/>
      <c r="F633" s="83"/>
    </row>
    <row r="634" spans="3:6" ht="14.25" customHeight="1">
      <c r="C634" s="83"/>
      <c r="D634" s="83"/>
      <c r="E634" s="83"/>
      <c r="F634" s="83"/>
    </row>
    <row r="635" spans="3:6" ht="14.25" customHeight="1">
      <c r="C635" s="83"/>
      <c r="D635" s="83"/>
      <c r="E635" s="83"/>
      <c r="F635" s="83"/>
    </row>
    <row r="636" spans="3:6" ht="14.25" customHeight="1">
      <c r="C636" s="83"/>
      <c r="D636" s="83"/>
      <c r="E636" s="83"/>
      <c r="F636" s="83"/>
    </row>
    <row r="637" spans="3:6" ht="14.25" customHeight="1">
      <c r="C637" s="83"/>
      <c r="D637" s="83"/>
      <c r="E637" s="83"/>
      <c r="F637" s="83"/>
    </row>
    <row r="638" spans="3:6" ht="14.25" customHeight="1">
      <c r="C638" s="83"/>
      <c r="D638" s="83"/>
      <c r="E638" s="83"/>
      <c r="F638" s="83"/>
    </row>
    <row r="639" spans="3:6" ht="14.25" customHeight="1">
      <c r="C639" s="83"/>
      <c r="D639" s="83"/>
      <c r="E639" s="83"/>
      <c r="F639" s="83"/>
    </row>
    <row r="640" spans="3:6" ht="14.25" customHeight="1">
      <c r="C640" s="83"/>
      <c r="D640" s="83"/>
      <c r="E640" s="83"/>
      <c r="F640" s="83"/>
    </row>
    <row r="641" spans="3:6" ht="14.25" customHeight="1">
      <c r="C641" s="83"/>
      <c r="D641" s="83"/>
      <c r="E641" s="83"/>
      <c r="F641" s="83"/>
    </row>
    <row r="642" spans="3:6" ht="14.25" customHeight="1">
      <c r="C642" s="83"/>
      <c r="D642" s="83"/>
      <c r="E642" s="83"/>
      <c r="F642" s="83"/>
    </row>
    <row r="643" spans="3:6" ht="14.25" customHeight="1">
      <c r="C643" s="83"/>
      <c r="D643" s="83"/>
      <c r="E643" s="83"/>
      <c r="F643" s="83"/>
    </row>
    <row r="644" spans="3:6" ht="14.25" customHeight="1">
      <c r="C644" s="83"/>
      <c r="D644" s="83"/>
      <c r="E644" s="83"/>
      <c r="F644" s="83"/>
    </row>
    <row r="645" spans="3:6" ht="14.25" customHeight="1">
      <c r="C645" s="83"/>
      <c r="D645" s="83"/>
      <c r="E645" s="83"/>
      <c r="F645" s="83"/>
    </row>
    <row r="646" spans="3:6" ht="14.25" customHeight="1">
      <c r="C646" s="83"/>
      <c r="D646" s="83"/>
      <c r="E646" s="83"/>
      <c r="F646" s="83"/>
    </row>
    <row r="647" spans="3:6" ht="14.25" customHeight="1">
      <c r="C647" s="83"/>
      <c r="D647" s="83"/>
      <c r="E647" s="83"/>
      <c r="F647" s="83"/>
    </row>
    <row r="648" spans="3:6" ht="14.25" customHeight="1">
      <c r="C648" s="83"/>
      <c r="D648" s="83"/>
      <c r="E648" s="83"/>
      <c r="F648" s="83"/>
    </row>
    <row r="649" spans="3:6" ht="14.25" customHeight="1">
      <c r="C649" s="83"/>
      <c r="D649" s="83"/>
      <c r="E649" s="83"/>
      <c r="F649" s="83"/>
    </row>
    <row r="650" spans="3:6" ht="14.25" customHeight="1">
      <c r="C650" s="83"/>
      <c r="D650" s="83"/>
      <c r="E650" s="83"/>
      <c r="F650" s="83"/>
    </row>
    <row r="651" spans="3:6" ht="14.25" customHeight="1">
      <c r="C651" s="83"/>
      <c r="D651" s="83"/>
      <c r="E651" s="83"/>
      <c r="F651" s="83"/>
    </row>
    <row r="652" spans="3:6" ht="14.25" customHeight="1">
      <c r="C652" s="83"/>
      <c r="D652" s="83"/>
      <c r="E652" s="83"/>
      <c r="F652" s="83"/>
    </row>
    <row r="653" spans="3:6" ht="14.25" customHeight="1">
      <c r="C653" s="83"/>
      <c r="D653" s="83"/>
      <c r="E653" s="83"/>
      <c r="F653" s="83"/>
    </row>
    <row r="654" spans="3:6" ht="14.25" customHeight="1">
      <c r="C654" s="83"/>
      <c r="D654" s="83"/>
      <c r="E654" s="83"/>
      <c r="F654" s="83"/>
    </row>
    <row r="655" spans="3:6" ht="14.25" customHeight="1">
      <c r="C655" s="83"/>
      <c r="D655" s="83"/>
      <c r="E655" s="83"/>
      <c r="F655" s="83"/>
    </row>
    <row r="656" spans="3:6" ht="14.25" customHeight="1">
      <c r="C656" s="83"/>
      <c r="D656" s="83"/>
      <c r="E656" s="83"/>
      <c r="F656" s="83"/>
    </row>
    <row r="657" spans="3:6" ht="14.25" customHeight="1">
      <c r="C657" s="83"/>
      <c r="D657" s="83"/>
      <c r="E657" s="83"/>
      <c r="F657" s="83"/>
    </row>
    <row r="658" spans="3:6" ht="14.25" customHeight="1">
      <c r="C658" s="83"/>
      <c r="D658" s="83"/>
      <c r="E658" s="83"/>
      <c r="F658" s="83"/>
    </row>
    <row r="659" spans="3:6" ht="14.25" customHeight="1">
      <c r="C659" s="83"/>
      <c r="D659" s="83"/>
      <c r="E659" s="83"/>
      <c r="F659" s="83"/>
    </row>
    <row r="660" spans="3:6" ht="14.25" customHeight="1">
      <c r="C660" s="83"/>
      <c r="D660" s="83"/>
      <c r="E660" s="83"/>
      <c r="F660" s="83"/>
    </row>
    <row r="661" spans="3:6" ht="14.25" customHeight="1">
      <c r="C661" s="83"/>
      <c r="D661" s="83"/>
      <c r="E661" s="83"/>
      <c r="F661" s="83"/>
    </row>
    <row r="662" spans="3:6" ht="14.25" customHeight="1">
      <c r="C662" s="83"/>
      <c r="D662" s="83"/>
      <c r="E662" s="83"/>
      <c r="F662" s="83"/>
    </row>
    <row r="663" spans="3:6" ht="14.25" customHeight="1">
      <c r="C663" s="83"/>
      <c r="D663" s="83"/>
      <c r="E663" s="83"/>
      <c r="F663" s="83"/>
    </row>
    <row r="664" spans="3:6" ht="14.25" customHeight="1">
      <c r="C664" s="83"/>
      <c r="D664" s="83"/>
      <c r="E664" s="83"/>
      <c r="F664" s="83"/>
    </row>
    <row r="665" spans="3:6" ht="14.25" customHeight="1">
      <c r="C665" s="83"/>
      <c r="D665" s="83"/>
      <c r="E665" s="83"/>
      <c r="F665" s="83"/>
    </row>
    <row r="666" spans="3:6" ht="14.25" customHeight="1">
      <c r="C666" s="83"/>
      <c r="D666" s="83"/>
      <c r="E666" s="83"/>
      <c r="F666" s="83"/>
    </row>
    <row r="667" spans="3:6" ht="14.25" customHeight="1">
      <c r="C667" s="83"/>
      <c r="D667" s="83"/>
      <c r="E667" s="83"/>
      <c r="F667" s="83"/>
    </row>
    <row r="668" spans="3:6" ht="14.25" customHeight="1">
      <c r="C668" s="83"/>
      <c r="D668" s="83"/>
      <c r="E668" s="83"/>
      <c r="F668" s="83"/>
    </row>
    <row r="669" spans="3:6" ht="14.25" customHeight="1">
      <c r="C669" s="83"/>
      <c r="D669" s="83"/>
      <c r="E669" s="83"/>
      <c r="F669" s="83"/>
    </row>
    <row r="670" spans="3:6" ht="14.25" customHeight="1">
      <c r="C670" s="83"/>
      <c r="D670" s="83"/>
      <c r="E670" s="83"/>
      <c r="F670" s="83"/>
    </row>
    <row r="671" spans="3:6" ht="14.25" customHeight="1">
      <c r="C671" s="83"/>
      <c r="D671" s="83"/>
      <c r="E671" s="83"/>
      <c r="F671" s="83"/>
    </row>
    <row r="672" spans="3:6" ht="14.25" customHeight="1">
      <c r="C672" s="83"/>
      <c r="D672" s="83"/>
      <c r="E672" s="83"/>
      <c r="F672" s="83"/>
    </row>
    <row r="673" spans="3:6" ht="14.25" customHeight="1">
      <c r="C673" s="83"/>
      <c r="D673" s="83"/>
      <c r="E673" s="83"/>
      <c r="F673" s="83"/>
    </row>
    <row r="674" spans="3:6" ht="14.25" customHeight="1">
      <c r="C674" s="83"/>
      <c r="D674" s="83"/>
      <c r="E674" s="83"/>
      <c r="F674" s="83"/>
    </row>
    <row r="675" spans="3:6" ht="14.25" customHeight="1">
      <c r="C675" s="83"/>
      <c r="D675" s="83"/>
      <c r="E675" s="83"/>
      <c r="F675" s="83"/>
    </row>
    <row r="676" spans="3:6" ht="14.25" customHeight="1">
      <c r="C676" s="83"/>
      <c r="D676" s="83"/>
      <c r="E676" s="83"/>
      <c r="F676" s="83"/>
    </row>
    <row r="677" spans="3:6" ht="14.25" customHeight="1">
      <c r="C677" s="83"/>
      <c r="D677" s="83"/>
      <c r="E677" s="83"/>
      <c r="F677" s="83"/>
    </row>
    <row r="678" spans="3:6" ht="14.25" customHeight="1">
      <c r="C678" s="83"/>
      <c r="D678" s="83"/>
      <c r="E678" s="83"/>
      <c r="F678" s="83"/>
    </row>
    <row r="679" spans="3:6" ht="14.25" customHeight="1">
      <c r="C679" s="83"/>
      <c r="D679" s="83"/>
      <c r="E679" s="83"/>
      <c r="F679" s="83"/>
    </row>
    <row r="680" spans="3:6" ht="14.25" customHeight="1">
      <c r="C680" s="83"/>
      <c r="D680" s="83"/>
      <c r="E680" s="83"/>
      <c r="F680" s="83"/>
    </row>
    <row r="681" spans="3:6" ht="14.25" customHeight="1">
      <c r="C681" s="83"/>
      <c r="D681" s="83"/>
      <c r="E681" s="83"/>
      <c r="F681" s="83"/>
    </row>
    <row r="682" spans="3:6" ht="14.25" customHeight="1">
      <c r="C682" s="83"/>
      <c r="D682" s="83"/>
      <c r="E682" s="83"/>
      <c r="F682" s="83"/>
    </row>
    <row r="683" spans="3:6" ht="14.25" customHeight="1">
      <c r="C683" s="83"/>
      <c r="D683" s="83"/>
      <c r="E683" s="83"/>
      <c r="F683" s="83"/>
    </row>
    <row r="684" spans="3:6" ht="14.25" customHeight="1">
      <c r="C684" s="83"/>
      <c r="D684" s="83"/>
      <c r="E684" s="83"/>
      <c r="F684" s="83"/>
    </row>
    <row r="685" spans="3:6" ht="14.25" customHeight="1">
      <c r="C685" s="83"/>
      <c r="D685" s="83"/>
      <c r="E685" s="83"/>
      <c r="F685" s="83"/>
    </row>
    <row r="686" spans="3:6" ht="14.25" customHeight="1">
      <c r="C686" s="83"/>
      <c r="D686" s="83"/>
      <c r="E686" s="83"/>
      <c r="F686" s="83"/>
    </row>
    <row r="687" spans="3:6" ht="14.25" customHeight="1">
      <c r="C687" s="83"/>
      <c r="D687" s="83"/>
      <c r="E687" s="83"/>
      <c r="F687" s="83"/>
    </row>
    <row r="688" spans="3:6" ht="14.25" customHeight="1">
      <c r="C688" s="83"/>
      <c r="D688" s="83"/>
      <c r="E688" s="83"/>
      <c r="F688" s="83"/>
    </row>
    <row r="689" spans="3:6" ht="14.25" customHeight="1">
      <c r="C689" s="83"/>
      <c r="D689" s="83"/>
      <c r="E689" s="83"/>
      <c r="F689" s="83"/>
    </row>
    <row r="690" spans="3:6" ht="14.25" customHeight="1">
      <c r="C690" s="83"/>
      <c r="D690" s="83"/>
      <c r="E690" s="83"/>
      <c r="F690" s="83"/>
    </row>
    <row r="691" spans="3:6" ht="14.25" customHeight="1">
      <c r="C691" s="83"/>
      <c r="D691" s="83"/>
      <c r="E691" s="83"/>
      <c r="F691" s="83"/>
    </row>
    <row r="692" spans="3:6" ht="14.25" customHeight="1">
      <c r="C692" s="83"/>
      <c r="D692" s="83"/>
      <c r="E692" s="83"/>
      <c r="F692" s="83"/>
    </row>
    <row r="693" spans="3:6" ht="14.25" customHeight="1">
      <c r="C693" s="83"/>
      <c r="D693" s="83"/>
      <c r="E693" s="83"/>
      <c r="F693" s="83"/>
    </row>
    <row r="694" spans="3:6" ht="14.25" customHeight="1">
      <c r="C694" s="83"/>
      <c r="D694" s="83"/>
      <c r="E694" s="83"/>
      <c r="F694" s="83"/>
    </row>
    <row r="695" spans="3:6" ht="14.25" customHeight="1">
      <c r="C695" s="83"/>
      <c r="D695" s="83"/>
      <c r="E695" s="83"/>
      <c r="F695" s="83"/>
    </row>
    <row r="696" spans="3:6" ht="14.25" customHeight="1">
      <c r="C696" s="83"/>
      <c r="D696" s="83"/>
      <c r="E696" s="83"/>
      <c r="F696" s="83"/>
    </row>
    <row r="697" spans="3:6" ht="14.25" customHeight="1">
      <c r="C697" s="83"/>
      <c r="D697" s="83"/>
      <c r="E697" s="83"/>
      <c r="F697" s="83"/>
    </row>
    <row r="698" spans="3:6" ht="14.25" customHeight="1">
      <c r="C698" s="83"/>
      <c r="D698" s="83"/>
      <c r="E698" s="83"/>
      <c r="F698" s="83"/>
    </row>
    <row r="699" spans="3:6" ht="14.25" customHeight="1">
      <c r="C699" s="83"/>
      <c r="D699" s="83"/>
      <c r="E699" s="83"/>
      <c r="F699" s="83"/>
    </row>
    <row r="700" spans="3:6" ht="14.25" customHeight="1">
      <c r="C700" s="83"/>
      <c r="D700" s="83"/>
      <c r="E700" s="83"/>
      <c r="F700" s="83"/>
    </row>
    <row r="701" spans="3:6" ht="14.25" customHeight="1">
      <c r="C701" s="83"/>
      <c r="D701" s="83"/>
      <c r="E701" s="83"/>
      <c r="F701" s="83"/>
    </row>
    <row r="702" spans="3:6" ht="14.25" customHeight="1">
      <c r="C702" s="83"/>
      <c r="D702" s="83"/>
      <c r="E702" s="83"/>
      <c r="F702" s="83"/>
    </row>
    <row r="703" spans="3:6" ht="14.25" customHeight="1">
      <c r="C703" s="83"/>
      <c r="D703" s="83"/>
      <c r="E703" s="83"/>
      <c r="F703" s="83"/>
    </row>
    <row r="704" spans="3:6" ht="14.25" customHeight="1">
      <c r="C704" s="83"/>
      <c r="D704" s="83"/>
      <c r="E704" s="83"/>
      <c r="F704" s="83"/>
    </row>
    <row r="705" spans="3:6" ht="14.25" customHeight="1">
      <c r="C705" s="83"/>
      <c r="D705" s="83"/>
      <c r="E705" s="83"/>
      <c r="F705" s="83"/>
    </row>
    <row r="706" spans="3:6" ht="14.25" customHeight="1">
      <c r="C706" s="83"/>
      <c r="D706" s="83"/>
      <c r="E706" s="83"/>
      <c r="F706" s="83"/>
    </row>
    <row r="707" spans="3:6" ht="14.25" customHeight="1">
      <c r="C707" s="83"/>
      <c r="D707" s="83"/>
      <c r="E707" s="83"/>
      <c r="F707" s="83"/>
    </row>
    <row r="708" spans="3:6" ht="14.25" customHeight="1">
      <c r="C708" s="83"/>
      <c r="D708" s="83"/>
      <c r="E708" s="83"/>
      <c r="F708" s="83"/>
    </row>
    <row r="709" spans="3:6" ht="14.25" customHeight="1">
      <c r="C709" s="83"/>
      <c r="D709" s="83"/>
      <c r="E709" s="83"/>
      <c r="F709" s="83"/>
    </row>
    <row r="710" spans="3:6" ht="14.25" customHeight="1">
      <c r="C710" s="83"/>
      <c r="D710" s="83"/>
      <c r="E710" s="83"/>
      <c r="F710" s="83"/>
    </row>
    <row r="711" spans="3:6" ht="14.25" customHeight="1">
      <c r="C711" s="83"/>
      <c r="D711" s="83"/>
      <c r="E711" s="83"/>
      <c r="F711" s="83"/>
    </row>
    <row r="712" spans="3:6" ht="14.25" customHeight="1">
      <c r="C712" s="83"/>
      <c r="D712" s="83"/>
      <c r="E712" s="83"/>
      <c r="F712" s="83"/>
    </row>
    <row r="713" spans="3:6" ht="14.25" customHeight="1">
      <c r="C713" s="83"/>
      <c r="D713" s="83"/>
      <c r="E713" s="83"/>
      <c r="F713" s="83"/>
    </row>
    <row r="714" spans="3:6" ht="14.25" customHeight="1">
      <c r="C714" s="83"/>
      <c r="D714" s="83"/>
      <c r="E714" s="83"/>
      <c r="F714" s="83"/>
    </row>
    <row r="715" spans="3:6" ht="14.25" customHeight="1">
      <c r="C715" s="83"/>
      <c r="D715" s="83"/>
      <c r="E715" s="83"/>
      <c r="F715" s="83"/>
    </row>
    <row r="716" spans="3:6" ht="14.25" customHeight="1">
      <c r="C716" s="83"/>
      <c r="D716" s="83"/>
      <c r="E716" s="83"/>
      <c r="F716" s="83"/>
    </row>
    <row r="717" spans="3:6" ht="14.25" customHeight="1">
      <c r="C717" s="83"/>
      <c r="D717" s="83"/>
      <c r="E717" s="83"/>
      <c r="F717" s="83"/>
    </row>
    <row r="718" spans="3:6" ht="14.25" customHeight="1">
      <c r="C718" s="83"/>
      <c r="D718" s="83"/>
      <c r="E718" s="83"/>
      <c r="F718" s="83"/>
    </row>
    <row r="719" spans="3:6" ht="14.25" customHeight="1">
      <c r="C719" s="83"/>
      <c r="D719" s="83"/>
      <c r="E719" s="83"/>
      <c r="F719" s="83"/>
    </row>
    <row r="720" spans="3:6" ht="14.25" customHeight="1">
      <c r="C720" s="83"/>
      <c r="D720" s="83"/>
      <c r="E720" s="83"/>
      <c r="F720" s="83"/>
    </row>
    <row r="721" spans="3:6" ht="14.25" customHeight="1">
      <c r="C721" s="83"/>
      <c r="D721" s="83"/>
      <c r="E721" s="83"/>
      <c r="F721" s="83"/>
    </row>
    <row r="722" spans="3:6" ht="14.25" customHeight="1">
      <c r="C722" s="83"/>
      <c r="D722" s="83"/>
      <c r="E722" s="83"/>
      <c r="F722" s="83"/>
    </row>
    <row r="723" spans="3:6" ht="14.25" customHeight="1">
      <c r="C723" s="83"/>
      <c r="D723" s="83"/>
      <c r="E723" s="83"/>
      <c r="F723" s="83"/>
    </row>
    <row r="724" spans="3:6" ht="14.25" customHeight="1">
      <c r="C724" s="83"/>
      <c r="D724" s="83"/>
      <c r="E724" s="83"/>
      <c r="F724" s="83"/>
    </row>
    <row r="725" spans="3:6" ht="14.25" customHeight="1">
      <c r="C725" s="83"/>
      <c r="D725" s="83"/>
      <c r="E725" s="83"/>
      <c r="F725" s="83"/>
    </row>
    <row r="726" spans="3:6" ht="14.25" customHeight="1">
      <c r="C726" s="83"/>
      <c r="D726" s="83"/>
      <c r="E726" s="83"/>
      <c r="F726" s="83"/>
    </row>
    <row r="727" spans="3:6" ht="14.25" customHeight="1">
      <c r="C727" s="83"/>
      <c r="D727" s="83"/>
      <c r="E727" s="83"/>
      <c r="F727" s="83"/>
    </row>
    <row r="728" spans="3:6" ht="14.25" customHeight="1">
      <c r="C728" s="83"/>
      <c r="D728" s="83"/>
      <c r="E728" s="83"/>
      <c r="F728" s="83"/>
    </row>
    <row r="729" spans="3:6" ht="14.25" customHeight="1">
      <c r="C729" s="83"/>
      <c r="D729" s="83"/>
      <c r="E729" s="83"/>
      <c r="F729" s="83"/>
    </row>
    <row r="730" spans="3:6" ht="14.25" customHeight="1">
      <c r="C730" s="83"/>
      <c r="D730" s="83"/>
      <c r="E730" s="83"/>
      <c r="F730" s="83"/>
    </row>
    <row r="731" spans="3:6" ht="14.25" customHeight="1">
      <c r="C731" s="83"/>
      <c r="D731" s="83"/>
      <c r="E731" s="83"/>
      <c r="F731" s="83"/>
    </row>
    <row r="732" spans="3:6" ht="14.25" customHeight="1">
      <c r="C732" s="83"/>
      <c r="D732" s="83"/>
      <c r="E732" s="83"/>
      <c r="F732" s="83"/>
    </row>
    <row r="733" spans="3:6" ht="14.25" customHeight="1">
      <c r="C733" s="83"/>
      <c r="D733" s="83"/>
      <c r="E733" s="83"/>
      <c r="F733" s="83"/>
    </row>
    <row r="734" spans="3:6" ht="14.25" customHeight="1">
      <c r="C734" s="83"/>
      <c r="D734" s="83"/>
      <c r="E734" s="83"/>
      <c r="F734" s="83"/>
    </row>
    <row r="735" spans="3:6" ht="14.25" customHeight="1">
      <c r="C735" s="83"/>
      <c r="D735" s="83"/>
      <c r="E735" s="83"/>
      <c r="F735" s="83"/>
    </row>
    <row r="736" spans="3:6" ht="14.25" customHeight="1">
      <c r="C736" s="83"/>
      <c r="D736" s="83"/>
      <c r="E736" s="83"/>
      <c r="F736" s="83"/>
    </row>
    <row r="737" spans="3:6" ht="14.25" customHeight="1">
      <c r="C737" s="83"/>
      <c r="D737" s="83"/>
      <c r="E737" s="83"/>
      <c r="F737" s="83"/>
    </row>
    <row r="738" spans="3:6" ht="14.25" customHeight="1">
      <c r="C738" s="83"/>
      <c r="D738" s="83"/>
      <c r="E738" s="83"/>
      <c r="F738" s="83"/>
    </row>
    <row r="739" spans="3:6" ht="14.25" customHeight="1">
      <c r="C739" s="83"/>
      <c r="D739" s="83"/>
      <c r="E739" s="83"/>
      <c r="F739" s="83"/>
    </row>
    <row r="740" spans="3:6" ht="14.25" customHeight="1">
      <c r="C740" s="83"/>
      <c r="D740" s="83"/>
      <c r="E740" s="83"/>
      <c r="F740" s="83"/>
    </row>
    <row r="741" spans="3:6" ht="14.25" customHeight="1">
      <c r="C741" s="83"/>
      <c r="D741" s="83"/>
      <c r="E741" s="83"/>
      <c r="F741" s="83"/>
    </row>
    <row r="742" spans="3:6" ht="14.25" customHeight="1">
      <c r="C742" s="83"/>
      <c r="D742" s="83"/>
      <c r="E742" s="83"/>
      <c r="F742" s="83"/>
    </row>
    <row r="743" spans="3:6" ht="14.25" customHeight="1">
      <c r="C743" s="83"/>
      <c r="D743" s="83"/>
      <c r="E743" s="83"/>
      <c r="F743" s="83"/>
    </row>
    <row r="744" spans="3:6" ht="14.25" customHeight="1">
      <c r="C744" s="83"/>
      <c r="D744" s="83"/>
      <c r="E744" s="83"/>
      <c r="F744" s="83"/>
    </row>
    <row r="745" spans="3:6" ht="14.25" customHeight="1">
      <c r="C745" s="83"/>
      <c r="D745" s="83"/>
      <c r="E745" s="83"/>
      <c r="F745" s="83"/>
    </row>
    <row r="746" spans="3:6" ht="14.25" customHeight="1">
      <c r="C746" s="83"/>
      <c r="D746" s="83"/>
      <c r="E746" s="83"/>
      <c r="F746" s="83"/>
    </row>
    <row r="747" spans="3:6" ht="14.25" customHeight="1">
      <c r="C747" s="83"/>
      <c r="D747" s="83"/>
      <c r="E747" s="83"/>
      <c r="F747" s="83"/>
    </row>
    <row r="748" spans="3:6" ht="14.25" customHeight="1">
      <c r="C748" s="83"/>
      <c r="D748" s="83"/>
      <c r="E748" s="83"/>
      <c r="F748" s="83"/>
    </row>
    <row r="749" spans="3:6" ht="14.25" customHeight="1">
      <c r="C749" s="83"/>
      <c r="D749" s="83"/>
      <c r="E749" s="83"/>
      <c r="F749" s="83"/>
    </row>
    <row r="750" spans="3:6" ht="14.25" customHeight="1">
      <c r="C750" s="83"/>
      <c r="D750" s="83"/>
      <c r="E750" s="83"/>
      <c r="F750" s="83"/>
    </row>
    <row r="751" spans="3:6" ht="14.25" customHeight="1">
      <c r="C751" s="83"/>
      <c r="D751" s="83"/>
      <c r="E751" s="83"/>
      <c r="F751" s="83"/>
    </row>
    <row r="752" spans="3:6" ht="14.25" customHeight="1">
      <c r="C752" s="83"/>
      <c r="D752" s="83"/>
      <c r="E752" s="83"/>
      <c r="F752" s="83"/>
    </row>
    <row r="753" spans="3:6" ht="14.25" customHeight="1">
      <c r="C753" s="83"/>
      <c r="D753" s="83"/>
      <c r="E753" s="83"/>
      <c r="F753" s="83"/>
    </row>
    <row r="754" spans="3:6" ht="14.25" customHeight="1">
      <c r="C754" s="83"/>
      <c r="D754" s="83"/>
      <c r="E754" s="83"/>
      <c r="F754" s="83"/>
    </row>
    <row r="755" spans="3:6" ht="14.25" customHeight="1">
      <c r="C755" s="83"/>
      <c r="D755" s="83"/>
      <c r="E755" s="83"/>
      <c r="F755" s="83"/>
    </row>
    <row r="756" spans="3:6" ht="14.25" customHeight="1">
      <c r="C756" s="83"/>
      <c r="D756" s="83"/>
      <c r="E756" s="83"/>
      <c r="F756" s="83"/>
    </row>
    <row r="757" spans="3:6" ht="14.25" customHeight="1">
      <c r="C757" s="83"/>
      <c r="D757" s="83"/>
      <c r="E757" s="83"/>
      <c r="F757" s="83"/>
    </row>
    <row r="758" spans="3:6" ht="14.25" customHeight="1">
      <c r="C758" s="83"/>
      <c r="D758" s="83"/>
      <c r="E758" s="83"/>
      <c r="F758" s="83"/>
    </row>
    <row r="759" spans="3:6" ht="14.25" customHeight="1">
      <c r="C759" s="83"/>
      <c r="D759" s="83"/>
      <c r="E759" s="83"/>
      <c r="F759" s="83"/>
    </row>
    <row r="760" spans="3:6" ht="14.25" customHeight="1">
      <c r="C760" s="83"/>
      <c r="D760" s="83"/>
      <c r="E760" s="83"/>
      <c r="F760" s="83"/>
    </row>
    <row r="761" spans="3:6" ht="14.25" customHeight="1">
      <c r="C761" s="83"/>
      <c r="D761" s="83"/>
      <c r="E761" s="83"/>
      <c r="F761" s="83"/>
    </row>
    <row r="762" spans="3:6" ht="14.25" customHeight="1">
      <c r="C762" s="83"/>
      <c r="D762" s="83"/>
      <c r="E762" s="83"/>
      <c r="F762" s="83"/>
    </row>
    <row r="763" spans="3:6" ht="14.25" customHeight="1">
      <c r="C763" s="83"/>
      <c r="D763" s="83"/>
      <c r="E763" s="83"/>
      <c r="F763" s="83"/>
    </row>
    <row r="764" spans="3:6" ht="14.25" customHeight="1">
      <c r="C764" s="83"/>
      <c r="D764" s="83"/>
      <c r="E764" s="83"/>
      <c r="F764" s="83"/>
    </row>
    <row r="765" spans="3:6" ht="14.25" customHeight="1">
      <c r="C765" s="83"/>
      <c r="D765" s="83"/>
      <c r="E765" s="83"/>
      <c r="F765" s="83"/>
    </row>
    <row r="766" spans="3:6" ht="14.25" customHeight="1">
      <c r="C766" s="83"/>
      <c r="D766" s="83"/>
      <c r="E766" s="83"/>
      <c r="F766" s="83"/>
    </row>
    <row r="767" spans="3:6" ht="14.25" customHeight="1">
      <c r="C767" s="83"/>
      <c r="D767" s="83"/>
      <c r="E767" s="83"/>
      <c r="F767" s="83"/>
    </row>
    <row r="768" spans="3:6" ht="14.25" customHeight="1">
      <c r="C768" s="83"/>
      <c r="D768" s="83"/>
      <c r="E768" s="83"/>
      <c r="F768" s="83"/>
    </row>
    <row r="769" spans="3:6" ht="14.25" customHeight="1">
      <c r="C769" s="83"/>
      <c r="D769" s="83"/>
      <c r="E769" s="83"/>
      <c r="F769" s="83"/>
    </row>
    <row r="770" spans="3:6" ht="14.25" customHeight="1">
      <c r="C770" s="83"/>
      <c r="D770" s="83"/>
      <c r="E770" s="83"/>
      <c r="F770" s="83"/>
    </row>
    <row r="771" spans="3:6" ht="14.25" customHeight="1">
      <c r="C771" s="83"/>
      <c r="D771" s="83"/>
      <c r="E771" s="83"/>
      <c r="F771" s="83"/>
    </row>
    <row r="772" spans="3:6" ht="14.25" customHeight="1">
      <c r="C772" s="83"/>
      <c r="D772" s="83"/>
      <c r="E772" s="83"/>
      <c r="F772" s="83"/>
    </row>
    <row r="773" spans="3:6" ht="14.25" customHeight="1">
      <c r="C773" s="83"/>
      <c r="D773" s="83"/>
      <c r="E773" s="83"/>
      <c r="F773" s="83"/>
    </row>
    <row r="774" spans="3:6" ht="14.25" customHeight="1">
      <c r="C774" s="83"/>
      <c r="D774" s="83"/>
      <c r="E774" s="83"/>
      <c r="F774" s="83"/>
    </row>
    <row r="775" spans="3:6" ht="14.25" customHeight="1">
      <c r="C775" s="83"/>
      <c r="D775" s="83"/>
      <c r="E775" s="83"/>
      <c r="F775" s="83"/>
    </row>
    <row r="776" spans="3:6" ht="14.25" customHeight="1">
      <c r="C776" s="83"/>
      <c r="D776" s="83"/>
      <c r="E776" s="83"/>
      <c r="F776" s="83"/>
    </row>
    <row r="777" spans="3:6" ht="14.25" customHeight="1">
      <c r="C777" s="83"/>
      <c r="D777" s="83"/>
      <c r="E777" s="83"/>
      <c r="F777" s="83"/>
    </row>
    <row r="778" spans="3:6" ht="14.25" customHeight="1">
      <c r="C778" s="83"/>
      <c r="D778" s="83"/>
      <c r="E778" s="83"/>
      <c r="F778" s="83"/>
    </row>
    <row r="779" spans="3:6" ht="14.25" customHeight="1">
      <c r="C779" s="83"/>
      <c r="D779" s="83"/>
      <c r="E779" s="83"/>
      <c r="F779" s="83"/>
    </row>
    <row r="780" spans="3:6" ht="14.25" customHeight="1">
      <c r="C780" s="83"/>
      <c r="D780" s="83"/>
      <c r="E780" s="83"/>
      <c r="F780" s="83"/>
    </row>
    <row r="781" spans="3:6" ht="14.25" customHeight="1">
      <c r="C781" s="83"/>
      <c r="D781" s="83"/>
      <c r="E781" s="83"/>
      <c r="F781" s="83"/>
    </row>
    <row r="782" spans="3:6" ht="14.25" customHeight="1">
      <c r="C782" s="83"/>
      <c r="D782" s="83"/>
      <c r="E782" s="83"/>
      <c r="F782" s="83"/>
    </row>
    <row r="783" spans="3:6" ht="14.25" customHeight="1">
      <c r="C783" s="83"/>
      <c r="D783" s="83"/>
      <c r="E783" s="83"/>
      <c r="F783" s="83"/>
    </row>
    <row r="784" spans="3:6" ht="14.25" customHeight="1">
      <c r="C784" s="83"/>
      <c r="D784" s="83"/>
      <c r="E784" s="83"/>
      <c r="F784" s="83"/>
    </row>
    <row r="785" spans="3:6" ht="14.25" customHeight="1">
      <c r="C785" s="83"/>
      <c r="D785" s="83"/>
      <c r="E785" s="83"/>
      <c r="F785" s="83"/>
    </row>
    <row r="786" spans="3:6" ht="14.25" customHeight="1">
      <c r="C786" s="83"/>
      <c r="D786" s="83"/>
      <c r="E786" s="83"/>
      <c r="F786" s="83"/>
    </row>
    <row r="787" spans="3:6" ht="14.25" customHeight="1">
      <c r="C787" s="83"/>
      <c r="D787" s="83"/>
      <c r="E787" s="83"/>
      <c r="F787" s="83"/>
    </row>
    <row r="788" spans="3:6" ht="14.25" customHeight="1">
      <c r="C788" s="83"/>
      <c r="D788" s="83"/>
      <c r="E788" s="83"/>
      <c r="F788" s="83"/>
    </row>
    <row r="789" spans="3:6" ht="14.25" customHeight="1">
      <c r="C789" s="83"/>
      <c r="D789" s="83"/>
      <c r="E789" s="83"/>
      <c r="F789" s="83"/>
    </row>
    <row r="790" spans="3:6" ht="14.25" customHeight="1">
      <c r="C790" s="83"/>
      <c r="D790" s="83"/>
      <c r="E790" s="83"/>
      <c r="F790" s="83"/>
    </row>
    <row r="791" spans="3:6" ht="14.25" customHeight="1">
      <c r="C791" s="83"/>
      <c r="D791" s="83"/>
      <c r="E791" s="83"/>
      <c r="F791" s="83"/>
    </row>
    <row r="792" spans="3:6" ht="14.25" customHeight="1">
      <c r="C792" s="83"/>
      <c r="D792" s="83"/>
      <c r="E792" s="83"/>
      <c r="F792" s="83"/>
    </row>
    <row r="793" spans="3:6" ht="14.25" customHeight="1">
      <c r="C793" s="83"/>
      <c r="D793" s="83"/>
      <c r="E793" s="83"/>
      <c r="F793" s="83"/>
    </row>
    <row r="794" spans="3:6" ht="14.25" customHeight="1">
      <c r="C794" s="83"/>
      <c r="D794" s="83"/>
      <c r="E794" s="83"/>
      <c r="F794" s="83"/>
    </row>
    <row r="795" spans="3:6" ht="14.25" customHeight="1">
      <c r="C795" s="83"/>
      <c r="D795" s="83"/>
      <c r="E795" s="83"/>
      <c r="F795" s="83"/>
    </row>
    <row r="796" spans="3:6" ht="14.25" customHeight="1">
      <c r="C796" s="83"/>
      <c r="D796" s="83"/>
      <c r="E796" s="83"/>
      <c r="F796" s="83"/>
    </row>
    <row r="797" spans="3:6" ht="14.25" customHeight="1">
      <c r="C797" s="83"/>
      <c r="D797" s="83"/>
      <c r="E797" s="83"/>
      <c r="F797" s="83"/>
    </row>
    <row r="798" spans="3:6" ht="14.25" customHeight="1">
      <c r="C798" s="83"/>
      <c r="D798" s="83"/>
      <c r="E798" s="83"/>
      <c r="F798" s="83"/>
    </row>
    <row r="799" spans="3:6" ht="14.25" customHeight="1">
      <c r="C799" s="83"/>
      <c r="D799" s="83"/>
      <c r="E799" s="83"/>
      <c r="F799" s="83"/>
    </row>
    <row r="800" spans="3:6" ht="14.25" customHeight="1">
      <c r="C800" s="83"/>
      <c r="D800" s="83"/>
      <c r="E800" s="83"/>
      <c r="F800" s="83"/>
    </row>
    <row r="801" spans="3:6" ht="14.25" customHeight="1">
      <c r="C801" s="83"/>
      <c r="D801" s="83"/>
      <c r="E801" s="83"/>
      <c r="F801" s="83"/>
    </row>
    <row r="802" spans="3:6" ht="14.25" customHeight="1">
      <c r="C802" s="83"/>
      <c r="D802" s="83"/>
      <c r="E802" s="83"/>
      <c r="F802" s="83"/>
    </row>
    <row r="803" spans="3:6" ht="14.25" customHeight="1">
      <c r="C803" s="83"/>
      <c r="D803" s="83"/>
      <c r="E803" s="83"/>
      <c r="F803" s="83"/>
    </row>
    <row r="804" spans="3:6" ht="14.25" customHeight="1">
      <c r="C804" s="83"/>
      <c r="D804" s="83"/>
      <c r="E804" s="83"/>
      <c r="F804" s="83"/>
    </row>
    <row r="805" spans="3:6" ht="14.25" customHeight="1">
      <c r="C805" s="83"/>
      <c r="D805" s="83"/>
      <c r="E805" s="83"/>
      <c r="F805" s="83"/>
    </row>
    <row r="806" spans="3:6" ht="14.25" customHeight="1">
      <c r="C806" s="83"/>
      <c r="D806" s="83"/>
      <c r="E806" s="83"/>
      <c r="F806" s="83"/>
    </row>
    <row r="807" spans="3:6" ht="14.25" customHeight="1">
      <c r="C807" s="83"/>
      <c r="D807" s="83"/>
      <c r="E807" s="83"/>
      <c r="F807" s="83"/>
    </row>
    <row r="808" spans="3:6" ht="14.25" customHeight="1">
      <c r="C808" s="83"/>
      <c r="D808" s="83"/>
      <c r="E808" s="83"/>
      <c r="F808" s="83"/>
    </row>
    <row r="809" spans="3:6" ht="14.25" customHeight="1">
      <c r="C809" s="83"/>
      <c r="D809" s="83"/>
      <c r="E809" s="83"/>
      <c r="F809" s="83"/>
    </row>
    <row r="810" spans="3:6" ht="14.25" customHeight="1">
      <c r="C810" s="83"/>
      <c r="D810" s="83"/>
      <c r="E810" s="83"/>
      <c r="F810" s="83"/>
    </row>
    <row r="811" spans="3:6" ht="14.25" customHeight="1">
      <c r="C811" s="83"/>
      <c r="D811" s="83"/>
      <c r="E811" s="83"/>
      <c r="F811" s="83"/>
    </row>
    <row r="812" spans="3:6" ht="14.25" customHeight="1">
      <c r="C812" s="83"/>
      <c r="D812" s="83"/>
      <c r="E812" s="83"/>
      <c r="F812" s="83"/>
    </row>
    <row r="813" spans="3:6" ht="14.25" customHeight="1">
      <c r="C813" s="83"/>
      <c r="D813" s="83"/>
      <c r="E813" s="83"/>
      <c r="F813" s="83"/>
    </row>
    <row r="814" spans="3:6" ht="14.25" customHeight="1">
      <c r="C814" s="83"/>
      <c r="D814" s="83"/>
      <c r="E814" s="83"/>
      <c r="F814" s="83"/>
    </row>
    <row r="815" spans="3:6" ht="14.25" customHeight="1">
      <c r="C815" s="83"/>
      <c r="D815" s="83"/>
      <c r="E815" s="83"/>
      <c r="F815" s="83"/>
    </row>
    <row r="816" spans="3:6" ht="14.25" customHeight="1">
      <c r="C816" s="83"/>
      <c r="D816" s="83"/>
      <c r="E816" s="83"/>
      <c r="F816" s="83"/>
    </row>
    <row r="817" spans="3:6" ht="14.25" customHeight="1">
      <c r="C817" s="83"/>
      <c r="D817" s="83"/>
      <c r="E817" s="83"/>
      <c r="F817" s="83"/>
    </row>
    <row r="818" spans="3:6" ht="14.25" customHeight="1">
      <c r="C818" s="83"/>
      <c r="D818" s="83"/>
      <c r="E818" s="83"/>
      <c r="F818" s="83"/>
    </row>
    <row r="819" spans="3:6" ht="14.25" customHeight="1">
      <c r="C819" s="83"/>
      <c r="D819" s="83"/>
      <c r="E819" s="83"/>
      <c r="F819" s="83"/>
    </row>
    <row r="820" spans="3:6" ht="14.25" customHeight="1">
      <c r="C820" s="83"/>
      <c r="D820" s="83"/>
      <c r="E820" s="83"/>
      <c r="F820" s="83"/>
    </row>
    <row r="821" spans="3:6" ht="14.25" customHeight="1">
      <c r="C821" s="83"/>
      <c r="D821" s="83"/>
      <c r="E821" s="83"/>
      <c r="F821" s="83"/>
    </row>
    <row r="822" spans="3:6" ht="14.25" customHeight="1">
      <c r="C822" s="83"/>
      <c r="D822" s="83"/>
      <c r="E822" s="83"/>
      <c r="F822" s="83"/>
    </row>
    <row r="823" spans="3:6" ht="14.25" customHeight="1">
      <c r="C823" s="83"/>
      <c r="D823" s="83"/>
      <c r="E823" s="83"/>
      <c r="F823" s="83"/>
    </row>
    <row r="824" spans="3:6" ht="14.25" customHeight="1">
      <c r="C824" s="83"/>
      <c r="D824" s="83"/>
      <c r="E824" s="83"/>
      <c r="F824" s="83"/>
    </row>
    <row r="825" spans="3:6" ht="14.25" customHeight="1">
      <c r="C825" s="83"/>
      <c r="D825" s="83"/>
      <c r="E825" s="83"/>
      <c r="F825" s="83"/>
    </row>
    <row r="826" spans="3:6" ht="14.25" customHeight="1">
      <c r="C826" s="83"/>
      <c r="D826" s="83"/>
      <c r="E826" s="83"/>
      <c r="F826" s="83"/>
    </row>
    <row r="827" spans="3:6" ht="14.25" customHeight="1">
      <c r="C827" s="83"/>
      <c r="D827" s="83"/>
      <c r="E827" s="83"/>
      <c r="F827" s="83"/>
    </row>
    <row r="828" spans="3:6" ht="14.25" customHeight="1">
      <c r="C828" s="83"/>
      <c r="D828" s="83"/>
      <c r="E828" s="83"/>
      <c r="F828" s="83"/>
    </row>
    <row r="829" spans="3:6" ht="14.25" customHeight="1">
      <c r="C829" s="83"/>
      <c r="D829" s="83"/>
      <c r="E829" s="83"/>
      <c r="F829" s="83"/>
    </row>
    <row r="830" spans="3:6" ht="14.25" customHeight="1">
      <c r="C830" s="83"/>
      <c r="D830" s="83"/>
      <c r="E830" s="83"/>
      <c r="F830" s="83"/>
    </row>
    <row r="831" spans="3:6" ht="14.25" customHeight="1">
      <c r="C831" s="83"/>
      <c r="D831" s="83"/>
      <c r="E831" s="83"/>
      <c r="F831" s="83"/>
    </row>
    <row r="832" spans="3:6" ht="14.25" customHeight="1">
      <c r="C832" s="83"/>
      <c r="D832" s="83"/>
      <c r="E832" s="83"/>
      <c r="F832" s="83"/>
    </row>
    <row r="833" spans="3:6" ht="14.25" customHeight="1">
      <c r="C833" s="83"/>
      <c r="D833" s="83"/>
      <c r="E833" s="83"/>
      <c r="F833" s="83"/>
    </row>
    <row r="834" spans="3:6" ht="14.25" customHeight="1">
      <c r="C834" s="83"/>
      <c r="D834" s="83"/>
      <c r="E834" s="83"/>
      <c r="F834" s="83"/>
    </row>
    <row r="835" spans="3:6" ht="14.25" customHeight="1">
      <c r="C835" s="83"/>
      <c r="D835" s="83"/>
      <c r="E835" s="83"/>
      <c r="F835" s="83"/>
    </row>
    <row r="836" spans="3:6" ht="14.25" customHeight="1">
      <c r="C836" s="83"/>
      <c r="D836" s="83"/>
      <c r="E836" s="83"/>
      <c r="F836" s="83"/>
    </row>
    <row r="837" spans="3:6" ht="14.25" customHeight="1">
      <c r="C837" s="83"/>
      <c r="D837" s="83"/>
      <c r="E837" s="83"/>
      <c r="F837" s="83"/>
    </row>
    <row r="838" spans="3:6" ht="14.25" customHeight="1">
      <c r="C838" s="83"/>
      <c r="D838" s="83"/>
      <c r="E838" s="83"/>
      <c r="F838" s="83"/>
    </row>
    <row r="839" spans="3:6" ht="14.25" customHeight="1">
      <c r="C839" s="83"/>
      <c r="D839" s="83"/>
      <c r="E839" s="83"/>
      <c r="F839" s="83"/>
    </row>
    <row r="840" spans="3:6" ht="14.25" customHeight="1">
      <c r="C840" s="83"/>
      <c r="D840" s="83"/>
      <c r="E840" s="83"/>
      <c r="F840" s="83"/>
    </row>
    <row r="841" spans="3:6" ht="14.25" customHeight="1">
      <c r="C841" s="83"/>
      <c r="D841" s="83"/>
      <c r="E841" s="83"/>
      <c r="F841" s="83"/>
    </row>
    <row r="842" spans="3:6" ht="14.25" customHeight="1">
      <c r="C842" s="83"/>
      <c r="D842" s="83"/>
      <c r="E842" s="83"/>
      <c r="F842" s="83"/>
    </row>
    <row r="843" spans="3:6" ht="14.25" customHeight="1">
      <c r="C843" s="83"/>
      <c r="D843" s="83"/>
      <c r="E843" s="83"/>
      <c r="F843" s="83"/>
    </row>
    <row r="844" spans="3:6" ht="14.25" customHeight="1">
      <c r="C844" s="83"/>
      <c r="D844" s="83"/>
      <c r="E844" s="83"/>
      <c r="F844" s="83"/>
    </row>
    <row r="845" spans="3:6" ht="14.25" customHeight="1">
      <c r="C845" s="83"/>
      <c r="D845" s="83"/>
      <c r="E845" s="83"/>
      <c r="F845" s="83"/>
    </row>
    <row r="846" spans="3:6" ht="14.25" customHeight="1">
      <c r="C846" s="83"/>
      <c r="D846" s="83"/>
      <c r="E846" s="83"/>
      <c r="F846" s="83"/>
    </row>
    <row r="847" spans="3:6" ht="14.25" customHeight="1">
      <c r="C847" s="83"/>
      <c r="D847" s="83"/>
      <c r="E847" s="83"/>
      <c r="F847" s="83"/>
    </row>
    <row r="848" spans="3:6" ht="14.25" customHeight="1">
      <c r="C848" s="83"/>
      <c r="D848" s="83"/>
      <c r="E848" s="83"/>
      <c r="F848" s="83"/>
    </row>
    <row r="849" spans="3:6" ht="14.25" customHeight="1">
      <c r="C849" s="83"/>
      <c r="D849" s="83"/>
      <c r="E849" s="83"/>
      <c r="F849" s="83"/>
    </row>
    <row r="850" spans="3:6" ht="14.25" customHeight="1">
      <c r="C850" s="83"/>
      <c r="D850" s="83"/>
      <c r="E850" s="83"/>
      <c r="F850" s="83"/>
    </row>
    <row r="851" spans="3:6" ht="14.25" customHeight="1">
      <c r="C851" s="83"/>
      <c r="D851" s="83"/>
      <c r="E851" s="83"/>
      <c r="F851" s="83"/>
    </row>
    <row r="852" spans="3:6" ht="14.25" customHeight="1">
      <c r="C852" s="83"/>
      <c r="D852" s="83"/>
      <c r="E852" s="83"/>
      <c r="F852" s="83"/>
    </row>
    <row r="853" spans="3:6" ht="14.25" customHeight="1">
      <c r="C853" s="83"/>
      <c r="D853" s="83"/>
      <c r="E853" s="83"/>
      <c r="F853" s="83"/>
    </row>
    <row r="854" spans="3:6" ht="14.25" customHeight="1">
      <c r="C854" s="83"/>
      <c r="D854" s="83"/>
      <c r="E854" s="83"/>
      <c r="F854" s="83"/>
    </row>
    <row r="855" spans="3:6" ht="14.25" customHeight="1">
      <c r="C855" s="83"/>
      <c r="D855" s="83"/>
      <c r="E855" s="83"/>
      <c r="F855" s="83"/>
    </row>
    <row r="856" spans="3:6" ht="14.25" customHeight="1">
      <c r="C856" s="83"/>
      <c r="D856" s="83"/>
      <c r="E856" s="83"/>
      <c r="F856" s="83"/>
    </row>
    <row r="857" spans="3:6" ht="14.25" customHeight="1">
      <c r="C857" s="83"/>
      <c r="D857" s="83"/>
      <c r="E857" s="83"/>
      <c r="F857" s="83"/>
    </row>
    <row r="858" spans="3:6" ht="14.25" customHeight="1">
      <c r="C858" s="83"/>
      <c r="D858" s="83"/>
      <c r="E858" s="83"/>
      <c r="F858" s="83"/>
    </row>
    <row r="859" spans="3:6" ht="14.25" customHeight="1">
      <c r="C859" s="83"/>
      <c r="D859" s="83"/>
      <c r="E859" s="83"/>
      <c r="F859" s="83"/>
    </row>
    <row r="860" spans="3:6" ht="14.25" customHeight="1">
      <c r="C860" s="83"/>
      <c r="D860" s="83"/>
      <c r="E860" s="83"/>
      <c r="F860" s="83"/>
    </row>
    <row r="861" spans="3:6" ht="14.25" customHeight="1">
      <c r="C861" s="83"/>
      <c r="D861" s="83"/>
      <c r="E861" s="83"/>
      <c r="F861" s="83"/>
    </row>
    <row r="862" spans="3:6" ht="14.25" customHeight="1">
      <c r="C862" s="83"/>
      <c r="D862" s="83"/>
      <c r="E862" s="83"/>
      <c r="F862" s="83"/>
    </row>
    <row r="863" spans="3:6" ht="14.25" customHeight="1">
      <c r="C863" s="83"/>
      <c r="D863" s="83"/>
      <c r="E863" s="83"/>
      <c r="F863" s="83"/>
    </row>
    <row r="864" spans="3:6" ht="14.25" customHeight="1">
      <c r="C864" s="83"/>
      <c r="D864" s="83"/>
      <c r="E864" s="83"/>
      <c r="F864" s="83"/>
    </row>
    <row r="865" spans="3:6" ht="14.25" customHeight="1">
      <c r="C865" s="83"/>
      <c r="D865" s="83"/>
      <c r="E865" s="83"/>
      <c r="F865" s="83"/>
    </row>
    <row r="866" spans="3:6" ht="14.25" customHeight="1">
      <c r="C866" s="83"/>
      <c r="D866" s="83"/>
      <c r="E866" s="83"/>
      <c r="F866" s="83"/>
    </row>
    <row r="867" spans="3:6" ht="14.25" customHeight="1">
      <c r="C867" s="83"/>
      <c r="D867" s="83"/>
      <c r="E867" s="83"/>
      <c r="F867" s="83"/>
    </row>
    <row r="868" spans="3:6" ht="14.25" customHeight="1">
      <c r="C868" s="83"/>
      <c r="D868" s="83"/>
      <c r="E868" s="83"/>
      <c r="F868" s="83"/>
    </row>
    <row r="869" spans="3:6" ht="14.25" customHeight="1">
      <c r="C869" s="83"/>
      <c r="D869" s="83"/>
      <c r="E869" s="83"/>
      <c r="F869" s="83"/>
    </row>
    <row r="870" spans="3:6" ht="14.25" customHeight="1">
      <c r="C870" s="83"/>
      <c r="D870" s="83"/>
      <c r="E870" s="83"/>
      <c r="F870" s="83"/>
    </row>
    <row r="871" spans="3:6" ht="14.25" customHeight="1">
      <c r="C871" s="83"/>
      <c r="D871" s="83"/>
      <c r="E871" s="83"/>
      <c r="F871" s="83"/>
    </row>
    <row r="872" spans="3:6" ht="14.25" customHeight="1">
      <c r="C872" s="83"/>
      <c r="D872" s="83"/>
      <c r="E872" s="83"/>
      <c r="F872" s="83"/>
    </row>
    <row r="873" spans="3:6" ht="14.25" customHeight="1">
      <c r="C873" s="83"/>
      <c r="D873" s="83"/>
      <c r="E873" s="83"/>
      <c r="F873" s="83"/>
    </row>
    <row r="874" spans="3:6" ht="14.25" customHeight="1">
      <c r="C874" s="83"/>
      <c r="D874" s="83"/>
      <c r="E874" s="83"/>
      <c r="F874" s="83"/>
    </row>
    <row r="875" spans="3:6" ht="14.25" customHeight="1">
      <c r="C875" s="83"/>
      <c r="D875" s="83"/>
      <c r="E875" s="83"/>
      <c r="F875" s="83"/>
    </row>
    <row r="876" spans="3:6" ht="14.25" customHeight="1">
      <c r="C876" s="83"/>
      <c r="D876" s="83"/>
      <c r="E876" s="83"/>
      <c r="F876" s="83"/>
    </row>
    <row r="877" spans="3:6" ht="14.25" customHeight="1">
      <c r="C877" s="83"/>
      <c r="D877" s="83"/>
      <c r="E877" s="83"/>
      <c r="F877" s="83"/>
    </row>
    <row r="878" spans="3:6" ht="14.25" customHeight="1">
      <c r="C878" s="83"/>
      <c r="D878" s="83"/>
      <c r="E878" s="83"/>
      <c r="F878" s="83"/>
    </row>
    <row r="879" spans="3:6" ht="14.25" customHeight="1">
      <c r="C879" s="83"/>
      <c r="D879" s="83"/>
      <c r="E879" s="83"/>
      <c r="F879" s="83"/>
    </row>
    <row r="880" spans="3:6" ht="14.25" customHeight="1">
      <c r="C880" s="83"/>
      <c r="D880" s="83"/>
      <c r="E880" s="83"/>
      <c r="F880" s="83"/>
    </row>
    <row r="881" spans="3:6" ht="14.25" customHeight="1">
      <c r="C881" s="83"/>
      <c r="D881" s="83"/>
      <c r="E881" s="83"/>
      <c r="F881" s="83"/>
    </row>
    <row r="882" spans="3:6" ht="14.25" customHeight="1">
      <c r="C882" s="83"/>
      <c r="D882" s="83"/>
      <c r="E882" s="83"/>
      <c r="F882" s="83"/>
    </row>
    <row r="883" spans="3:6" ht="14.25" customHeight="1">
      <c r="C883" s="83"/>
      <c r="D883" s="83"/>
      <c r="E883" s="83"/>
      <c r="F883" s="83"/>
    </row>
    <row r="884" spans="3:6" ht="14.25" customHeight="1">
      <c r="C884" s="83"/>
      <c r="D884" s="83"/>
      <c r="E884" s="83"/>
      <c r="F884" s="83"/>
    </row>
    <row r="885" spans="3:6" ht="14.25" customHeight="1">
      <c r="C885" s="83"/>
      <c r="D885" s="83"/>
      <c r="E885" s="83"/>
      <c r="F885" s="83"/>
    </row>
    <row r="886" spans="3:6" ht="14.25" customHeight="1">
      <c r="C886" s="83"/>
      <c r="D886" s="83"/>
      <c r="E886" s="83"/>
      <c r="F886" s="83"/>
    </row>
    <row r="887" spans="3:6" ht="14.25" customHeight="1">
      <c r="C887" s="83"/>
      <c r="D887" s="83"/>
      <c r="E887" s="83"/>
      <c r="F887" s="83"/>
    </row>
    <row r="888" spans="3:6" ht="14.25" customHeight="1">
      <c r="C888" s="83"/>
      <c r="D888" s="83"/>
      <c r="E888" s="83"/>
      <c r="F888" s="83"/>
    </row>
    <row r="889" spans="3:6" ht="14.25" customHeight="1">
      <c r="C889" s="83"/>
      <c r="D889" s="83"/>
      <c r="E889" s="83"/>
      <c r="F889" s="83"/>
    </row>
    <row r="890" spans="3:6" ht="14.25" customHeight="1">
      <c r="C890" s="83"/>
      <c r="D890" s="83"/>
      <c r="E890" s="83"/>
      <c r="F890" s="83"/>
    </row>
    <row r="891" spans="3:6" ht="14.25" customHeight="1">
      <c r="C891" s="83"/>
      <c r="D891" s="83"/>
      <c r="E891" s="83"/>
      <c r="F891" s="83"/>
    </row>
    <row r="892" spans="3:6" ht="14.25" customHeight="1">
      <c r="C892" s="83"/>
      <c r="D892" s="83"/>
      <c r="E892" s="83"/>
      <c r="F892" s="83"/>
    </row>
    <row r="893" spans="3:6" ht="14.25" customHeight="1">
      <c r="C893" s="83"/>
      <c r="D893" s="83"/>
      <c r="E893" s="83"/>
      <c r="F893" s="83"/>
    </row>
    <row r="894" spans="3:6" ht="14.25" customHeight="1">
      <c r="C894" s="83"/>
      <c r="D894" s="83"/>
      <c r="E894" s="83"/>
      <c r="F894" s="83"/>
    </row>
    <row r="895" spans="3:6" ht="14.25" customHeight="1">
      <c r="C895" s="83"/>
      <c r="D895" s="83"/>
      <c r="E895" s="83"/>
      <c r="F895" s="83"/>
    </row>
    <row r="896" spans="3:6" ht="14.25" customHeight="1">
      <c r="C896" s="83"/>
      <c r="D896" s="83"/>
      <c r="E896" s="83"/>
      <c r="F896" s="83"/>
    </row>
    <row r="897" spans="3:6" ht="14.25" customHeight="1">
      <c r="C897" s="83"/>
      <c r="D897" s="83"/>
      <c r="E897" s="83"/>
      <c r="F897" s="83"/>
    </row>
    <row r="898" spans="3:6" ht="14.25" customHeight="1">
      <c r="C898" s="83"/>
      <c r="D898" s="83"/>
      <c r="E898" s="83"/>
      <c r="F898" s="83"/>
    </row>
    <row r="899" spans="3:6" ht="14.25" customHeight="1">
      <c r="C899" s="83"/>
      <c r="D899" s="83"/>
      <c r="E899" s="83"/>
      <c r="F899" s="83"/>
    </row>
    <row r="900" spans="3:6" ht="14.25" customHeight="1">
      <c r="C900" s="83"/>
      <c r="D900" s="83"/>
      <c r="E900" s="83"/>
      <c r="F900" s="83"/>
    </row>
    <row r="901" spans="3:6" ht="14.25" customHeight="1">
      <c r="C901" s="83"/>
      <c r="D901" s="83"/>
      <c r="E901" s="83"/>
      <c r="F901" s="83"/>
    </row>
    <row r="902" spans="3:6" ht="14.25" customHeight="1">
      <c r="C902" s="83"/>
      <c r="D902" s="83"/>
      <c r="E902" s="83"/>
      <c r="F902" s="83"/>
    </row>
    <row r="903" spans="3:6" ht="14.25" customHeight="1">
      <c r="C903" s="83"/>
      <c r="D903" s="83"/>
      <c r="E903" s="83"/>
      <c r="F903" s="83"/>
    </row>
    <row r="904" spans="3:6" ht="14.25" customHeight="1">
      <c r="C904" s="83"/>
      <c r="D904" s="83"/>
      <c r="E904" s="83"/>
      <c r="F904" s="83"/>
    </row>
    <row r="905" spans="3:6" ht="14.25" customHeight="1">
      <c r="C905" s="83"/>
      <c r="D905" s="83"/>
      <c r="E905" s="83"/>
      <c r="F905" s="83"/>
    </row>
    <row r="906" spans="3:6" ht="14.25" customHeight="1">
      <c r="C906" s="83"/>
      <c r="D906" s="83"/>
      <c r="E906" s="83"/>
      <c r="F906" s="83"/>
    </row>
    <row r="907" spans="3:6" ht="14.25" customHeight="1">
      <c r="C907" s="83"/>
      <c r="D907" s="83"/>
      <c r="E907" s="83"/>
      <c r="F907" s="83"/>
    </row>
    <row r="908" spans="3:6" ht="14.25" customHeight="1">
      <c r="C908" s="83"/>
      <c r="D908" s="83"/>
      <c r="E908" s="83"/>
      <c r="F908" s="83"/>
    </row>
    <row r="909" spans="3:6" ht="14.25" customHeight="1">
      <c r="C909" s="83"/>
      <c r="D909" s="83"/>
      <c r="E909" s="83"/>
      <c r="F909" s="83"/>
    </row>
    <row r="910" spans="3:6" ht="14.25" customHeight="1">
      <c r="C910" s="83"/>
      <c r="D910" s="83"/>
      <c r="E910" s="83"/>
      <c r="F910" s="83"/>
    </row>
    <row r="911" spans="3:6" ht="14.25" customHeight="1">
      <c r="C911" s="83"/>
      <c r="D911" s="83"/>
      <c r="E911" s="83"/>
      <c r="F911" s="83"/>
    </row>
    <row r="912" spans="3:6" ht="14.25" customHeight="1">
      <c r="C912" s="83"/>
      <c r="D912" s="83"/>
      <c r="E912" s="83"/>
      <c r="F912" s="83"/>
    </row>
    <row r="913" spans="3:6" ht="14.25" customHeight="1">
      <c r="C913" s="83"/>
      <c r="D913" s="83"/>
      <c r="E913" s="83"/>
      <c r="F913" s="83"/>
    </row>
    <row r="914" spans="3:6" ht="14.25" customHeight="1">
      <c r="C914" s="83"/>
      <c r="D914" s="83"/>
      <c r="E914" s="83"/>
      <c r="F914" s="83"/>
    </row>
    <row r="915" spans="3:6" ht="14.25" customHeight="1">
      <c r="C915" s="83"/>
      <c r="D915" s="83"/>
      <c r="E915" s="83"/>
      <c r="F915" s="83"/>
    </row>
    <row r="916" spans="3:6" ht="14.25" customHeight="1">
      <c r="C916" s="83"/>
      <c r="D916" s="83"/>
      <c r="E916" s="83"/>
      <c r="F916" s="83"/>
    </row>
    <row r="917" spans="3:6" ht="14.25" customHeight="1">
      <c r="C917" s="83"/>
      <c r="D917" s="83"/>
      <c r="E917" s="83"/>
      <c r="F917" s="83"/>
    </row>
    <row r="918" spans="3:6" ht="14.25" customHeight="1">
      <c r="C918" s="83"/>
      <c r="D918" s="83"/>
      <c r="E918" s="83"/>
      <c r="F918" s="83"/>
    </row>
    <row r="919" spans="3:6" ht="14.25" customHeight="1">
      <c r="C919" s="83"/>
      <c r="D919" s="83"/>
      <c r="E919" s="83"/>
      <c r="F919" s="83"/>
    </row>
    <row r="920" spans="3:6" ht="14.25" customHeight="1">
      <c r="C920" s="83"/>
      <c r="D920" s="83"/>
      <c r="E920" s="83"/>
      <c r="F920" s="83"/>
    </row>
    <row r="921" spans="3:6" ht="14.25" customHeight="1">
      <c r="C921" s="83"/>
      <c r="D921" s="83"/>
      <c r="E921" s="83"/>
      <c r="F921" s="83"/>
    </row>
    <row r="922" spans="3:6" ht="14.25" customHeight="1">
      <c r="C922" s="83"/>
      <c r="D922" s="83"/>
      <c r="E922" s="83"/>
      <c r="F922" s="83"/>
    </row>
    <row r="923" spans="3:6" ht="14.25" customHeight="1">
      <c r="C923" s="83"/>
      <c r="D923" s="83"/>
      <c r="E923" s="83"/>
      <c r="F923" s="83"/>
    </row>
    <row r="924" spans="3:6" ht="14.25" customHeight="1">
      <c r="C924" s="83"/>
      <c r="D924" s="83"/>
      <c r="E924" s="83"/>
      <c r="F924" s="83"/>
    </row>
    <row r="925" spans="3:6" ht="14.25" customHeight="1">
      <c r="C925" s="83"/>
      <c r="D925" s="83"/>
      <c r="E925" s="83"/>
      <c r="F925" s="83"/>
    </row>
    <row r="926" spans="3:6" ht="14.25" customHeight="1">
      <c r="C926" s="83"/>
      <c r="D926" s="83"/>
      <c r="E926" s="83"/>
      <c r="F926" s="83"/>
    </row>
    <row r="927" spans="3:6" ht="14.25" customHeight="1">
      <c r="C927" s="83"/>
      <c r="D927" s="83"/>
      <c r="E927" s="83"/>
      <c r="F927" s="83"/>
    </row>
    <row r="928" spans="3:6" ht="14.25" customHeight="1">
      <c r="C928" s="83"/>
      <c r="D928" s="83"/>
      <c r="E928" s="83"/>
      <c r="F928" s="83"/>
    </row>
    <row r="929" spans="3:6" ht="14.25" customHeight="1">
      <c r="C929" s="83"/>
      <c r="D929" s="83"/>
      <c r="E929" s="83"/>
      <c r="F929" s="83"/>
    </row>
    <row r="930" spans="3:6" ht="14.25" customHeight="1">
      <c r="C930" s="83"/>
      <c r="D930" s="83"/>
      <c r="E930" s="83"/>
      <c r="F930" s="83"/>
    </row>
    <row r="931" spans="3:6" ht="14.25" customHeight="1">
      <c r="C931" s="83"/>
      <c r="D931" s="83"/>
      <c r="E931" s="83"/>
      <c r="F931" s="83"/>
    </row>
    <row r="932" spans="3:6" ht="14.25" customHeight="1">
      <c r="C932" s="83"/>
      <c r="D932" s="83"/>
      <c r="E932" s="83"/>
      <c r="F932" s="83"/>
    </row>
    <row r="933" spans="3:6" ht="14.25" customHeight="1">
      <c r="C933" s="83"/>
      <c r="D933" s="83"/>
      <c r="E933" s="83"/>
      <c r="F933" s="83"/>
    </row>
    <row r="934" spans="3:6" ht="14.25" customHeight="1">
      <c r="C934" s="83"/>
      <c r="D934" s="83"/>
      <c r="E934" s="83"/>
      <c r="F934" s="83"/>
    </row>
    <row r="935" spans="3:6" ht="14.25" customHeight="1">
      <c r="C935" s="83"/>
      <c r="D935" s="83"/>
      <c r="E935" s="83"/>
      <c r="F935" s="83"/>
    </row>
    <row r="936" spans="3:6" ht="14.25" customHeight="1">
      <c r="C936" s="83"/>
      <c r="D936" s="83"/>
      <c r="E936" s="83"/>
      <c r="F936" s="83"/>
    </row>
    <row r="937" spans="3:6" ht="14.25" customHeight="1">
      <c r="C937" s="83"/>
      <c r="D937" s="83"/>
      <c r="E937" s="83"/>
      <c r="F937" s="83"/>
    </row>
    <row r="938" spans="3:6" ht="14.25" customHeight="1">
      <c r="C938" s="83"/>
      <c r="D938" s="83"/>
      <c r="E938" s="83"/>
      <c r="F938" s="83"/>
    </row>
    <row r="939" spans="3:6" ht="14.25" customHeight="1">
      <c r="C939" s="83"/>
      <c r="D939" s="83"/>
      <c r="E939" s="83"/>
      <c r="F939" s="83"/>
    </row>
    <row r="940" spans="3:6" ht="14.25" customHeight="1">
      <c r="C940" s="83"/>
      <c r="D940" s="83"/>
      <c r="E940" s="83"/>
      <c r="F940" s="83"/>
    </row>
    <row r="941" spans="3:6" ht="14.25" customHeight="1">
      <c r="C941" s="83"/>
      <c r="D941" s="83"/>
      <c r="E941" s="83"/>
      <c r="F941" s="83"/>
    </row>
    <row r="942" spans="3:6" ht="14.25" customHeight="1">
      <c r="C942" s="83"/>
      <c r="D942" s="83"/>
      <c r="E942" s="83"/>
      <c r="F942" s="83"/>
    </row>
    <row r="943" spans="3:6" ht="14.25" customHeight="1">
      <c r="C943" s="83"/>
      <c r="D943" s="83"/>
      <c r="E943" s="83"/>
      <c r="F943" s="83"/>
    </row>
    <row r="944" spans="3:6" ht="14.25" customHeight="1">
      <c r="C944" s="83"/>
      <c r="D944" s="83"/>
      <c r="E944" s="83"/>
      <c r="F944" s="83"/>
    </row>
    <row r="945" spans="3:6" ht="14.25" customHeight="1">
      <c r="C945" s="83"/>
      <c r="D945" s="83"/>
      <c r="E945" s="83"/>
      <c r="F945" s="83"/>
    </row>
    <row r="946" spans="3:6" ht="14.25" customHeight="1">
      <c r="C946" s="83"/>
      <c r="D946" s="83"/>
      <c r="E946" s="83"/>
      <c r="F946" s="83"/>
    </row>
    <row r="947" spans="3:6" ht="14.25" customHeight="1">
      <c r="C947" s="83"/>
      <c r="D947" s="83"/>
      <c r="E947" s="83"/>
      <c r="F947" s="83"/>
    </row>
    <row r="948" spans="3:6" ht="14.25" customHeight="1">
      <c r="C948" s="83"/>
      <c r="D948" s="83"/>
      <c r="E948" s="83"/>
      <c r="F948" s="83"/>
    </row>
    <row r="949" spans="3:6" ht="14.25" customHeight="1">
      <c r="C949" s="83"/>
      <c r="D949" s="83"/>
      <c r="E949" s="83"/>
      <c r="F949" s="83"/>
    </row>
    <row r="950" spans="3:6" ht="14.25" customHeight="1">
      <c r="C950" s="83"/>
      <c r="D950" s="83"/>
      <c r="E950" s="83"/>
      <c r="F950" s="83"/>
    </row>
    <row r="951" spans="3:6" ht="14.25" customHeight="1">
      <c r="C951" s="83"/>
      <c r="D951" s="83"/>
      <c r="E951" s="83"/>
      <c r="F951" s="83"/>
    </row>
    <row r="952" spans="3:6" ht="14.25" customHeight="1">
      <c r="C952" s="83"/>
      <c r="D952" s="83"/>
      <c r="E952" s="83"/>
      <c r="F952" s="83"/>
    </row>
    <row r="953" spans="3:6" ht="14.25" customHeight="1">
      <c r="C953" s="83"/>
      <c r="D953" s="83"/>
      <c r="E953" s="83"/>
      <c r="F953" s="83"/>
    </row>
    <row r="954" spans="3:6" ht="14.25" customHeight="1">
      <c r="C954" s="83"/>
      <c r="D954" s="83"/>
      <c r="E954" s="83"/>
      <c r="F954" s="83"/>
    </row>
    <row r="955" spans="3:6" ht="14.25" customHeight="1">
      <c r="C955" s="83"/>
      <c r="D955" s="83"/>
      <c r="E955" s="83"/>
      <c r="F955" s="83"/>
    </row>
    <row r="956" spans="3:6" ht="14.25" customHeight="1">
      <c r="C956" s="83"/>
      <c r="D956" s="83"/>
      <c r="E956" s="83"/>
      <c r="F956" s="83"/>
    </row>
    <row r="957" spans="3:6" ht="14.25" customHeight="1">
      <c r="C957" s="83"/>
      <c r="D957" s="83"/>
      <c r="E957" s="83"/>
      <c r="F957" s="83"/>
    </row>
    <row r="958" spans="3:6" ht="14.25" customHeight="1">
      <c r="C958" s="83"/>
      <c r="D958" s="83"/>
      <c r="E958" s="83"/>
      <c r="F958" s="83"/>
    </row>
    <row r="959" spans="3:6" ht="14.25" customHeight="1">
      <c r="C959" s="83"/>
      <c r="D959" s="83"/>
      <c r="E959" s="83"/>
      <c r="F959" s="83"/>
    </row>
    <row r="960" spans="3:6" ht="14.25" customHeight="1">
      <c r="C960" s="83"/>
      <c r="D960" s="83"/>
      <c r="E960" s="83"/>
      <c r="F960" s="83"/>
    </row>
    <row r="961" spans="3:6" ht="14.25" customHeight="1">
      <c r="C961" s="83"/>
      <c r="D961" s="83"/>
      <c r="E961" s="83"/>
      <c r="F961" s="83"/>
    </row>
    <row r="962" spans="3:6" ht="14.25" customHeight="1">
      <c r="C962" s="83"/>
      <c r="D962" s="83"/>
      <c r="E962" s="83"/>
      <c r="F962" s="83"/>
    </row>
    <row r="963" spans="3:6" ht="14.25" customHeight="1">
      <c r="C963" s="83"/>
      <c r="D963" s="83"/>
      <c r="E963" s="83"/>
      <c r="F963" s="83"/>
    </row>
    <row r="964" spans="3:6" ht="14.25" customHeight="1">
      <c r="C964" s="83"/>
      <c r="D964" s="83"/>
      <c r="E964" s="83"/>
      <c r="F964" s="83"/>
    </row>
    <row r="965" spans="3:6" ht="14.25" customHeight="1">
      <c r="C965" s="83"/>
      <c r="D965" s="83"/>
      <c r="E965" s="83"/>
      <c r="F965" s="83"/>
    </row>
    <row r="966" spans="3:6" ht="14.25" customHeight="1">
      <c r="C966" s="83"/>
      <c r="D966" s="83"/>
      <c r="E966" s="83"/>
      <c r="F966" s="83"/>
    </row>
    <row r="967" spans="3:6" ht="14.25" customHeight="1">
      <c r="C967" s="83"/>
      <c r="D967" s="83"/>
      <c r="E967" s="83"/>
      <c r="F967" s="83"/>
    </row>
    <row r="968" spans="3:6" ht="14.25" customHeight="1">
      <c r="C968" s="83"/>
      <c r="D968" s="83"/>
      <c r="E968" s="83"/>
      <c r="F968" s="83"/>
    </row>
    <row r="969" spans="3:6" ht="14.25" customHeight="1">
      <c r="C969" s="83"/>
      <c r="D969" s="83"/>
      <c r="E969" s="83"/>
      <c r="F969" s="83"/>
    </row>
    <row r="970" spans="3:6" ht="14.25" customHeight="1">
      <c r="C970" s="83"/>
      <c r="D970" s="83"/>
      <c r="E970" s="83"/>
      <c r="F970" s="83"/>
    </row>
    <row r="971" spans="3:6" ht="14.25" customHeight="1">
      <c r="C971" s="83"/>
      <c r="D971" s="83"/>
      <c r="E971" s="83"/>
      <c r="F971" s="83"/>
    </row>
    <row r="972" spans="3:6" ht="14.25" customHeight="1">
      <c r="C972" s="83"/>
      <c r="D972" s="83"/>
      <c r="E972" s="83"/>
      <c r="F972" s="83"/>
    </row>
    <row r="973" spans="3:6" ht="14.25" customHeight="1">
      <c r="C973" s="83"/>
      <c r="D973" s="83"/>
      <c r="E973" s="83"/>
      <c r="F973" s="83"/>
    </row>
    <row r="974" spans="3:6" ht="14.25" customHeight="1">
      <c r="C974" s="83"/>
      <c r="D974" s="83"/>
      <c r="E974" s="83"/>
      <c r="F974" s="83"/>
    </row>
    <row r="975" spans="3:6" ht="14.25" customHeight="1">
      <c r="C975" s="83"/>
      <c r="D975" s="83"/>
      <c r="E975" s="83"/>
      <c r="F975" s="83"/>
    </row>
    <row r="976" spans="3:6" ht="14.25" customHeight="1">
      <c r="C976" s="83"/>
      <c r="D976" s="83"/>
      <c r="E976" s="83"/>
      <c r="F976" s="83"/>
    </row>
    <row r="977" spans="3:6" ht="14.25" customHeight="1">
      <c r="C977" s="83"/>
      <c r="D977" s="83"/>
      <c r="E977" s="83"/>
      <c r="F977" s="83"/>
    </row>
    <row r="978" spans="3:6" ht="14.25" customHeight="1">
      <c r="C978" s="83"/>
      <c r="D978" s="83"/>
      <c r="E978" s="83"/>
      <c r="F978" s="83"/>
    </row>
    <row r="979" spans="3:6" ht="14.25" customHeight="1">
      <c r="C979" s="83"/>
      <c r="D979" s="83"/>
      <c r="E979" s="83"/>
      <c r="F979" s="83"/>
    </row>
    <row r="980" spans="3:6" ht="14.25" customHeight="1">
      <c r="C980" s="83"/>
      <c r="D980" s="83"/>
      <c r="E980" s="83"/>
      <c r="F980" s="83"/>
    </row>
    <row r="981" spans="3:6" ht="14.25" customHeight="1">
      <c r="C981" s="83"/>
      <c r="D981" s="83"/>
      <c r="E981" s="83"/>
      <c r="F981" s="83"/>
    </row>
    <row r="982" spans="3:6" ht="14.25" customHeight="1">
      <c r="C982" s="83"/>
      <c r="D982" s="83"/>
      <c r="E982" s="83"/>
      <c r="F982" s="83"/>
    </row>
    <row r="983" spans="3:6" ht="14.25" customHeight="1">
      <c r="C983" s="83"/>
      <c r="D983" s="83"/>
      <c r="E983" s="83"/>
      <c r="F983" s="83"/>
    </row>
    <row r="984" spans="3:6" ht="14.25" customHeight="1">
      <c r="C984" s="83"/>
      <c r="D984" s="83"/>
      <c r="E984" s="83"/>
      <c r="F984" s="83"/>
    </row>
    <row r="985" spans="3:6" ht="14.25" customHeight="1">
      <c r="C985" s="83"/>
      <c r="D985" s="83"/>
      <c r="E985" s="83"/>
      <c r="F985" s="83"/>
    </row>
    <row r="986" spans="3:6" ht="14.25" customHeight="1">
      <c r="C986" s="83"/>
      <c r="D986" s="83"/>
      <c r="E986" s="83"/>
      <c r="F986" s="83"/>
    </row>
    <row r="987" spans="3:6" ht="14.25" customHeight="1">
      <c r="C987" s="83"/>
      <c r="D987" s="83"/>
      <c r="E987" s="83"/>
      <c r="F987" s="83"/>
    </row>
    <row r="988" spans="3:6" ht="14.25" customHeight="1">
      <c r="C988" s="83"/>
      <c r="D988" s="83"/>
      <c r="E988" s="83"/>
      <c r="F988" s="83"/>
    </row>
    <row r="989" spans="3:6" ht="14.25" customHeight="1">
      <c r="C989" s="83"/>
      <c r="D989" s="83"/>
      <c r="E989" s="83"/>
      <c r="F989" s="83"/>
    </row>
    <row r="990" spans="3:6" ht="14.25" customHeight="1">
      <c r="C990" s="83"/>
      <c r="D990" s="83"/>
      <c r="E990" s="83"/>
      <c r="F990" s="83"/>
    </row>
    <row r="991" spans="3:6" ht="14.25" customHeight="1">
      <c r="C991" s="83"/>
      <c r="D991" s="83"/>
      <c r="E991" s="83"/>
      <c r="F991" s="83"/>
    </row>
    <row r="992" spans="3:6" ht="14.25" customHeight="1">
      <c r="C992" s="83"/>
      <c r="D992" s="83"/>
      <c r="E992" s="83"/>
      <c r="F992" s="83"/>
    </row>
    <row r="993" spans="3:6" ht="14.25" customHeight="1">
      <c r="C993" s="83"/>
      <c r="D993" s="83"/>
      <c r="E993" s="83"/>
      <c r="F993" s="83"/>
    </row>
    <row r="994" spans="3:6" ht="14.25" customHeight="1">
      <c r="C994" s="83"/>
      <c r="D994" s="83"/>
      <c r="E994" s="83"/>
      <c r="F994" s="83"/>
    </row>
    <row r="995" spans="3:6" ht="14.25" customHeight="1">
      <c r="C995" s="83"/>
      <c r="D995" s="83"/>
      <c r="E995" s="83"/>
      <c r="F995" s="83"/>
    </row>
    <row r="996" spans="3:6" ht="14.25" customHeight="1">
      <c r="C996" s="83"/>
      <c r="D996" s="83"/>
      <c r="E996" s="83"/>
      <c r="F996" s="83"/>
    </row>
    <row r="997" spans="3:6" ht="14.25" customHeight="1">
      <c r="C997" s="83"/>
      <c r="D997" s="83"/>
      <c r="E997" s="83"/>
      <c r="F997" s="83"/>
    </row>
    <row r="998" spans="3:6" ht="14.25" customHeight="1">
      <c r="C998" s="83"/>
      <c r="D998" s="83"/>
      <c r="E998" s="83"/>
      <c r="F998" s="83"/>
    </row>
    <row r="999" spans="3:6" ht="14.25" customHeight="1">
      <c r="C999" s="83"/>
      <c r="D999" s="83"/>
      <c r="E999" s="83"/>
      <c r="F999" s="83"/>
    </row>
    <row r="1000" spans="3:6" ht="14.25" customHeight="1">
      <c r="C1000" s="83"/>
      <c r="D1000" s="83"/>
      <c r="E1000" s="83"/>
      <c r="F1000" s="83"/>
    </row>
    <row r="1001" spans="3:6" ht="14.25" customHeight="1">
      <c r="C1001" s="83"/>
      <c r="D1001" s="83"/>
      <c r="E1001" s="83"/>
      <c r="F1001" s="83"/>
    </row>
  </sheetData>
  <mergeCells count="9">
    <mergeCell ref="E9:E10"/>
    <mergeCell ref="F9:F10"/>
    <mergeCell ref="B1:F1"/>
    <mergeCell ref="C2:F2"/>
    <mergeCell ref="A52:A60"/>
    <mergeCell ref="D52:D60"/>
    <mergeCell ref="E52:E60"/>
    <mergeCell ref="F52:F60"/>
    <mergeCell ref="D9:D10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44140625" defaultRowHeight="15" customHeight="1"/>
  <cols>
    <col min="1" max="1" width="45.33203125" customWidth="1"/>
    <col min="2" max="26" width="10.6640625" customWidth="1"/>
  </cols>
  <sheetData>
    <row r="1" spans="1:26" ht="14.25" customHeight="1">
      <c r="A1" s="131" t="s">
        <v>277</v>
      </c>
      <c r="B1" s="124">
        <v>5000</v>
      </c>
      <c r="C1" s="124">
        <v>10000</v>
      </c>
      <c r="D1" s="124">
        <v>15000</v>
      </c>
      <c r="E1" s="124">
        <v>20000</v>
      </c>
      <c r="F1" s="124">
        <v>25000</v>
      </c>
      <c r="G1" s="124">
        <v>30000</v>
      </c>
      <c r="H1" s="124">
        <v>35000</v>
      </c>
      <c r="I1" s="124">
        <v>40000</v>
      </c>
      <c r="J1" s="124">
        <v>45000</v>
      </c>
      <c r="K1" s="124">
        <v>50000</v>
      </c>
      <c r="L1" s="124">
        <v>55000</v>
      </c>
      <c r="M1" s="124">
        <v>60000</v>
      </c>
      <c r="N1" s="124">
        <v>65000</v>
      </c>
      <c r="O1" s="124">
        <v>70000</v>
      </c>
      <c r="P1" s="124">
        <v>75000</v>
      </c>
      <c r="Q1" s="124">
        <v>80000</v>
      </c>
      <c r="R1" s="124">
        <v>85000</v>
      </c>
      <c r="S1" s="124">
        <v>90000</v>
      </c>
      <c r="T1" s="124">
        <v>95000</v>
      </c>
      <c r="U1" s="124">
        <v>100000</v>
      </c>
      <c r="V1" s="124">
        <v>105000</v>
      </c>
      <c r="W1" s="124">
        <v>110000</v>
      </c>
      <c r="X1" s="124">
        <v>115000</v>
      </c>
      <c r="Y1" s="133">
        <v>120000</v>
      </c>
    </row>
    <row r="2" spans="1:26" ht="14.25" customHeight="1">
      <c r="A2" s="6" t="s">
        <v>44</v>
      </c>
      <c r="B2" s="8">
        <v>43.98</v>
      </c>
      <c r="C2" s="8">
        <v>43.98</v>
      </c>
      <c r="D2" s="8">
        <v>43.98</v>
      </c>
      <c r="E2" s="8">
        <v>43.98</v>
      </c>
      <c r="F2" s="8">
        <v>43.98</v>
      </c>
      <c r="G2" s="8">
        <v>43.98</v>
      </c>
      <c r="H2" s="8">
        <v>43.98</v>
      </c>
      <c r="I2" s="8">
        <v>43.98</v>
      </c>
      <c r="J2" s="8">
        <v>43.98</v>
      </c>
      <c r="K2" s="8">
        <v>43.98</v>
      </c>
      <c r="L2" s="8">
        <v>43.98</v>
      </c>
      <c r="M2" s="8">
        <v>43.98</v>
      </c>
      <c r="N2" s="8">
        <v>43.98</v>
      </c>
      <c r="O2" s="8">
        <v>43.98</v>
      </c>
      <c r="P2" s="8">
        <v>43.98</v>
      </c>
      <c r="Q2" s="8">
        <v>43.98</v>
      </c>
      <c r="R2" s="8">
        <v>43.98</v>
      </c>
      <c r="S2" s="8">
        <v>43.98</v>
      </c>
      <c r="T2" s="8">
        <v>43.98</v>
      </c>
      <c r="U2" s="8">
        <v>43.98</v>
      </c>
      <c r="V2" s="8">
        <v>43.98</v>
      </c>
      <c r="W2" s="8">
        <v>43.98</v>
      </c>
      <c r="X2" s="8">
        <v>43.98</v>
      </c>
      <c r="Y2" s="9">
        <v>43.98</v>
      </c>
    </row>
    <row r="3" spans="1:26" ht="14.25" customHeight="1">
      <c r="A3" s="6" t="s">
        <v>45</v>
      </c>
      <c r="B3" s="8"/>
      <c r="C3" s="8"/>
      <c r="D3" s="8"/>
      <c r="E3" s="8"/>
      <c r="F3" s="8"/>
      <c r="G3" s="8"/>
      <c r="H3" s="8"/>
      <c r="I3" s="8"/>
      <c r="J3" s="8"/>
      <c r="K3" s="8">
        <v>25.65</v>
      </c>
      <c r="L3" s="8"/>
      <c r="M3" s="8"/>
      <c r="N3" s="8"/>
      <c r="O3" s="8"/>
      <c r="P3" s="8"/>
      <c r="Q3" s="8"/>
      <c r="R3" s="8"/>
      <c r="S3" s="8"/>
      <c r="T3" s="8"/>
      <c r="U3" s="8">
        <v>25.65</v>
      </c>
      <c r="V3" s="8"/>
      <c r="W3" s="8"/>
      <c r="X3" s="8"/>
      <c r="Y3" s="9"/>
    </row>
    <row r="4" spans="1:26" ht="14.25" customHeight="1">
      <c r="A4" s="6" t="s">
        <v>278</v>
      </c>
      <c r="B4" s="8"/>
      <c r="C4" s="8"/>
      <c r="D4" s="8"/>
      <c r="E4" s="8"/>
      <c r="F4" s="8"/>
      <c r="G4" s="8"/>
      <c r="H4" s="8"/>
      <c r="I4" s="8"/>
      <c r="J4" s="8"/>
      <c r="K4" s="8">
        <v>16.12</v>
      </c>
      <c r="L4" s="8"/>
      <c r="M4" s="8"/>
      <c r="N4" s="8"/>
      <c r="O4" s="8"/>
      <c r="P4" s="8"/>
      <c r="Q4" s="8"/>
      <c r="R4" s="8"/>
      <c r="S4" s="8"/>
      <c r="T4" s="8"/>
      <c r="U4" s="8">
        <v>16.12</v>
      </c>
      <c r="V4" s="8"/>
      <c r="W4" s="8"/>
      <c r="X4" s="8"/>
      <c r="Y4" s="9"/>
    </row>
    <row r="5" spans="1:26" ht="14.25" customHeight="1">
      <c r="A5" s="6" t="s">
        <v>47</v>
      </c>
      <c r="B5" s="8"/>
      <c r="C5" s="8"/>
      <c r="D5" s="8"/>
      <c r="E5" s="8"/>
      <c r="F5" s="8"/>
      <c r="G5" s="8"/>
      <c r="H5" s="8"/>
      <c r="I5" s="8"/>
      <c r="J5" s="8"/>
      <c r="K5" s="8">
        <v>24.18</v>
      </c>
      <c r="L5" s="8"/>
      <c r="M5" s="8"/>
      <c r="N5" s="8"/>
      <c r="O5" s="8"/>
      <c r="P5" s="8"/>
      <c r="Q5" s="8"/>
      <c r="R5" s="8"/>
      <c r="S5" s="8"/>
      <c r="T5" s="8"/>
      <c r="U5" s="8">
        <v>24.18</v>
      </c>
      <c r="V5" s="8"/>
      <c r="W5" s="8"/>
      <c r="X5" s="8"/>
      <c r="Y5" s="9"/>
    </row>
    <row r="6" spans="1:26" ht="14.25" customHeight="1">
      <c r="A6" s="6" t="s">
        <v>279</v>
      </c>
      <c r="B6" s="8"/>
      <c r="C6" s="8"/>
      <c r="D6" s="8"/>
      <c r="E6" s="8"/>
      <c r="F6" s="8"/>
      <c r="G6" s="8"/>
      <c r="H6" s="8"/>
      <c r="I6" s="8"/>
      <c r="J6" s="8"/>
      <c r="K6" s="8">
        <v>15.84</v>
      </c>
      <c r="L6" s="8"/>
      <c r="M6" s="8"/>
      <c r="N6" s="8"/>
      <c r="O6" s="8"/>
      <c r="P6" s="8"/>
      <c r="Q6" s="8"/>
      <c r="R6" s="8"/>
      <c r="S6" s="8"/>
      <c r="T6" s="8"/>
      <c r="U6" s="8">
        <v>15.84</v>
      </c>
      <c r="V6" s="8"/>
      <c r="W6" s="8"/>
      <c r="X6" s="8"/>
      <c r="Y6" s="9"/>
    </row>
    <row r="7" spans="1:26" ht="14.25" customHeight="1">
      <c r="A7" s="6" t="s">
        <v>19</v>
      </c>
      <c r="B7" s="8"/>
      <c r="C7" s="8"/>
      <c r="D7" s="8"/>
      <c r="E7" s="8"/>
      <c r="F7" s="8"/>
      <c r="G7" s="8"/>
      <c r="H7" s="8"/>
      <c r="I7" s="8"/>
      <c r="J7" s="8"/>
      <c r="K7" s="8">
        <v>7.92</v>
      </c>
      <c r="L7" s="8"/>
      <c r="M7" s="8"/>
      <c r="N7" s="8"/>
      <c r="O7" s="8"/>
      <c r="P7" s="8"/>
      <c r="Q7" s="8"/>
      <c r="R7" s="8"/>
      <c r="S7" s="8"/>
      <c r="T7" s="8"/>
      <c r="U7" s="8">
        <v>7.92</v>
      </c>
      <c r="V7" s="8"/>
      <c r="W7" s="8"/>
      <c r="X7" s="8"/>
      <c r="Y7" s="9"/>
    </row>
    <row r="8" spans="1:26" ht="14.25" customHeight="1">
      <c r="A8" s="20" t="s">
        <v>20</v>
      </c>
      <c r="B8" s="137"/>
      <c r="C8" s="137"/>
      <c r="D8" s="137"/>
      <c r="E8" s="137"/>
      <c r="F8" s="137"/>
      <c r="G8" s="137">
        <v>5</v>
      </c>
      <c r="H8" s="137"/>
      <c r="I8" s="137"/>
      <c r="J8" s="137"/>
      <c r="K8" s="137"/>
      <c r="L8" s="137"/>
      <c r="M8" s="137">
        <v>5</v>
      </c>
      <c r="N8" s="137"/>
      <c r="O8" s="137"/>
      <c r="P8" s="137"/>
      <c r="Q8" s="137"/>
      <c r="R8" s="137"/>
      <c r="S8" s="137">
        <v>5</v>
      </c>
      <c r="T8" s="137"/>
      <c r="U8" s="137"/>
      <c r="V8" s="137"/>
      <c r="W8" s="137"/>
      <c r="X8" s="137"/>
      <c r="Y8" s="138"/>
    </row>
    <row r="9" spans="1:26" ht="14.25" customHeight="1">
      <c r="A9" s="208" t="s">
        <v>51</v>
      </c>
      <c r="B9" s="209">
        <f t="shared" ref="B9:Y9" si="0">SUM(B2:B8)</f>
        <v>43.98</v>
      </c>
      <c r="C9" s="209">
        <f t="shared" si="0"/>
        <v>43.98</v>
      </c>
      <c r="D9" s="209">
        <f t="shared" si="0"/>
        <v>43.98</v>
      </c>
      <c r="E9" s="209">
        <f t="shared" si="0"/>
        <v>43.98</v>
      </c>
      <c r="F9" s="209">
        <f t="shared" si="0"/>
        <v>43.98</v>
      </c>
      <c r="G9" s="209">
        <f t="shared" si="0"/>
        <v>48.98</v>
      </c>
      <c r="H9" s="209">
        <f t="shared" si="0"/>
        <v>43.98</v>
      </c>
      <c r="I9" s="209">
        <f t="shared" si="0"/>
        <v>43.98</v>
      </c>
      <c r="J9" s="209">
        <f t="shared" si="0"/>
        <v>43.98</v>
      </c>
      <c r="K9" s="209">
        <f t="shared" si="0"/>
        <v>133.69</v>
      </c>
      <c r="L9" s="209">
        <f t="shared" si="0"/>
        <v>43.98</v>
      </c>
      <c r="M9" s="209">
        <f t="shared" si="0"/>
        <v>48.98</v>
      </c>
      <c r="N9" s="209">
        <f t="shared" si="0"/>
        <v>43.98</v>
      </c>
      <c r="O9" s="209">
        <f t="shared" si="0"/>
        <v>43.98</v>
      </c>
      <c r="P9" s="209">
        <f t="shared" si="0"/>
        <v>43.98</v>
      </c>
      <c r="Q9" s="209">
        <f t="shared" si="0"/>
        <v>43.98</v>
      </c>
      <c r="R9" s="209">
        <f t="shared" si="0"/>
        <v>43.98</v>
      </c>
      <c r="S9" s="209">
        <f t="shared" si="0"/>
        <v>48.98</v>
      </c>
      <c r="T9" s="209">
        <f t="shared" si="0"/>
        <v>43.98</v>
      </c>
      <c r="U9" s="209">
        <f t="shared" si="0"/>
        <v>133.69</v>
      </c>
      <c r="V9" s="209">
        <f t="shared" si="0"/>
        <v>43.98</v>
      </c>
      <c r="W9" s="209">
        <f t="shared" si="0"/>
        <v>43.98</v>
      </c>
      <c r="X9" s="209">
        <f t="shared" si="0"/>
        <v>43.98</v>
      </c>
      <c r="Y9" s="210">
        <f t="shared" si="0"/>
        <v>43.98</v>
      </c>
      <c r="Z9" s="12">
        <f>SUM(B9:Y9)</f>
        <v>1249.9400000000003</v>
      </c>
    </row>
    <row r="10" spans="1:26" ht="14.25" customHeight="1">
      <c r="A10" s="6" t="s">
        <v>4</v>
      </c>
      <c r="B10" s="8">
        <v>6.3</v>
      </c>
      <c r="C10" s="8">
        <v>6.3</v>
      </c>
      <c r="D10" s="8">
        <v>6.3</v>
      </c>
      <c r="E10" s="8">
        <v>6.3</v>
      </c>
      <c r="F10" s="8">
        <v>6.3</v>
      </c>
      <c r="G10" s="8">
        <v>6.3</v>
      </c>
      <c r="H10" s="8">
        <v>6.3</v>
      </c>
      <c r="I10" s="8">
        <v>6.3</v>
      </c>
      <c r="J10" s="8">
        <v>6.3</v>
      </c>
      <c r="K10" s="8">
        <v>6.3</v>
      </c>
      <c r="L10" s="8">
        <v>6.3</v>
      </c>
      <c r="M10" s="8">
        <v>6.3</v>
      </c>
      <c r="N10" s="8">
        <v>6.3</v>
      </c>
      <c r="O10" s="8">
        <v>6.3</v>
      </c>
      <c r="P10" s="8">
        <v>6.3</v>
      </c>
      <c r="Q10" s="8">
        <v>6.3</v>
      </c>
      <c r="R10" s="8">
        <v>6.3</v>
      </c>
      <c r="S10" s="8">
        <v>6.3</v>
      </c>
      <c r="T10" s="8">
        <v>6.3</v>
      </c>
      <c r="U10" s="8">
        <v>6.3</v>
      </c>
      <c r="V10" s="8">
        <v>6.3</v>
      </c>
      <c r="W10" s="8">
        <v>6.3</v>
      </c>
      <c r="X10" s="8">
        <v>6.3</v>
      </c>
      <c r="Y10" s="8">
        <v>6.3</v>
      </c>
    </row>
    <row r="11" spans="1:26" ht="14.25" customHeight="1">
      <c r="A11" s="6" t="s">
        <v>5</v>
      </c>
      <c r="B11" s="8">
        <v>6.01</v>
      </c>
      <c r="C11" s="8">
        <v>6.01</v>
      </c>
      <c r="D11" s="8">
        <v>6.01</v>
      </c>
      <c r="E11" s="8">
        <v>6.01</v>
      </c>
      <c r="F11" s="8">
        <v>6.01</v>
      </c>
      <c r="G11" s="8">
        <v>6.01</v>
      </c>
      <c r="H11" s="8">
        <v>6.01</v>
      </c>
      <c r="I11" s="8">
        <v>6.01</v>
      </c>
      <c r="J11" s="8">
        <v>6.01</v>
      </c>
      <c r="K11" s="8">
        <v>6.01</v>
      </c>
      <c r="L11" s="8">
        <v>6.01</v>
      </c>
      <c r="M11" s="8">
        <v>6.01</v>
      </c>
      <c r="N11" s="8">
        <v>6.01</v>
      </c>
      <c r="O11" s="8">
        <v>6.01</v>
      </c>
      <c r="P11" s="8">
        <v>6.01</v>
      </c>
      <c r="Q11" s="8">
        <v>6.01</v>
      </c>
      <c r="R11" s="8">
        <v>6.01</v>
      </c>
      <c r="S11" s="8">
        <v>6.01</v>
      </c>
      <c r="T11" s="8">
        <v>6.01</v>
      </c>
      <c r="U11" s="8">
        <v>6.01</v>
      </c>
      <c r="V11" s="8">
        <v>6.01</v>
      </c>
      <c r="W11" s="8">
        <v>6.01</v>
      </c>
      <c r="X11" s="8">
        <v>6.01</v>
      </c>
      <c r="Y11" s="8">
        <v>6.01</v>
      </c>
    </row>
    <row r="12" spans="1:26" ht="14.25" customHeight="1">
      <c r="A12" s="6" t="s">
        <v>6</v>
      </c>
      <c r="B12" s="8">
        <v>17.97</v>
      </c>
      <c r="C12" s="8">
        <v>17.97</v>
      </c>
      <c r="D12" s="8">
        <v>17.97</v>
      </c>
      <c r="E12" s="8">
        <v>17.97</v>
      </c>
      <c r="F12" s="8">
        <v>17.97</v>
      </c>
      <c r="G12" s="8">
        <v>17.97</v>
      </c>
      <c r="H12" s="8">
        <v>17.97</v>
      </c>
      <c r="I12" s="8">
        <v>17.97</v>
      </c>
      <c r="J12" s="8">
        <v>17.97</v>
      </c>
      <c r="K12" s="8">
        <v>17.97</v>
      </c>
      <c r="L12" s="8">
        <v>17.97</v>
      </c>
      <c r="M12" s="8">
        <v>17.97</v>
      </c>
      <c r="N12" s="8">
        <v>17.97</v>
      </c>
      <c r="O12" s="8">
        <v>17.97</v>
      </c>
      <c r="P12" s="8">
        <v>17.97</v>
      </c>
      <c r="Q12" s="8">
        <v>17.97</v>
      </c>
      <c r="R12" s="8">
        <v>17.97</v>
      </c>
      <c r="S12" s="8">
        <v>17.97</v>
      </c>
      <c r="T12" s="8">
        <v>17.97</v>
      </c>
      <c r="U12" s="8">
        <v>17.97</v>
      </c>
      <c r="V12" s="8">
        <v>17.97</v>
      </c>
      <c r="W12" s="8">
        <v>17.97</v>
      </c>
      <c r="X12" s="8">
        <v>17.97</v>
      </c>
      <c r="Y12" s="8">
        <v>17.97</v>
      </c>
    </row>
    <row r="13" spans="1:26" ht="14.25" customHeight="1">
      <c r="A13" s="6" t="s">
        <v>7</v>
      </c>
      <c r="B13" s="8"/>
      <c r="C13" s="8">
        <v>12.04</v>
      </c>
      <c r="D13" s="8"/>
      <c r="E13" s="8">
        <v>12.04</v>
      </c>
      <c r="F13" s="8"/>
      <c r="G13" s="8">
        <v>12.04</v>
      </c>
      <c r="H13" s="8"/>
      <c r="I13" s="8">
        <v>12.04</v>
      </c>
      <c r="J13" s="8"/>
      <c r="K13" s="8">
        <v>12.04</v>
      </c>
      <c r="L13" s="8"/>
      <c r="M13" s="8">
        <v>12.04</v>
      </c>
      <c r="N13" s="8"/>
      <c r="O13" s="8">
        <v>12.04</v>
      </c>
      <c r="P13" s="8"/>
      <c r="Q13" s="8">
        <v>12.04</v>
      </c>
      <c r="R13" s="8"/>
      <c r="S13" s="8">
        <v>12.04</v>
      </c>
      <c r="T13" s="8"/>
      <c r="U13" s="8">
        <v>12.04</v>
      </c>
      <c r="V13" s="8"/>
      <c r="W13" s="8">
        <v>12.04</v>
      </c>
      <c r="X13" s="8"/>
      <c r="Y13" s="8">
        <v>12.04</v>
      </c>
    </row>
    <row r="14" spans="1:26" ht="14.25" customHeight="1">
      <c r="A14" s="6" t="s">
        <v>8</v>
      </c>
      <c r="B14" s="8"/>
      <c r="C14" s="8">
        <v>5.58</v>
      </c>
      <c r="D14" s="8"/>
      <c r="E14" s="8">
        <v>5.58</v>
      </c>
      <c r="F14" s="8"/>
      <c r="G14" s="8">
        <v>5.58</v>
      </c>
      <c r="H14" s="8"/>
      <c r="I14" s="8">
        <v>5.58</v>
      </c>
      <c r="J14" s="8"/>
      <c r="K14" s="8">
        <v>5.58</v>
      </c>
      <c r="L14" s="8"/>
      <c r="M14" s="8">
        <v>5.58</v>
      </c>
      <c r="N14" s="8"/>
      <c r="O14" s="8">
        <v>5.58</v>
      </c>
      <c r="P14" s="8"/>
      <c r="Q14" s="8">
        <v>5.58</v>
      </c>
      <c r="R14" s="8"/>
      <c r="S14" s="8">
        <v>5.58</v>
      </c>
      <c r="T14" s="8"/>
      <c r="U14" s="8">
        <v>5.58</v>
      </c>
      <c r="V14" s="8"/>
      <c r="W14" s="8">
        <v>5.58</v>
      </c>
      <c r="X14" s="8"/>
      <c r="Y14" s="8">
        <v>5.58</v>
      </c>
    </row>
    <row r="15" spans="1:26" ht="14.25" customHeight="1">
      <c r="A15" s="6" t="s">
        <v>9</v>
      </c>
      <c r="B15" s="8"/>
      <c r="C15" s="8">
        <v>29.16</v>
      </c>
      <c r="D15" s="8"/>
      <c r="E15" s="8">
        <v>29.16</v>
      </c>
      <c r="F15" s="8"/>
      <c r="G15" s="8">
        <v>29.16</v>
      </c>
      <c r="H15" s="8"/>
      <c r="I15" s="8">
        <v>29.16</v>
      </c>
      <c r="J15" s="8"/>
      <c r="K15" s="8">
        <v>29.16</v>
      </c>
      <c r="L15" s="8"/>
      <c r="M15" s="8">
        <v>29.16</v>
      </c>
      <c r="N15" s="8"/>
      <c r="O15" s="8">
        <v>29.16</v>
      </c>
      <c r="P15" s="8"/>
      <c r="Q15" s="8">
        <v>29.16</v>
      </c>
      <c r="R15" s="8"/>
      <c r="S15" s="8">
        <v>29.16</v>
      </c>
      <c r="T15" s="8"/>
      <c r="U15" s="8">
        <v>29.16</v>
      </c>
      <c r="V15" s="8"/>
      <c r="W15" s="8">
        <v>29.16</v>
      </c>
      <c r="X15" s="8"/>
      <c r="Y15" s="8">
        <v>29.16</v>
      </c>
    </row>
    <row r="16" spans="1:26" ht="14.25" hidden="1" customHeight="1">
      <c r="A16" s="6" t="s">
        <v>10</v>
      </c>
      <c r="B16" s="8"/>
      <c r="C16" s="8">
        <v>29.63</v>
      </c>
      <c r="D16" s="8"/>
      <c r="E16" s="8">
        <v>29.63</v>
      </c>
      <c r="F16" s="8"/>
      <c r="G16" s="8">
        <v>29.63</v>
      </c>
      <c r="H16" s="8"/>
      <c r="I16" s="8">
        <v>29.63</v>
      </c>
      <c r="J16" s="8"/>
      <c r="K16" s="8">
        <v>29.63</v>
      </c>
      <c r="L16" s="8"/>
      <c r="M16" s="8">
        <v>29.63</v>
      </c>
      <c r="N16" s="8"/>
      <c r="O16" s="8">
        <v>29.63</v>
      </c>
      <c r="P16" s="8"/>
      <c r="Q16" s="8">
        <v>29.63</v>
      </c>
      <c r="R16" s="8"/>
      <c r="S16" s="8">
        <v>29.63</v>
      </c>
      <c r="T16" s="8"/>
      <c r="U16" s="8">
        <v>29.63</v>
      </c>
      <c r="V16" s="8"/>
      <c r="W16" s="8">
        <v>29.63</v>
      </c>
      <c r="X16" s="8"/>
      <c r="Y16" s="8">
        <v>29.63</v>
      </c>
    </row>
    <row r="17" spans="1:26" ht="14.25" customHeight="1">
      <c r="A17" s="6" t="s">
        <v>11</v>
      </c>
      <c r="B17" s="8"/>
      <c r="C17" s="8">
        <v>7.01</v>
      </c>
      <c r="D17" s="8"/>
      <c r="E17" s="8">
        <v>7.01</v>
      </c>
      <c r="F17" s="8"/>
      <c r="G17" s="8">
        <v>7.01</v>
      </c>
      <c r="H17" s="8"/>
      <c r="I17" s="8">
        <v>7.01</v>
      </c>
      <c r="J17" s="8"/>
      <c r="K17" s="8">
        <v>7.01</v>
      </c>
      <c r="L17" s="8"/>
      <c r="M17" s="8">
        <v>7.01</v>
      </c>
      <c r="N17" s="8"/>
      <c r="O17" s="8">
        <v>7.01</v>
      </c>
      <c r="P17" s="8"/>
      <c r="Q17" s="8">
        <v>7.01</v>
      </c>
      <c r="R17" s="8"/>
      <c r="S17" s="8">
        <v>7.01</v>
      </c>
      <c r="T17" s="8"/>
      <c r="U17" s="8">
        <v>7.01</v>
      </c>
      <c r="V17" s="8"/>
      <c r="W17" s="8">
        <v>7.01</v>
      </c>
      <c r="X17" s="8"/>
      <c r="Y17" s="8">
        <v>7.01</v>
      </c>
    </row>
    <row r="18" spans="1:26" ht="14.25" customHeight="1">
      <c r="A18" s="6" t="s">
        <v>12</v>
      </c>
      <c r="B18" s="8"/>
      <c r="C18" s="8">
        <v>5.6</v>
      </c>
      <c r="D18" s="8"/>
      <c r="E18" s="8">
        <v>5.6</v>
      </c>
      <c r="F18" s="8"/>
      <c r="G18" s="8">
        <v>5.6</v>
      </c>
      <c r="H18" s="8"/>
      <c r="I18" s="8">
        <v>5.6</v>
      </c>
      <c r="J18" s="8"/>
      <c r="K18" s="8">
        <v>5.6</v>
      </c>
      <c r="L18" s="8"/>
      <c r="M18" s="8">
        <v>5.6</v>
      </c>
      <c r="N18" s="8"/>
      <c r="O18" s="8">
        <v>5.6</v>
      </c>
      <c r="P18" s="8"/>
      <c r="Q18" s="8">
        <v>5.6</v>
      </c>
      <c r="R18" s="8"/>
      <c r="S18" s="8">
        <v>5.6</v>
      </c>
      <c r="T18" s="8"/>
      <c r="U18" s="8">
        <v>5.6</v>
      </c>
      <c r="V18" s="8"/>
      <c r="W18" s="8">
        <v>5.6</v>
      </c>
      <c r="X18" s="8"/>
      <c r="Y18" s="8">
        <v>5.6</v>
      </c>
    </row>
    <row r="19" spans="1:26" ht="14.25" customHeight="1">
      <c r="A19" s="6" t="s">
        <v>13</v>
      </c>
      <c r="B19" s="8"/>
      <c r="C19" s="8">
        <v>6.02</v>
      </c>
      <c r="D19" s="8"/>
      <c r="E19" s="8">
        <v>6.02</v>
      </c>
      <c r="F19" s="8"/>
      <c r="G19" s="8">
        <v>6.02</v>
      </c>
      <c r="H19" s="8"/>
      <c r="I19" s="8">
        <v>6.02</v>
      </c>
      <c r="J19" s="8"/>
      <c r="K19" s="8">
        <v>6.02</v>
      </c>
      <c r="L19" s="8"/>
      <c r="M19" s="8">
        <v>6.02</v>
      </c>
      <c r="N19" s="8"/>
      <c r="O19" s="8">
        <v>6.02</v>
      </c>
      <c r="P19" s="8"/>
      <c r="Q19" s="8">
        <v>6.02</v>
      </c>
      <c r="R19" s="8"/>
      <c r="S19" s="8">
        <v>6.02</v>
      </c>
      <c r="T19" s="8"/>
      <c r="U19" s="8">
        <v>6.02</v>
      </c>
      <c r="V19" s="8"/>
      <c r="W19" s="8">
        <v>6.02</v>
      </c>
      <c r="X19" s="8"/>
      <c r="Y19" s="8">
        <v>6.02</v>
      </c>
    </row>
    <row r="20" spans="1:26" ht="14.25" customHeight="1">
      <c r="A20" s="6" t="s">
        <v>14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</row>
    <row r="21" spans="1:26" ht="14.25" customHeight="1">
      <c r="A21" s="6" t="s">
        <v>52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172.15</v>
      </c>
      <c r="V21" s="8"/>
      <c r="W21" s="8"/>
      <c r="X21" s="8"/>
      <c r="Y21" s="9"/>
    </row>
    <row r="22" spans="1:26" ht="14.25" customHeight="1">
      <c r="A22" s="6" t="s">
        <v>18</v>
      </c>
      <c r="B22" s="8">
        <v>3</v>
      </c>
      <c r="C22" s="8">
        <v>3</v>
      </c>
      <c r="D22" s="8">
        <v>3</v>
      </c>
      <c r="E22" s="8">
        <v>3</v>
      </c>
      <c r="F22" s="8">
        <v>3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3</v>
      </c>
      <c r="O22" s="8">
        <v>3</v>
      </c>
      <c r="P22" s="8">
        <v>3</v>
      </c>
      <c r="Q22" s="8">
        <v>3</v>
      </c>
      <c r="R22" s="8">
        <v>3</v>
      </c>
      <c r="S22" s="8">
        <v>3</v>
      </c>
      <c r="T22" s="8">
        <v>3</v>
      </c>
      <c r="U22" s="8">
        <v>3</v>
      </c>
      <c r="V22" s="8">
        <v>3</v>
      </c>
      <c r="W22" s="8">
        <v>3</v>
      </c>
      <c r="X22" s="8">
        <v>3</v>
      </c>
      <c r="Y22" s="8">
        <v>3</v>
      </c>
    </row>
    <row r="23" spans="1:26" ht="14.25" customHeight="1">
      <c r="A23" s="20" t="s">
        <v>55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>
        <v>29.29</v>
      </c>
      <c r="P23" s="137"/>
      <c r="Q23" s="137"/>
      <c r="R23" s="137"/>
      <c r="S23" s="137"/>
      <c r="T23" s="137"/>
      <c r="U23" s="137"/>
      <c r="V23" s="137"/>
      <c r="W23" s="137"/>
      <c r="X23" s="137"/>
      <c r="Y23" s="138"/>
    </row>
    <row r="24" spans="1:26" ht="14.25" customHeight="1">
      <c r="A24" s="144" t="s">
        <v>21</v>
      </c>
      <c r="B24" s="146">
        <f t="shared" ref="B24:H24" si="1">B10+B11+B12+B13+B15+B16+B17+B18+B19+B21+B22+B14+B23</f>
        <v>33.28</v>
      </c>
      <c r="C24" s="146">
        <f t="shared" si="1"/>
        <v>128.32</v>
      </c>
      <c r="D24" s="146">
        <f t="shared" si="1"/>
        <v>33.28</v>
      </c>
      <c r="E24" s="146">
        <f t="shared" si="1"/>
        <v>128.32</v>
      </c>
      <c r="F24" s="146">
        <f t="shared" si="1"/>
        <v>33.28</v>
      </c>
      <c r="G24" s="146">
        <f t="shared" si="1"/>
        <v>128.32</v>
      </c>
      <c r="H24" s="146">
        <f t="shared" si="1"/>
        <v>33.28</v>
      </c>
      <c r="I24" s="146">
        <f t="shared" ref="I24:Y24" si="2">SUM(I10:I23)</f>
        <v>128.32</v>
      </c>
      <c r="J24" s="146">
        <f t="shared" si="2"/>
        <v>33.28</v>
      </c>
      <c r="K24" s="146">
        <f t="shared" si="2"/>
        <v>128.32</v>
      </c>
      <c r="L24" s="146">
        <f t="shared" si="2"/>
        <v>33.28</v>
      </c>
      <c r="M24" s="146">
        <f t="shared" si="2"/>
        <v>128.32</v>
      </c>
      <c r="N24" s="146">
        <f t="shared" si="2"/>
        <v>33.28</v>
      </c>
      <c r="O24" s="146">
        <f t="shared" si="2"/>
        <v>157.60999999999999</v>
      </c>
      <c r="P24" s="146">
        <f t="shared" si="2"/>
        <v>33.28</v>
      </c>
      <c r="Q24" s="146">
        <f t="shared" si="2"/>
        <v>128.32</v>
      </c>
      <c r="R24" s="146">
        <f t="shared" si="2"/>
        <v>33.28</v>
      </c>
      <c r="S24" s="146">
        <f t="shared" si="2"/>
        <v>128.32</v>
      </c>
      <c r="T24" s="146">
        <f t="shared" si="2"/>
        <v>33.28</v>
      </c>
      <c r="U24" s="146">
        <f t="shared" si="2"/>
        <v>300.46999999999997</v>
      </c>
      <c r="V24" s="146">
        <f t="shared" si="2"/>
        <v>33.28</v>
      </c>
      <c r="W24" s="146">
        <f t="shared" si="2"/>
        <v>128.32</v>
      </c>
      <c r="X24" s="146">
        <f t="shared" si="2"/>
        <v>33.28</v>
      </c>
      <c r="Y24" s="147">
        <f t="shared" si="2"/>
        <v>128.32</v>
      </c>
      <c r="Z24" s="12">
        <f>SUM(B24:Y24)</f>
        <v>2140.6399999999994</v>
      </c>
    </row>
    <row r="25" spans="1:26" ht="14.25" customHeight="1">
      <c r="A25" s="6" t="s">
        <v>90</v>
      </c>
      <c r="B25" s="8">
        <v>19.399999999999999</v>
      </c>
      <c r="C25" s="8">
        <v>107.5</v>
      </c>
      <c r="D25" s="8">
        <v>14.11</v>
      </c>
      <c r="E25" s="8">
        <v>132.19</v>
      </c>
      <c r="F25" s="8">
        <v>14.11</v>
      </c>
      <c r="G25" s="8">
        <v>125.84</v>
      </c>
      <c r="H25" s="8">
        <v>14.11</v>
      </c>
      <c r="I25" s="8">
        <v>163.94</v>
      </c>
      <c r="J25" s="8">
        <v>14.11</v>
      </c>
      <c r="K25" s="8">
        <v>119.84</v>
      </c>
      <c r="L25" s="8">
        <v>14.11</v>
      </c>
      <c r="M25" s="8">
        <v>147.01</v>
      </c>
      <c r="N25" s="8">
        <v>14.11</v>
      </c>
      <c r="O25" s="8">
        <v>98.68</v>
      </c>
      <c r="P25" s="8">
        <v>14.11</v>
      </c>
      <c r="Q25" s="8">
        <v>132.19</v>
      </c>
      <c r="R25" s="8">
        <v>14.11</v>
      </c>
      <c r="S25" s="8">
        <v>129.37</v>
      </c>
      <c r="T25" s="8">
        <v>14.11</v>
      </c>
      <c r="U25" s="8">
        <v>264.49</v>
      </c>
      <c r="V25" s="8">
        <v>14.11</v>
      </c>
      <c r="W25" s="8">
        <v>107.5</v>
      </c>
      <c r="X25" s="8">
        <v>14.11</v>
      </c>
      <c r="Y25" s="9">
        <v>132.19</v>
      </c>
      <c r="Z25" s="12"/>
    </row>
    <row r="26" spans="1:26" ht="14.25" customHeight="1">
      <c r="A26" s="31" t="s">
        <v>23</v>
      </c>
      <c r="B26" s="33"/>
      <c r="C26" s="33">
        <v>17.16</v>
      </c>
      <c r="D26" s="33"/>
      <c r="E26" s="33">
        <v>17.16</v>
      </c>
      <c r="F26" s="33"/>
      <c r="G26" s="33">
        <v>17.16</v>
      </c>
      <c r="H26" s="33"/>
      <c r="I26" s="33">
        <v>17.16</v>
      </c>
      <c r="J26" s="33"/>
      <c r="K26" s="33">
        <v>17.16</v>
      </c>
      <c r="L26" s="33"/>
      <c r="M26" s="33">
        <v>17.16</v>
      </c>
      <c r="N26" s="33"/>
      <c r="O26" s="33">
        <v>17.16</v>
      </c>
      <c r="P26" s="33"/>
      <c r="Q26" s="33">
        <v>17.16</v>
      </c>
      <c r="R26" s="33"/>
      <c r="S26" s="33">
        <v>17.16</v>
      </c>
      <c r="T26" s="33"/>
      <c r="U26" s="33">
        <v>17.16</v>
      </c>
      <c r="V26" s="33"/>
      <c r="W26" s="33">
        <v>17.16</v>
      </c>
      <c r="X26" s="33"/>
      <c r="Y26" s="34">
        <v>17.16</v>
      </c>
      <c r="Z26" s="12"/>
    </row>
    <row r="27" spans="1:26" ht="14.25" customHeight="1">
      <c r="A27" s="6" t="s">
        <v>24</v>
      </c>
      <c r="B27" s="8"/>
      <c r="C27" s="8">
        <v>15.84</v>
      </c>
      <c r="D27" s="8"/>
      <c r="E27" s="8">
        <v>15.84</v>
      </c>
      <c r="F27" s="8"/>
      <c r="G27" s="8">
        <v>15.84</v>
      </c>
      <c r="H27" s="8"/>
      <c r="I27" s="8">
        <v>15.84</v>
      </c>
      <c r="J27" s="8"/>
      <c r="K27" s="8">
        <v>15.84</v>
      </c>
      <c r="L27" s="8"/>
      <c r="M27" s="8">
        <v>15.84</v>
      </c>
      <c r="N27" s="8"/>
      <c r="O27" s="8">
        <v>15.84</v>
      </c>
      <c r="P27" s="8"/>
      <c r="Q27" s="8">
        <v>15.84</v>
      </c>
      <c r="R27" s="8"/>
      <c r="S27" s="8">
        <v>15.84</v>
      </c>
      <c r="T27" s="8"/>
      <c r="U27" s="8">
        <v>15.84</v>
      </c>
      <c r="V27" s="8"/>
      <c r="W27" s="8">
        <v>15.84</v>
      </c>
      <c r="X27" s="8"/>
      <c r="Y27" s="9">
        <v>15.84</v>
      </c>
      <c r="Z27" s="12"/>
    </row>
    <row r="28" spans="1:26" ht="14.25" customHeight="1">
      <c r="A28" s="36" t="s">
        <v>25</v>
      </c>
      <c r="B28" s="137"/>
      <c r="C28" s="137">
        <v>16.5</v>
      </c>
      <c r="D28" s="137"/>
      <c r="E28" s="137">
        <v>16.5</v>
      </c>
      <c r="F28" s="137"/>
      <c r="G28" s="137">
        <v>16.5</v>
      </c>
      <c r="H28" s="137"/>
      <c r="I28" s="137">
        <v>16.5</v>
      </c>
      <c r="J28" s="137"/>
      <c r="K28" s="137">
        <v>16.5</v>
      </c>
      <c r="L28" s="137"/>
      <c r="M28" s="137">
        <v>16.5</v>
      </c>
      <c r="N28" s="137"/>
      <c r="O28" s="137">
        <v>16.5</v>
      </c>
      <c r="P28" s="137"/>
      <c r="Q28" s="137">
        <v>16.5</v>
      </c>
      <c r="R28" s="137"/>
      <c r="S28" s="137">
        <v>16.5</v>
      </c>
      <c r="T28" s="137"/>
      <c r="U28" s="137">
        <v>16.5</v>
      </c>
      <c r="V28" s="137"/>
      <c r="W28" s="137">
        <v>16.5</v>
      </c>
      <c r="X28" s="137"/>
      <c r="Y28" s="138">
        <v>16.5</v>
      </c>
      <c r="Z28" s="12"/>
    </row>
    <row r="29" spans="1:26" ht="14.25" customHeight="1">
      <c r="A29" s="28" t="s">
        <v>22</v>
      </c>
      <c r="B29" s="151">
        <f t="shared" ref="B29:Y29" si="3">SUM(B25:B28)</f>
        <v>19.399999999999999</v>
      </c>
      <c r="C29" s="151">
        <f t="shared" si="3"/>
        <v>157</v>
      </c>
      <c r="D29" s="151">
        <f t="shared" si="3"/>
        <v>14.11</v>
      </c>
      <c r="E29" s="151">
        <f t="shared" si="3"/>
        <v>181.69</v>
      </c>
      <c r="F29" s="151">
        <f t="shared" si="3"/>
        <v>14.11</v>
      </c>
      <c r="G29" s="151">
        <f t="shared" si="3"/>
        <v>175.34</v>
      </c>
      <c r="H29" s="151">
        <f t="shared" si="3"/>
        <v>14.11</v>
      </c>
      <c r="I29" s="151">
        <f t="shared" si="3"/>
        <v>213.44</v>
      </c>
      <c r="J29" s="151">
        <f t="shared" si="3"/>
        <v>14.11</v>
      </c>
      <c r="K29" s="151">
        <f t="shared" si="3"/>
        <v>169.34</v>
      </c>
      <c r="L29" s="151">
        <f t="shared" si="3"/>
        <v>14.11</v>
      </c>
      <c r="M29" s="151">
        <f t="shared" si="3"/>
        <v>196.51</v>
      </c>
      <c r="N29" s="151">
        <f t="shared" si="3"/>
        <v>14.11</v>
      </c>
      <c r="O29" s="151">
        <f t="shared" si="3"/>
        <v>148.18</v>
      </c>
      <c r="P29" s="151">
        <f t="shared" si="3"/>
        <v>14.11</v>
      </c>
      <c r="Q29" s="151">
        <f t="shared" si="3"/>
        <v>181.69</v>
      </c>
      <c r="R29" s="151">
        <f t="shared" si="3"/>
        <v>14.11</v>
      </c>
      <c r="S29" s="151">
        <f t="shared" si="3"/>
        <v>178.87</v>
      </c>
      <c r="T29" s="151">
        <f t="shared" si="3"/>
        <v>14.11</v>
      </c>
      <c r="U29" s="151">
        <f t="shared" si="3"/>
        <v>313.99</v>
      </c>
      <c r="V29" s="151">
        <f t="shared" si="3"/>
        <v>14.11</v>
      </c>
      <c r="W29" s="151">
        <f t="shared" si="3"/>
        <v>157</v>
      </c>
      <c r="X29" s="151">
        <f t="shared" si="3"/>
        <v>14.11</v>
      </c>
      <c r="Y29" s="152">
        <f t="shared" si="3"/>
        <v>181.69</v>
      </c>
      <c r="Z29" s="12">
        <f>SUM(B29:Y29)</f>
        <v>2429.35</v>
      </c>
    </row>
    <row r="30" spans="1:26" ht="14.25" customHeight="1">
      <c r="A30" s="140" t="s">
        <v>98</v>
      </c>
      <c r="B30" s="154">
        <f t="shared" ref="B30:Y30" si="4">B9+B24+B29</f>
        <v>96.66</v>
      </c>
      <c r="C30" s="154">
        <f t="shared" si="4"/>
        <v>329.29999999999995</v>
      </c>
      <c r="D30" s="154">
        <f t="shared" si="4"/>
        <v>91.36999999999999</v>
      </c>
      <c r="E30" s="154">
        <f t="shared" si="4"/>
        <v>353.99</v>
      </c>
      <c r="F30" s="154">
        <f t="shared" si="4"/>
        <v>91.36999999999999</v>
      </c>
      <c r="G30" s="154">
        <f t="shared" si="4"/>
        <v>352.64</v>
      </c>
      <c r="H30" s="154">
        <f t="shared" si="4"/>
        <v>91.36999999999999</v>
      </c>
      <c r="I30" s="154">
        <f t="shared" si="4"/>
        <v>385.74</v>
      </c>
      <c r="J30" s="154">
        <f t="shared" si="4"/>
        <v>91.36999999999999</v>
      </c>
      <c r="K30" s="154">
        <f t="shared" si="4"/>
        <v>431.35</v>
      </c>
      <c r="L30" s="154">
        <f t="shared" si="4"/>
        <v>91.36999999999999</v>
      </c>
      <c r="M30" s="154">
        <f t="shared" si="4"/>
        <v>373.80999999999995</v>
      </c>
      <c r="N30" s="154">
        <f t="shared" si="4"/>
        <v>91.36999999999999</v>
      </c>
      <c r="O30" s="154">
        <f t="shared" si="4"/>
        <v>349.77</v>
      </c>
      <c r="P30" s="154">
        <f t="shared" si="4"/>
        <v>91.36999999999999</v>
      </c>
      <c r="Q30" s="154">
        <f t="shared" si="4"/>
        <v>353.99</v>
      </c>
      <c r="R30" s="154">
        <f t="shared" si="4"/>
        <v>91.36999999999999</v>
      </c>
      <c r="S30" s="154">
        <f t="shared" si="4"/>
        <v>356.16999999999996</v>
      </c>
      <c r="T30" s="154">
        <f t="shared" si="4"/>
        <v>91.36999999999999</v>
      </c>
      <c r="U30" s="154">
        <f t="shared" si="4"/>
        <v>748.15</v>
      </c>
      <c r="V30" s="154">
        <f t="shared" si="4"/>
        <v>91.36999999999999</v>
      </c>
      <c r="W30" s="154">
        <f t="shared" si="4"/>
        <v>329.29999999999995</v>
      </c>
      <c r="X30" s="154">
        <f t="shared" si="4"/>
        <v>91.36999999999999</v>
      </c>
      <c r="Y30" s="155">
        <f t="shared" si="4"/>
        <v>353.99</v>
      </c>
      <c r="Z30" s="54"/>
    </row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0"/>
  <sheetViews>
    <sheetView workbookViewId="0"/>
  </sheetViews>
  <sheetFormatPr baseColWidth="10" defaultColWidth="14.44140625" defaultRowHeight="15" customHeight="1"/>
  <cols>
    <col min="1" max="1" width="34.109375" customWidth="1"/>
    <col min="2" max="2" width="10.6640625" hidden="1" customWidth="1"/>
    <col min="3" max="7" width="10.6640625" customWidth="1"/>
    <col min="8" max="8" width="20.44140625" customWidth="1"/>
    <col min="9" max="9" width="15.109375" customWidth="1"/>
    <col min="10" max="10" width="13.88671875" customWidth="1"/>
    <col min="11" max="11" width="10.6640625" customWidth="1"/>
    <col min="12" max="12" width="14.88671875" customWidth="1"/>
    <col min="13" max="26" width="10.6640625" customWidth="1"/>
  </cols>
  <sheetData>
    <row r="1" spans="1:12" ht="14.25" customHeight="1"/>
    <row r="2" spans="1:12" ht="14.25" customHeight="1">
      <c r="A2" s="131" t="s">
        <v>0</v>
      </c>
      <c r="B2" s="132" t="s">
        <v>1</v>
      </c>
      <c r="C2" s="124">
        <v>5000</v>
      </c>
      <c r="D2" s="124">
        <v>10000</v>
      </c>
      <c r="E2" s="124">
        <v>15000</v>
      </c>
      <c r="L2" s="211" t="s">
        <v>203</v>
      </c>
    </row>
    <row r="3" spans="1:12" ht="14.25" customHeight="1">
      <c r="A3" s="6" t="s">
        <v>3</v>
      </c>
      <c r="B3" s="7" t="str">
        <f>'W7 DIESEL 120K'!U1</f>
        <v>INTERMEDIOS</v>
      </c>
      <c r="C3" s="8">
        <v>40.98</v>
      </c>
      <c r="D3" s="8">
        <v>40.98</v>
      </c>
      <c r="E3" s="8">
        <v>40.98</v>
      </c>
      <c r="G3" s="236" t="s">
        <v>280</v>
      </c>
      <c r="H3" s="227"/>
      <c r="I3" s="227"/>
      <c r="J3" s="228"/>
      <c r="L3" s="52">
        <v>12</v>
      </c>
    </row>
    <row r="4" spans="1:12" ht="15" customHeight="1">
      <c r="A4" s="6" t="s">
        <v>4</v>
      </c>
      <c r="B4" s="7">
        <f>'W7 DIESEL 120K'!U2</f>
        <v>40.98</v>
      </c>
      <c r="C4" s="8">
        <v>6.01</v>
      </c>
      <c r="D4" s="8">
        <v>6.01</v>
      </c>
      <c r="E4" s="8">
        <v>6.01</v>
      </c>
      <c r="G4" s="166">
        <v>1</v>
      </c>
      <c r="H4" s="19" t="s">
        <v>204</v>
      </c>
      <c r="I4" s="237" t="s">
        <v>205</v>
      </c>
      <c r="J4" s="77">
        <f>C26*L3</f>
        <v>1140.48</v>
      </c>
    </row>
    <row r="5" spans="1:12" ht="14.25" customHeight="1">
      <c r="A5" s="6" t="s">
        <v>5</v>
      </c>
      <c r="B5" s="7">
        <f>'W7 DIESEL 120K'!U3</f>
        <v>6.01</v>
      </c>
      <c r="C5" s="8">
        <v>6.5</v>
      </c>
      <c r="D5" s="8">
        <v>6.5</v>
      </c>
      <c r="E5" s="8">
        <v>6.5</v>
      </c>
      <c r="G5" s="166">
        <v>2</v>
      </c>
      <c r="H5" s="19" t="s">
        <v>206</v>
      </c>
      <c r="I5" s="238"/>
      <c r="J5" s="77">
        <f>C21*L3</f>
        <v>402.72</v>
      </c>
    </row>
    <row r="6" spans="1:12" ht="14.25" customHeight="1">
      <c r="A6" s="6" t="s">
        <v>6</v>
      </c>
      <c r="B6" s="7">
        <f>'W7 DIESEL 120K'!U4</f>
        <v>6.5</v>
      </c>
      <c r="C6" s="8">
        <v>17.55</v>
      </c>
      <c r="D6" s="8">
        <v>17.55</v>
      </c>
      <c r="E6" s="8">
        <v>17.55</v>
      </c>
      <c r="G6" s="166">
        <v>3</v>
      </c>
      <c r="H6" s="19" t="s">
        <v>207</v>
      </c>
      <c r="I6" s="239"/>
      <c r="J6" s="77">
        <f>C22*L3</f>
        <v>232.79999999999998</v>
      </c>
    </row>
    <row r="7" spans="1:12" ht="14.25" customHeight="1">
      <c r="A7" s="6" t="s">
        <v>7</v>
      </c>
      <c r="B7" s="7">
        <f>'W7 DIESEL 120K'!U5</f>
        <v>17.55</v>
      </c>
      <c r="C7" s="8"/>
      <c r="D7" s="8">
        <v>10.45</v>
      </c>
      <c r="E7" s="8"/>
      <c r="G7" s="240" t="s">
        <v>281</v>
      </c>
      <c r="H7" s="241"/>
      <c r="I7" s="234"/>
      <c r="J7" s="170">
        <f>SUM(J4:J6)</f>
        <v>1776</v>
      </c>
    </row>
    <row r="8" spans="1:12" ht="14.25" customHeight="1">
      <c r="A8" s="6" t="s">
        <v>8</v>
      </c>
      <c r="B8" s="7">
        <f>'W7 DIESEL 120K'!U6</f>
        <v>0</v>
      </c>
      <c r="C8" s="8"/>
      <c r="D8" s="8">
        <v>7.69</v>
      </c>
      <c r="E8" s="8"/>
      <c r="G8" s="242" t="s">
        <v>211</v>
      </c>
      <c r="H8" s="243"/>
      <c r="I8" s="243"/>
      <c r="J8" s="243"/>
    </row>
    <row r="9" spans="1:12" ht="14.25" customHeight="1">
      <c r="A9" s="6" t="s">
        <v>9</v>
      </c>
      <c r="B9" s="7">
        <f>'W7 DIESEL 120K'!U7</f>
        <v>0</v>
      </c>
      <c r="C9" s="8"/>
      <c r="D9" s="8">
        <v>26.87</v>
      </c>
      <c r="E9" s="8"/>
    </row>
    <row r="10" spans="1:12" ht="14.25" customHeight="1">
      <c r="A10" s="6" t="s">
        <v>10</v>
      </c>
      <c r="B10" s="7">
        <f>'W7 DIESEL 120K'!U8</f>
        <v>0</v>
      </c>
      <c r="C10" s="8"/>
      <c r="D10" s="8">
        <v>27</v>
      </c>
      <c r="E10" s="8"/>
      <c r="G10" s="236" t="s">
        <v>282</v>
      </c>
      <c r="H10" s="227"/>
      <c r="I10" s="227"/>
      <c r="J10" s="228"/>
      <c r="L10" s="52">
        <v>5</v>
      </c>
    </row>
    <row r="11" spans="1:12" ht="14.25" customHeight="1">
      <c r="A11" s="6" t="s">
        <v>11</v>
      </c>
      <c r="B11" s="7">
        <f>'W7 DIESEL 120K'!U9</f>
        <v>0</v>
      </c>
      <c r="C11" s="8"/>
      <c r="D11" s="8"/>
      <c r="E11" s="8"/>
      <c r="G11" s="166">
        <v>1</v>
      </c>
      <c r="H11" s="19" t="s">
        <v>204</v>
      </c>
      <c r="I11" s="237" t="s">
        <v>205</v>
      </c>
      <c r="J11" s="77">
        <f>D26*L10</f>
        <v>204.89999999999998</v>
      </c>
    </row>
    <row r="12" spans="1:12" ht="14.25" customHeight="1">
      <c r="A12" s="6" t="s">
        <v>12</v>
      </c>
      <c r="B12" s="7">
        <f>'W7 DIESEL 120K'!U10</f>
        <v>0</v>
      </c>
      <c r="C12" s="8"/>
      <c r="D12" s="8">
        <v>5</v>
      </c>
      <c r="E12" s="8"/>
      <c r="G12" s="166">
        <v>2</v>
      </c>
      <c r="H12" s="19" t="s">
        <v>206</v>
      </c>
      <c r="I12" s="238"/>
      <c r="J12" s="77">
        <f>D21*L10</f>
        <v>579.85</v>
      </c>
    </row>
    <row r="13" spans="1:12" ht="14.25" customHeight="1">
      <c r="A13" s="6" t="s">
        <v>13</v>
      </c>
      <c r="B13" s="7">
        <f>'W7 DIESEL 120K'!U11</f>
        <v>0</v>
      </c>
      <c r="C13" s="8"/>
      <c r="D13" s="8">
        <v>5.4</v>
      </c>
      <c r="E13" s="8"/>
      <c r="G13" s="166">
        <v>3</v>
      </c>
      <c r="H13" s="19" t="s">
        <v>207</v>
      </c>
      <c r="I13" s="239"/>
      <c r="J13" s="77">
        <f>D22*L10</f>
        <v>785</v>
      </c>
    </row>
    <row r="14" spans="1:12" ht="14.25" customHeight="1">
      <c r="A14" s="6" t="s">
        <v>14</v>
      </c>
      <c r="B14" s="7">
        <f>'W7 DIESEL 120K'!U12</f>
        <v>0</v>
      </c>
      <c r="C14" s="8"/>
      <c r="D14" s="8"/>
      <c r="E14" s="8"/>
      <c r="G14" s="240" t="s">
        <v>281</v>
      </c>
      <c r="H14" s="241"/>
      <c r="I14" s="234"/>
      <c r="J14" s="170">
        <f>SUM(J11:J13)</f>
        <v>1569.75</v>
      </c>
    </row>
    <row r="15" spans="1:12" ht="14.25" customHeight="1">
      <c r="A15" s="6" t="s">
        <v>15</v>
      </c>
      <c r="B15" s="7">
        <f>'W7 DIESEL 120K'!U13</f>
        <v>0</v>
      </c>
      <c r="C15" s="8"/>
      <c r="D15" s="8"/>
      <c r="E15" s="8"/>
      <c r="G15" s="242" t="s">
        <v>211</v>
      </c>
      <c r="H15" s="243"/>
      <c r="I15" s="243"/>
      <c r="J15" s="243"/>
    </row>
    <row r="16" spans="1:12" ht="14.25" customHeight="1">
      <c r="A16" s="6" t="s">
        <v>16</v>
      </c>
      <c r="B16" s="7">
        <f>'W7 DIESEL 120K'!U14</f>
        <v>0</v>
      </c>
      <c r="C16" s="8">
        <v>31.56</v>
      </c>
      <c r="D16" s="8"/>
      <c r="E16" s="8"/>
    </row>
    <row r="17" spans="1:12" ht="14.25" customHeight="1">
      <c r="A17" s="6" t="s">
        <v>17</v>
      </c>
      <c r="B17" s="7">
        <f>'W7 DIESEL 120K'!U15</f>
        <v>0</v>
      </c>
      <c r="C17" s="8">
        <v>22.5</v>
      </c>
      <c r="D17" s="8"/>
      <c r="E17" s="8"/>
      <c r="G17" s="236" t="s">
        <v>283</v>
      </c>
      <c r="H17" s="227"/>
      <c r="I17" s="227"/>
      <c r="J17" s="228"/>
      <c r="L17" s="52">
        <v>4</v>
      </c>
    </row>
    <row r="18" spans="1:12" ht="14.25" customHeight="1">
      <c r="A18" s="6" t="s">
        <v>18</v>
      </c>
      <c r="B18" s="7">
        <f>'W7 DIESEL 120K'!U16</f>
        <v>0</v>
      </c>
      <c r="C18" s="8">
        <v>3.5</v>
      </c>
      <c r="D18" s="8">
        <v>3.5</v>
      </c>
      <c r="E18" s="8">
        <v>3.5</v>
      </c>
      <c r="G18" s="166">
        <v>1</v>
      </c>
      <c r="H18" s="19" t="s">
        <v>204</v>
      </c>
      <c r="I18" s="237" t="s">
        <v>205</v>
      </c>
      <c r="J18" s="77">
        <f>E26*L17</f>
        <v>163.92</v>
      </c>
    </row>
    <row r="19" spans="1:12" ht="14.25" customHeight="1">
      <c r="A19" s="6" t="s">
        <v>19</v>
      </c>
      <c r="B19" s="7">
        <f>'W7 DIESEL 120K'!U17</f>
        <v>3.5</v>
      </c>
      <c r="C19" s="8"/>
      <c r="D19" s="8"/>
      <c r="E19" s="8"/>
      <c r="G19" s="166">
        <v>2</v>
      </c>
      <c r="H19" s="19" t="s">
        <v>206</v>
      </c>
      <c r="I19" s="238"/>
      <c r="J19" s="77">
        <f>E21*L17</f>
        <v>134.24</v>
      </c>
    </row>
    <row r="20" spans="1:12" ht="14.25" customHeight="1">
      <c r="A20" s="20" t="s">
        <v>20</v>
      </c>
      <c r="B20" s="136">
        <f>'W7 DIESEL 120K'!U18</f>
        <v>0</v>
      </c>
      <c r="C20" s="21">
        <v>0</v>
      </c>
      <c r="D20" s="21">
        <v>0</v>
      </c>
      <c r="E20" s="21">
        <v>0</v>
      </c>
      <c r="G20" s="166">
        <v>3</v>
      </c>
      <c r="H20" s="19" t="s">
        <v>207</v>
      </c>
      <c r="I20" s="239"/>
      <c r="J20" s="77">
        <f>E22*L17</f>
        <v>59.12</v>
      </c>
    </row>
    <row r="21" spans="1:12" ht="14.25" customHeight="1">
      <c r="A21" s="24" t="s">
        <v>21</v>
      </c>
      <c r="B21" s="25">
        <f t="shared" ref="B21:E21" si="0">B4+B5+B6+B7+B9+B10+B11+B12+B13+B15+B18+B8</f>
        <v>71.039999999999992</v>
      </c>
      <c r="C21" s="26">
        <f t="shared" si="0"/>
        <v>33.56</v>
      </c>
      <c r="D21" s="26">
        <f t="shared" si="0"/>
        <v>115.97000000000001</v>
      </c>
      <c r="E21" s="26">
        <f t="shared" si="0"/>
        <v>33.56</v>
      </c>
      <c r="G21" s="240" t="s">
        <v>281</v>
      </c>
      <c r="H21" s="241"/>
      <c r="I21" s="234"/>
      <c r="J21" s="170">
        <f>SUM(J18:J20)</f>
        <v>357.28</v>
      </c>
    </row>
    <row r="22" spans="1:12" ht="14.25" customHeight="1">
      <c r="A22" s="28" t="s">
        <v>22</v>
      </c>
      <c r="B22" s="25">
        <f>'W7 DIESEL 120K'!U20</f>
        <v>33.56</v>
      </c>
      <c r="C22" s="29">
        <v>19.399999999999999</v>
      </c>
      <c r="D22" s="29">
        <v>157</v>
      </c>
      <c r="E22" s="29">
        <v>14.78</v>
      </c>
      <c r="G22" s="242" t="s">
        <v>211</v>
      </c>
      <c r="H22" s="243"/>
      <c r="I22" s="243"/>
      <c r="J22" s="243"/>
    </row>
    <row r="23" spans="1:12" ht="14.25" customHeight="1">
      <c r="A23" s="31" t="s">
        <v>23</v>
      </c>
      <c r="B23" s="32">
        <v>0</v>
      </c>
      <c r="C23" s="33"/>
      <c r="D23" s="33">
        <v>17.16</v>
      </c>
      <c r="E23" s="33"/>
    </row>
    <row r="24" spans="1:12" ht="14.25" customHeight="1">
      <c r="A24" s="6" t="s">
        <v>24</v>
      </c>
      <c r="B24" s="7"/>
      <c r="C24" s="8"/>
      <c r="D24" s="8">
        <v>15.84</v>
      </c>
      <c r="E24" s="8"/>
    </row>
    <row r="25" spans="1:12" ht="14.25" customHeight="1">
      <c r="A25" s="36" t="s">
        <v>25</v>
      </c>
      <c r="B25" s="136">
        <v>0</v>
      </c>
      <c r="C25" s="137"/>
      <c r="D25" s="137"/>
      <c r="E25" s="137"/>
    </row>
    <row r="26" spans="1:12" ht="14.25" customHeight="1">
      <c r="A26" s="208" t="s">
        <v>28</v>
      </c>
      <c r="B26" s="25" t="e">
        <f t="shared" ref="B26:E26" si="1">B3+B14+B16+B17+B19+B20</f>
        <v>#VALUE!</v>
      </c>
      <c r="C26" s="212">
        <f t="shared" si="1"/>
        <v>95.039999999999992</v>
      </c>
      <c r="D26" s="212">
        <f t="shared" si="1"/>
        <v>40.98</v>
      </c>
      <c r="E26" s="212">
        <f t="shared" si="1"/>
        <v>40.98</v>
      </c>
    </row>
    <row r="27" spans="1:12" ht="14.25" customHeight="1">
      <c r="G27" s="218"/>
      <c r="H27" s="215"/>
      <c r="I27" s="215"/>
      <c r="J27" s="215"/>
    </row>
    <row r="28" spans="1:12" ht="14.25" customHeight="1">
      <c r="I28" s="251"/>
      <c r="J28" s="83"/>
    </row>
    <row r="29" spans="1:12" ht="14.25" customHeight="1">
      <c r="I29" s="215"/>
      <c r="J29" s="83"/>
    </row>
    <row r="30" spans="1:12" ht="14.25" customHeight="1">
      <c r="I30" s="215"/>
      <c r="J30" s="83"/>
    </row>
    <row r="31" spans="1:12" ht="14.25" customHeight="1">
      <c r="G31" s="249"/>
      <c r="H31" s="215"/>
      <c r="I31" s="215"/>
      <c r="J31" s="213"/>
    </row>
    <row r="32" spans="1:12" ht="14.25" customHeight="1">
      <c r="G32" s="250"/>
      <c r="H32" s="215"/>
      <c r="I32" s="215"/>
      <c r="J32" s="21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I11:I13"/>
    <mergeCell ref="G14:I14"/>
    <mergeCell ref="G31:I31"/>
    <mergeCell ref="G32:J32"/>
    <mergeCell ref="G15:J15"/>
    <mergeCell ref="G17:J17"/>
    <mergeCell ref="I18:I20"/>
    <mergeCell ref="G21:I21"/>
    <mergeCell ref="G22:J22"/>
    <mergeCell ref="G27:J27"/>
    <mergeCell ref="I28:I30"/>
    <mergeCell ref="G3:J3"/>
    <mergeCell ref="I4:I6"/>
    <mergeCell ref="G7:I7"/>
    <mergeCell ref="G8:J8"/>
    <mergeCell ref="G10:J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W7 DIESEL 120K</vt:lpstr>
      <vt:lpstr>DETALLADO MANT 4X4</vt:lpstr>
      <vt:lpstr>CORRECTIVO</vt:lpstr>
      <vt:lpstr>TABLA GRAL MO-REP</vt:lpstr>
      <vt:lpstr>MANT. CORRECTIVOS SOLICITADOS</vt:lpstr>
      <vt:lpstr>DETALLADO MANT 4X2</vt:lpstr>
      <vt:lpstr>DETALLADO MANT 4X2 - NO APLICA</vt:lpstr>
      <vt:lpstr>DETALLADO MANT 4X2.</vt:lpstr>
      <vt:lpstr>CONSOLIDADO</vt:lpstr>
      <vt:lpstr>PLAN MANTENIMIENTO</vt:lpstr>
      <vt:lpstr>REF. MANT. CORRECTIVO</vt:lpstr>
      <vt:lpstr>REF. MANT. CORRECTIVO COMPLETO</vt:lpstr>
      <vt:lpstr>PLAN MANTENIMEINTO WINGLE 2,8</vt:lpstr>
      <vt:lpstr>MANTENIMIENTOS EPMMOP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ambacar</dc:creator>
  <cp:lastModifiedBy>AMBACAR</cp:lastModifiedBy>
  <dcterms:created xsi:type="dcterms:W3CDTF">2022-08-29T15:32:40Z</dcterms:created>
  <dcterms:modified xsi:type="dcterms:W3CDTF">2026-08-06T18:17:18Z</dcterms:modified>
</cp:coreProperties>
</file>