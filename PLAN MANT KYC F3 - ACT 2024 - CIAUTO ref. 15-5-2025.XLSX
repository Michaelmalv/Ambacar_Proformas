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AMBACAR\Desktop\PROFORMAS INICIO DE PROCESO\"/>
    </mc:Choice>
  </mc:AlternateContent>
  <xr:revisionPtr revIDLastSave="0" documentId="13_ncr:1_{1EFFCBE0-214E-4376-9F81-EDCB7A92299F}" xr6:coauthVersionLast="47" xr6:coauthVersionMax="47" xr10:uidLastSave="{00000000-0000-0000-0000-000000000000}"/>
  <bookViews>
    <workbookView xWindow="28680" yWindow="-120" windowWidth="20730" windowHeight="11040" firstSheet="5" activeTab="5" xr2:uid="{00000000-000D-0000-FFFF-FFFF00000000}"/>
  </bookViews>
  <sheets>
    <sheet name="W7 DIESEL 120K" sheetId="1" state="hidden" r:id="rId1"/>
    <sheet name="DETALLADO MANT 4X4" sheetId="2" state="hidden" r:id="rId2"/>
    <sheet name="CORRECTIVO" sheetId="3" state="hidden" r:id="rId3"/>
    <sheet name="TABLA GRAL MO-REP" sheetId="4" state="hidden" r:id="rId4"/>
    <sheet name="MANT. CORRECTIVOS SOLICITADOS" sheetId="5" state="hidden" r:id="rId5"/>
    <sheet name="DETALLADO MANT 4X2" sheetId="6" r:id="rId6"/>
    <sheet name="DETALLADO MANT 4X2 - NO APLICA" sheetId="7" state="hidden" r:id="rId7"/>
    <sheet name="CONSOLIDADO" sheetId="8" r:id="rId8"/>
    <sheet name="PLAN MANTENIMIENTO" sheetId="9" state="hidden" r:id="rId9"/>
    <sheet name="REF. MANT. CORRECTIVO" sheetId="10" state="hidden" r:id="rId10"/>
    <sheet name="REF. MANT. CORRECTIVO COMPLETO" sheetId="11" r:id="rId11"/>
    <sheet name="PLAN MANTENIMEINTO WINGLE 2,8" sheetId="12" state="hidden" r:id="rId12"/>
    <sheet name="MANTENIMIENTOS EPMMOP" sheetId="13" state="hidden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7" roundtripDataChecksum="Dd+VwMrVl54V84ZYAEsuxKh2XQxok9fSKtS0kEieTG0="/>
    </ext>
  </extLst>
</workbook>
</file>

<file path=xl/calcChain.xml><?xml version="1.0" encoding="utf-8"?>
<calcChain xmlns="http://schemas.openxmlformats.org/spreadsheetml/2006/main">
  <c r="AA30" i="6" l="1"/>
  <c r="X30" i="6"/>
  <c r="Y30" i="6"/>
  <c r="Z30" i="6"/>
  <c r="D29" i="6"/>
  <c r="E29" i="6"/>
  <c r="F29" i="6"/>
  <c r="G29" i="6"/>
  <c r="H29" i="6"/>
  <c r="I29" i="6"/>
  <c r="J29" i="6"/>
  <c r="K29" i="6"/>
  <c r="L29" i="6"/>
  <c r="M29" i="6"/>
  <c r="N29" i="6"/>
  <c r="O29" i="6"/>
  <c r="P29" i="6"/>
  <c r="Q29" i="6"/>
  <c r="R29" i="6"/>
  <c r="S29" i="6"/>
  <c r="T29" i="6"/>
  <c r="U29" i="6"/>
  <c r="V29" i="6"/>
  <c r="W29" i="6"/>
  <c r="X29" i="6"/>
  <c r="Y29" i="6"/>
  <c r="Z29" i="6"/>
  <c r="D22" i="6"/>
  <c r="E22" i="6"/>
  <c r="F22" i="6"/>
  <c r="F30" i="6" s="1"/>
  <c r="G22" i="6"/>
  <c r="H22" i="6"/>
  <c r="I22" i="6"/>
  <c r="J22" i="6"/>
  <c r="K22" i="6"/>
  <c r="L22" i="6"/>
  <c r="M22" i="6"/>
  <c r="N22" i="6"/>
  <c r="N30" i="6" s="1"/>
  <c r="O22" i="6"/>
  <c r="P22" i="6"/>
  <c r="Q22" i="6"/>
  <c r="R22" i="6"/>
  <c r="S22" i="6"/>
  <c r="T22" i="6"/>
  <c r="U22" i="6"/>
  <c r="V22" i="6"/>
  <c r="V30" i="6" s="1"/>
  <c r="W22" i="6"/>
  <c r="X22" i="6"/>
  <c r="Y22" i="6"/>
  <c r="Z22" i="6"/>
  <c r="D10" i="6"/>
  <c r="E10" i="6"/>
  <c r="F10" i="6"/>
  <c r="G10" i="6"/>
  <c r="H10" i="6"/>
  <c r="I10" i="6"/>
  <c r="J10" i="6"/>
  <c r="K10" i="6"/>
  <c r="L10" i="6"/>
  <c r="M10" i="6"/>
  <c r="N10" i="6"/>
  <c r="O10" i="6"/>
  <c r="O30" i="6" s="1"/>
  <c r="P10" i="6"/>
  <c r="P30" i="6" s="1"/>
  <c r="Q10" i="6"/>
  <c r="Q30" i="6" s="1"/>
  <c r="R10" i="6"/>
  <c r="S10" i="6"/>
  <c r="T10" i="6"/>
  <c r="U10" i="6"/>
  <c r="V10" i="6"/>
  <c r="W10" i="6"/>
  <c r="X10" i="6"/>
  <c r="Y10" i="6"/>
  <c r="Z10" i="6"/>
  <c r="AA30" i="2"/>
  <c r="D30" i="2"/>
  <c r="E30" i="2"/>
  <c r="F30" i="2"/>
  <c r="G30" i="2"/>
  <c r="G31" i="2" s="1"/>
  <c r="H30" i="2"/>
  <c r="I30" i="2"/>
  <c r="J30" i="2"/>
  <c r="K30" i="2"/>
  <c r="L30" i="2"/>
  <c r="M30" i="2"/>
  <c r="N30" i="2"/>
  <c r="O30" i="2"/>
  <c r="P30" i="2"/>
  <c r="Q30" i="2"/>
  <c r="R30" i="2"/>
  <c r="S30" i="2"/>
  <c r="T30" i="2"/>
  <c r="U30" i="2"/>
  <c r="V30" i="2"/>
  <c r="W30" i="2"/>
  <c r="X30" i="2"/>
  <c r="Y30" i="2"/>
  <c r="Y31" i="2" s="1"/>
  <c r="Z30" i="2"/>
  <c r="Z31" i="2" s="1"/>
  <c r="AA23" i="2"/>
  <c r="D23" i="2"/>
  <c r="E23" i="2"/>
  <c r="F23" i="2"/>
  <c r="G23" i="2"/>
  <c r="H23" i="2"/>
  <c r="I23" i="2"/>
  <c r="I31" i="2" s="1"/>
  <c r="J23" i="2"/>
  <c r="J31" i="2" s="1"/>
  <c r="K23" i="2"/>
  <c r="L23" i="2"/>
  <c r="M23" i="2"/>
  <c r="N23" i="2"/>
  <c r="O23" i="2"/>
  <c r="P23" i="2"/>
  <c r="Q23" i="2"/>
  <c r="Q31" i="2" s="1"/>
  <c r="R23" i="2"/>
  <c r="R31" i="2" s="1"/>
  <c r="S23" i="2"/>
  <c r="T23" i="2"/>
  <c r="U23" i="2"/>
  <c r="V23" i="2"/>
  <c r="W23" i="2"/>
  <c r="W31" i="2" s="1"/>
  <c r="X23" i="2"/>
  <c r="X31" i="2" s="1"/>
  <c r="Y23" i="2"/>
  <c r="Z23" i="2"/>
  <c r="AA10" i="2"/>
  <c r="D10" i="2"/>
  <c r="E10" i="2"/>
  <c r="F10" i="2"/>
  <c r="G10" i="2"/>
  <c r="H10" i="2"/>
  <c r="I10" i="2"/>
  <c r="J10" i="2"/>
  <c r="K10" i="2"/>
  <c r="K31" i="2" s="1"/>
  <c r="L10" i="2"/>
  <c r="M10" i="2"/>
  <c r="N10" i="2"/>
  <c r="O10" i="2"/>
  <c r="P10" i="2"/>
  <c r="Q10" i="2"/>
  <c r="R10" i="2"/>
  <c r="S10" i="2"/>
  <c r="T10" i="2"/>
  <c r="U10" i="2"/>
  <c r="V10" i="2"/>
  <c r="W10" i="2"/>
  <c r="X10" i="2"/>
  <c r="Y10" i="2"/>
  <c r="Z10" i="2"/>
  <c r="E26" i="13"/>
  <c r="D26" i="13"/>
  <c r="C26" i="13"/>
  <c r="E21" i="13"/>
  <c r="J19" i="13" s="1"/>
  <c r="D21" i="13"/>
  <c r="J12" i="13" s="1"/>
  <c r="J14" i="13" s="1"/>
  <c r="C21" i="13"/>
  <c r="J20" i="13"/>
  <c r="B20" i="13"/>
  <c r="J18" i="13"/>
  <c r="B18" i="13"/>
  <c r="B17" i="13"/>
  <c r="B16" i="13"/>
  <c r="B15" i="13"/>
  <c r="B14" i="13"/>
  <c r="J13" i="13"/>
  <c r="B13" i="13"/>
  <c r="B12" i="13"/>
  <c r="J11" i="13"/>
  <c r="B11" i="13"/>
  <c r="B10" i="13"/>
  <c r="B9" i="13"/>
  <c r="B8" i="13"/>
  <c r="J7" i="13"/>
  <c r="B7" i="13"/>
  <c r="J6" i="13"/>
  <c r="J5" i="13"/>
  <c r="J4" i="13"/>
  <c r="B4" i="13"/>
  <c r="B3" i="13"/>
  <c r="Y30" i="12"/>
  <c r="Q30" i="12"/>
  <c r="I30" i="12"/>
  <c r="Y29" i="12"/>
  <c r="X29" i="12"/>
  <c r="W29" i="12"/>
  <c r="V29" i="12"/>
  <c r="U29" i="12"/>
  <c r="T29" i="12"/>
  <c r="S29" i="12"/>
  <c r="R29" i="12"/>
  <c r="R30" i="12" s="1"/>
  <c r="Q29" i="12"/>
  <c r="P29" i="12"/>
  <c r="O29" i="12"/>
  <c r="N29" i="12"/>
  <c r="M29" i="12"/>
  <c r="L29" i="12"/>
  <c r="K29" i="12"/>
  <c r="J29" i="12"/>
  <c r="J30" i="12" s="1"/>
  <c r="I29" i="12"/>
  <c r="H29" i="12"/>
  <c r="G29" i="12"/>
  <c r="F29" i="12"/>
  <c r="E29" i="12"/>
  <c r="D29" i="12"/>
  <c r="C29" i="12"/>
  <c r="B29" i="12"/>
  <c r="B30" i="12" s="1"/>
  <c r="Y24" i="12"/>
  <c r="X24" i="12"/>
  <c r="W24" i="12"/>
  <c r="V24" i="12"/>
  <c r="U24" i="12"/>
  <c r="T24" i="12"/>
  <c r="S24" i="12"/>
  <c r="S30" i="12" s="1"/>
  <c r="R24" i="12"/>
  <c r="Q24" i="12"/>
  <c r="P24" i="12"/>
  <c r="O24" i="12"/>
  <c r="N24" i="12"/>
  <c r="M24" i="12"/>
  <c r="L24" i="12"/>
  <c r="K24" i="12"/>
  <c r="K30" i="12" s="1"/>
  <c r="J24" i="12"/>
  <c r="I24" i="12"/>
  <c r="H24" i="12"/>
  <c r="G24" i="12"/>
  <c r="F24" i="12"/>
  <c r="E24" i="12"/>
  <c r="D24" i="12"/>
  <c r="C24" i="12"/>
  <c r="C30" i="12" s="1"/>
  <c r="B24" i="12"/>
  <c r="Y9" i="12"/>
  <c r="X9" i="12"/>
  <c r="X30" i="12" s="1"/>
  <c r="W9" i="12"/>
  <c r="W30" i="12" s="1"/>
  <c r="V9" i="12"/>
  <c r="V30" i="12" s="1"/>
  <c r="U9" i="12"/>
  <c r="U30" i="12" s="1"/>
  <c r="T9" i="12"/>
  <c r="T30" i="12" s="1"/>
  <c r="S9" i="12"/>
  <c r="R9" i="12"/>
  <c r="Q9" i="12"/>
  <c r="P9" i="12"/>
  <c r="P30" i="12" s="1"/>
  <c r="O9" i="12"/>
  <c r="O30" i="12" s="1"/>
  <c r="N9" i="12"/>
  <c r="N30" i="12" s="1"/>
  <c r="M9" i="12"/>
  <c r="M30" i="12" s="1"/>
  <c r="L9" i="12"/>
  <c r="L30" i="12" s="1"/>
  <c r="K9" i="12"/>
  <c r="J9" i="12"/>
  <c r="I9" i="12"/>
  <c r="H9" i="12"/>
  <c r="H30" i="12" s="1"/>
  <c r="G9" i="12"/>
  <c r="G30" i="12" s="1"/>
  <c r="F9" i="12"/>
  <c r="F30" i="12" s="1"/>
  <c r="E9" i="12"/>
  <c r="E30" i="12" s="1"/>
  <c r="D9" i="12"/>
  <c r="D30" i="12" s="1"/>
  <c r="C9" i="12"/>
  <c r="B9" i="12"/>
  <c r="Z9" i="12" s="1"/>
  <c r="F48" i="11"/>
  <c r="F47" i="11"/>
  <c r="F46" i="11"/>
  <c r="G46" i="11" s="1"/>
  <c r="H46" i="11" s="1"/>
  <c r="F45" i="11"/>
  <c r="G45" i="11" s="1"/>
  <c r="G44" i="11"/>
  <c r="H44" i="11" s="1"/>
  <c r="F44" i="11"/>
  <c r="F43" i="11"/>
  <c r="F42" i="11"/>
  <c r="H41" i="11"/>
  <c r="G41" i="11"/>
  <c r="F41" i="11"/>
  <c r="F40" i="11"/>
  <c r="F39" i="11"/>
  <c r="F38" i="11"/>
  <c r="G38" i="11" s="1"/>
  <c r="H38" i="11" s="1"/>
  <c r="F37" i="11"/>
  <c r="G37" i="11" s="1"/>
  <c r="G36" i="11"/>
  <c r="H36" i="11" s="1"/>
  <c r="F36" i="11"/>
  <c r="F35" i="11"/>
  <c r="F34" i="11"/>
  <c r="H33" i="11"/>
  <c r="G33" i="11"/>
  <c r="F33" i="11"/>
  <c r="F32" i="11"/>
  <c r="F31" i="11"/>
  <c r="F30" i="11"/>
  <c r="G30" i="11" s="1"/>
  <c r="H30" i="11" s="1"/>
  <c r="F29" i="11"/>
  <c r="G29" i="11" s="1"/>
  <c r="G28" i="11"/>
  <c r="H28" i="11" s="1"/>
  <c r="F28" i="11"/>
  <c r="F27" i="11"/>
  <c r="F26" i="11"/>
  <c r="H25" i="11"/>
  <c r="G25" i="11"/>
  <c r="F25" i="11"/>
  <c r="F24" i="11"/>
  <c r="F23" i="11"/>
  <c r="F22" i="11"/>
  <c r="F21" i="11"/>
  <c r="G20" i="11"/>
  <c r="H20" i="11" s="1"/>
  <c r="F20" i="11"/>
  <c r="F19" i="11"/>
  <c r="F18" i="11"/>
  <c r="H17" i="11"/>
  <c r="F17" i="11"/>
  <c r="G17" i="11" s="1"/>
  <c r="F16" i="11"/>
  <c r="F15" i="11"/>
  <c r="F14" i="11"/>
  <c r="F13" i="11"/>
  <c r="G9" i="11"/>
  <c r="H9" i="11" s="1"/>
  <c r="F9" i="11"/>
  <c r="F8" i="11"/>
  <c r="F7" i="11"/>
  <c r="H6" i="11"/>
  <c r="G6" i="11"/>
  <c r="F6" i="11"/>
  <c r="F5" i="11"/>
  <c r="F4" i="11"/>
  <c r="E29" i="10"/>
  <c r="D29" i="10"/>
  <c r="C29" i="10"/>
  <c r="E28" i="10"/>
  <c r="E30" i="10" s="1"/>
  <c r="D28" i="10"/>
  <c r="D30" i="10" s="1"/>
  <c r="C28" i="10"/>
  <c r="G27" i="10"/>
  <c r="H27" i="10" s="1"/>
  <c r="F27" i="10"/>
  <c r="F26" i="10"/>
  <c r="F25" i="10"/>
  <c r="F24" i="10"/>
  <c r="G24" i="10" s="1"/>
  <c r="H24" i="10" s="1"/>
  <c r="F23" i="10"/>
  <c r="F22" i="10"/>
  <c r="F21" i="10"/>
  <c r="F20" i="10"/>
  <c r="G19" i="10"/>
  <c r="H19" i="10" s="1"/>
  <c r="F19" i="10"/>
  <c r="F18" i="10"/>
  <c r="F17" i="10"/>
  <c r="H16" i="10"/>
  <c r="F16" i="10"/>
  <c r="G16" i="10" s="1"/>
  <c r="F15" i="10"/>
  <c r="F14" i="10"/>
  <c r="F13" i="10"/>
  <c r="F12" i="10"/>
  <c r="G12" i="10" s="1"/>
  <c r="G11" i="10"/>
  <c r="H11" i="10" s="1"/>
  <c r="F11" i="10"/>
  <c r="F10" i="10"/>
  <c r="F9" i="10"/>
  <c r="F8" i="10"/>
  <c r="G8" i="10" s="1"/>
  <c r="H8" i="10" s="1"/>
  <c r="F7" i="10"/>
  <c r="F6" i="10"/>
  <c r="F5" i="10"/>
  <c r="F4" i="10"/>
  <c r="F28" i="10" s="1"/>
  <c r="S28" i="7"/>
  <c r="K28" i="7"/>
  <c r="C28" i="7"/>
  <c r="Z27" i="7"/>
  <c r="Y27" i="7"/>
  <c r="X27" i="7"/>
  <c r="W27" i="7"/>
  <c r="V27" i="7"/>
  <c r="V28" i="7" s="1"/>
  <c r="U27" i="7"/>
  <c r="U28" i="7" s="1"/>
  <c r="T27" i="7"/>
  <c r="T28" i="7" s="1"/>
  <c r="S27" i="7"/>
  <c r="R27" i="7"/>
  <c r="Q27" i="7"/>
  <c r="P27" i="7"/>
  <c r="O27" i="7"/>
  <c r="N27" i="7"/>
  <c r="N28" i="7" s="1"/>
  <c r="M27" i="7"/>
  <c r="M28" i="7" s="1"/>
  <c r="L27" i="7"/>
  <c r="L28" i="7" s="1"/>
  <c r="K27" i="7"/>
  <c r="J27" i="7"/>
  <c r="I27" i="7"/>
  <c r="H27" i="7"/>
  <c r="G27" i="7"/>
  <c r="F27" i="7"/>
  <c r="F28" i="7" s="1"/>
  <c r="E27" i="7"/>
  <c r="E28" i="7" s="1"/>
  <c r="D27" i="7"/>
  <c r="D28" i="7" s="1"/>
  <c r="C27" i="7"/>
  <c r="AA23" i="7"/>
  <c r="Z22" i="7"/>
  <c r="Z28" i="7" s="1"/>
  <c r="Y22" i="7"/>
  <c r="Y28" i="7" s="1"/>
  <c r="X22" i="7"/>
  <c r="X28" i="7" s="1"/>
  <c r="W22" i="7"/>
  <c r="W28" i="7" s="1"/>
  <c r="V22" i="7"/>
  <c r="U22" i="7"/>
  <c r="T22" i="7"/>
  <c r="S22" i="7"/>
  <c r="R22" i="7"/>
  <c r="R28" i="7" s="1"/>
  <c r="Q22" i="7"/>
  <c r="Q28" i="7" s="1"/>
  <c r="P22" i="7"/>
  <c r="P28" i="7" s="1"/>
  <c r="O22" i="7"/>
  <c r="O28" i="7" s="1"/>
  <c r="N22" i="7"/>
  <c r="M22" i="7"/>
  <c r="L22" i="7"/>
  <c r="K22" i="7"/>
  <c r="J22" i="7"/>
  <c r="J28" i="7" s="1"/>
  <c r="I22" i="7"/>
  <c r="I28" i="7" s="1"/>
  <c r="H22" i="7"/>
  <c r="H28" i="7" s="1"/>
  <c r="G22" i="7"/>
  <c r="G28" i="7" s="1"/>
  <c r="F22" i="7"/>
  <c r="E22" i="7"/>
  <c r="D22" i="7"/>
  <c r="C22" i="7"/>
  <c r="B20" i="7"/>
  <c r="B19" i="7"/>
  <c r="B16" i="7"/>
  <c r="B15" i="7"/>
  <c r="B14" i="7"/>
  <c r="B13" i="7"/>
  <c r="B12" i="7"/>
  <c r="B11" i="7"/>
  <c r="B10" i="7"/>
  <c r="B9" i="7"/>
  <c r="B8" i="7"/>
  <c r="B7" i="7"/>
  <c r="B4" i="7"/>
  <c r="B3" i="7"/>
  <c r="C29" i="6"/>
  <c r="C22" i="6"/>
  <c r="B19" i="6"/>
  <c r="B18" i="6"/>
  <c r="B17" i="6"/>
  <c r="B16" i="6"/>
  <c r="B15" i="6"/>
  <c r="B14" i="6"/>
  <c r="B13" i="6"/>
  <c r="B11" i="6"/>
  <c r="C10" i="6"/>
  <c r="B9" i="6"/>
  <c r="B5" i="6"/>
  <c r="B4" i="6"/>
  <c r="H15" i="5"/>
  <c r="H14" i="5"/>
  <c r="H13" i="5"/>
  <c r="H12" i="5"/>
  <c r="H11" i="5"/>
  <c r="H10" i="5"/>
  <c r="H9" i="5"/>
  <c r="H8" i="5"/>
  <c r="H7" i="5"/>
  <c r="H6" i="5"/>
  <c r="H5" i="5"/>
  <c r="H4" i="5"/>
  <c r="H3" i="5"/>
  <c r="H16" i="5" s="1"/>
  <c r="E27" i="4"/>
  <c r="D27" i="4"/>
  <c r="C27" i="4"/>
  <c r="F27" i="4" s="1"/>
  <c r="F26" i="4"/>
  <c r="E25" i="4"/>
  <c r="D25" i="4"/>
  <c r="F25" i="4" s="1"/>
  <c r="C25" i="4"/>
  <c r="F24" i="4"/>
  <c r="E23" i="4"/>
  <c r="D23" i="4"/>
  <c r="C23" i="4"/>
  <c r="F23" i="4" s="1"/>
  <c r="F22" i="4"/>
  <c r="F21" i="4"/>
  <c r="E21" i="4"/>
  <c r="D21" i="4"/>
  <c r="C21" i="4"/>
  <c r="F20" i="4"/>
  <c r="E19" i="4"/>
  <c r="D19" i="4"/>
  <c r="C19" i="4"/>
  <c r="F19" i="4" s="1"/>
  <c r="F18" i="4"/>
  <c r="E17" i="4"/>
  <c r="C17" i="4"/>
  <c r="F16" i="4"/>
  <c r="E15" i="4"/>
  <c r="F14" i="4"/>
  <c r="E13" i="4"/>
  <c r="C13" i="4"/>
  <c r="F12" i="4"/>
  <c r="E11" i="4"/>
  <c r="F10" i="4"/>
  <c r="E9" i="4"/>
  <c r="E28" i="4" s="1"/>
  <c r="E29" i="4" s="1"/>
  <c r="D9" i="4"/>
  <c r="F8" i="4"/>
  <c r="E7" i="4"/>
  <c r="D7" i="4"/>
  <c r="F6" i="4"/>
  <c r="E5" i="4"/>
  <c r="E4" i="4"/>
  <c r="D4" i="4"/>
  <c r="J28" i="3"/>
  <c r="I28" i="3"/>
  <c r="K27" i="3"/>
  <c r="K26" i="3"/>
  <c r="D26" i="3"/>
  <c r="K25" i="3"/>
  <c r="L25" i="3" s="1"/>
  <c r="M25" i="3" s="1"/>
  <c r="D25" i="3"/>
  <c r="K24" i="3"/>
  <c r="M23" i="3"/>
  <c r="L23" i="3"/>
  <c r="K23" i="3"/>
  <c r="E22" i="3"/>
  <c r="K22" i="3" s="1"/>
  <c r="L21" i="3"/>
  <c r="E21" i="3"/>
  <c r="K21" i="3" s="1"/>
  <c r="M21" i="3" s="1"/>
  <c r="K20" i="3"/>
  <c r="L19" i="3"/>
  <c r="K19" i="3"/>
  <c r="E19" i="3"/>
  <c r="E18" i="3"/>
  <c r="K18" i="3" s="1"/>
  <c r="K17" i="3"/>
  <c r="L17" i="3" s="1"/>
  <c r="E17" i="3"/>
  <c r="K16" i="3"/>
  <c r="K15" i="3"/>
  <c r="E15" i="3"/>
  <c r="K14" i="3"/>
  <c r="E13" i="3"/>
  <c r="K13" i="3" s="1"/>
  <c r="E12" i="3"/>
  <c r="K12" i="3" s="1"/>
  <c r="L12" i="3" s="1"/>
  <c r="E11" i="3"/>
  <c r="K11" i="3" s="1"/>
  <c r="K10" i="3"/>
  <c r="L10" i="3" s="1"/>
  <c r="M10" i="3" s="1"/>
  <c r="K9" i="3"/>
  <c r="D9" i="3"/>
  <c r="M8" i="3"/>
  <c r="L8" i="3"/>
  <c r="K8" i="3"/>
  <c r="E7" i="3"/>
  <c r="K7" i="3" s="1"/>
  <c r="K6" i="3"/>
  <c r="E6" i="3"/>
  <c r="K5" i="3"/>
  <c r="K4" i="3"/>
  <c r="E4" i="3"/>
  <c r="T31" i="2"/>
  <c r="L31" i="2"/>
  <c r="U31" i="2"/>
  <c r="M31" i="2"/>
  <c r="E31" i="2"/>
  <c r="D31" i="2"/>
  <c r="C30" i="2"/>
  <c r="O31" i="2"/>
  <c r="C23" i="2"/>
  <c r="B19" i="2"/>
  <c r="B18" i="2"/>
  <c r="B17" i="2"/>
  <c r="B16" i="2"/>
  <c r="B15" i="2"/>
  <c r="B14" i="2"/>
  <c r="B13" i="2"/>
  <c r="B11" i="2"/>
  <c r="H31" i="2"/>
  <c r="C10" i="2"/>
  <c r="C31" i="2" s="1"/>
  <c r="B9" i="2"/>
  <c r="B5" i="2"/>
  <c r="B4" i="2"/>
  <c r="O28" i="1"/>
  <c r="N28" i="1"/>
  <c r="M28" i="1"/>
  <c r="L28" i="1"/>
  <c r="K28" i="1"/>
  <c r="J28" i="1"/>
  <c r="I28" i="1"/>
  <c r="H28" i="1"/>
  <c r="U27" i="1"/>
  <c r="J27" i="1"/>
  <c r="I27" i="1"/>
  <c r="C15" i="4" s="1"/>
  <c r="H27" i="1"/>
  <c r="G27" i="1"/>
  <c r="C11" i="4" s="1"/>
  <c r="F27" i="1"/>
  <c r="C9" i="4" s="1"/>
  <c r="F9" i="4" s="1"/>
  <c r="E27" i="1"/>
  <c r="C7" i="4" s="1"/>
  <c r="F7" i="4" s="1"/>
  <c r="D27" i="1"/>
  <c r="C27" i="1"/>
  <c r="C28" i="1" s="1"/>
  <c r="F26" i="1"/>
  <c r="J25" i="1"/>
  <c r="I25" i="1"/>
  <c r="H25" i="1"/>
  <c r="G25" i="1"/>
  <c r="F25" i="1"/>
  <c r="U21" i="1"/>
  <c r="J20" i="1"/>
  <c r="J26" i="1" s="1"/>
  <c r="I20" i="1"/>
  <c r="D15" i="4" s="1"/>
  <c r="H20" i="1"/>
  <c r="G20" i="1"/>
  <c r="F20" i="1"/>
  <c r="F28" i="1" s="1"/>
  <c r="E20" i="1"/>
  <c r="E28" i="1" s="1"/>
  <c r="D20" i="1"/>
  <c r="D5" i="4" s="1"/>
  <c r="C20" i="1"/>
  <c r="B19" i="1"/>
  <c r="B18" i="1"/>
  <c r="U17" i="1"/>
  <c r="B16" i="1"/>
  <c r="B15" i="1"/>
  <c r="B14" i="1"/>
  <c r="B13" i="1"/>
  <c r="B12" i="1"/>
  <c r="B11" i="1"/>
  <c r="B10" i="1"/>
  <c r="B9" i="1"/>
  <c r="B8" i="1"/>
  <c r="B7" i="1"/>
  <c r="B6" i="1"/>
  <c r="U5" i="1"/>
  <c r="B6" i="7" s="1"/>
  <c r="B5" i="1"/>
  <c r="U4" i="1"/>
  <c r="B4" i="1"/>
  <c r="U3" i="1"/>
  <c r="B3" i="1" s="1"/>
  <c r="U2" i="1"/>
  <c r="B3" i="6" s="1"/>
  <c r="B2" i="1"/>
  <c r="B27" i="1" s="1"/>
  <c r="P27" i="1" s="1"/>
  <c r="E30" i="6" l="1"/>
  <c r="T30" i="6"/>
  <c r="S30" i="6"/>
  <c r="K30" i="6"/>
  <c r="I30" i="6"/>
  <c r="U30" i="6"/>
  <c r="D30" i="6"/>
  <c r="J30" i="6"/>
  <c r="H30" i="6"/>
  <c r="M30" i="6"/>
  <c r="L30" i="6"/>
  <c r="AA29" i="6"/>
  <c r="R30" i="6"/>
  <c r="W30" i="6"/>
  <c r="G30" i="6"/>
  <c r="C30" i="6"/>
  <c r="AA10" i="6"/>
  <c r="S31" i="2"/>
  <c r="P31" i="2"/>
  <c r="F31" i="2"/>
  <c r="N31" i="2"/>
  <c r="V31" i="2"/>
  <c r="AA22" i="6"/>
  <c r="E12" i="8" s="1"/>
  <c r="L15" i="3"/>
  <c r="M15" i="3" s="1"/>
  <c r="F29" i="10"/>
  <c r="F30" i="10" s="1"/>
  <c r="G6" i="10"/>
  <c r="H6" i="10"/>
  <c r="D28" i="1"/>
  <c r="C5" i="4"/>
  <c r="F5" i="4" s="1"/>
  <c r="M19" i="3"/>
  <c r="I29" i="3"/>
  <c r="I30" i="3" s="1"/>
  <c r="E11" i="8"/>
  <c r="G22" i="10"/>
  <c r="H22" i="10" s="1"/>
  <c r="C30" i="10"/>
  <c r="H26" i="11"/>
  <c r="H21" i="11"/>
  <c r="E13" i="8"/>
  <c r="B26" i="13"/>
  <c r="B18" i="7"/>
  <c r="B17" i="1"/>
  <c r="B20" i="1" s="1"/>
  <c r="B20" i="2"/>
  <c r="B19" i="13"/>
  <c r="H26" i="1"/>
  <c r="D13" i="4"/>
  <c r="F13" i="4" s="1"/>
  <c r="L7" i="3"/>
  <c r="M7" i="3" s="1"/>
  <c r="L11" i="3"/>
  <c r="M11" i="3" s="1"/>
  <c r="G23" i="11"/>
  <c r="H23" i="11"/>
  <c r="H34" i="11"/>
  <c r="G47" i="11"/>
  <c r="H47" i="11"/>
  <c r="H27" i="11"/>
  <c r="B6" i="13"/>
  <c r="B5" i="7"/>
  <c r="B12" i="6"/>
  <c r="B22" i="6" s="1"/>
  <c r="B12" i="2"/>
  <c r="B23" i="2" s="1"/>
  <c r="F15" i="4"/>
  <c r="E28" i="3"/>
  <c r="M12" i="3"/>
  <c r="C4" i="4"/>
  <c r="AA27" i="7"/>
  <c r="H48" i="11"/>
  <c r="H10" i="10"/>
  <c r="G15" i="11"/>
  <c r="H15" i="11" s="1"/>
  <c r="G39" i="11"/>
  <c r="H39" i="11"/>
  <c r="G28" i="1"/>
  <c r="G26" i="1"/>
  <c r="D11" i="4"/>
  <c r="F11" i="4" s="1"/>
  <c r="M24" i="3"/>
  <c r="L24" i="3"/>
  <c r="M17" i="3"/>
  <c r="AA22" i="7"/>
  <c r="B29" i="6"/>
  <c r="U25" i="1"/>
  <c r="B30" i="2"/>
  <c r="B21" i="1"/>
  <c r="B23" i="7"/>
  <c r="E3" i="8"/>
  <c r="K28" i="3"/>
  <c r="L4" i="3"/>
  <c r="M4" i="3"/>
  <c r="L13" i="3"/>
  <c r="M13" i="3"/>
  <c r="M18" i="3"/>
  <c r="L18" i="3"/>
  <c r="M22" i="3"/>
  <c r="L22" i="3"/>
  <c r="L26" i="3"/>
  <c r="M26" i="3" s="1"/>
  <c r="B27" i="7"/>
  <c r="G14" i="10"/>
  <c r="H14" i="10"/>
  <c r="H20" i="10"/>
  <c r="G4" i="11"/>
  <c r="H4" i="11" s="1"/>
  <c r="H19" i="11"/>
  <c r="G31" i="11"/>
  <c r="H31" i="11" s="1"/>
  <c r="Z24" i="12"/>
  <c r="Z29" i="12"/>
  <c r="J29" i="3"/>
  <c r="J30" i="3"/>
  <c r="L6" i="3"/>
  <c r="M6" i="3" s="1"/>
  <c r="H22" i="11"/>
  <c r="E4" i="8"/>
  <c r="E5" i="8"/>
  <c r="M5" i="3"/>
  <c r="M27" i="3"/>
  <c r="E30" i="4"/>
  <c r="E31" i="4" s="1"/>
  <c r="B22" i="7"/>
  <c r="H5" i="11"/>
  <c r="H13" i="11"/>
  <c r="H32" i="11"/>
  <c r="H43" i="11"/>
  <c r="J21" i="13"/>
  <c r="G9" i="10"/>
  <c r="H9" i="10" s="1"/>
  <c r="G25" i="10"/>
  <c r="H25" i="10" s="1"/>
  <c r="G7" i="11"/>
  <c r="H7" i="11" s="1"/>
  <c r="G18" i="11"/>
  <c r="H18" i="11" s="1"/>
  <c r="G26" i="11"/>
  <c r="G34" i="11"/>
  <c r="G42" i="11"/>
  <c r="H42" i="11" s="1"/>
  <c r="G17" i="10"/>
  <c r="H17" i="10" s="1"/>
  <c r="G4" i="10"/>
  <c r="G20" i="10"/>
  <c r="G13" i="11"/>
  <c r="G21" i="11"/>
  <c r="L9" i="3"/>
  <c r="M9" i="3" s="1"/>
  <c r="L20" i="3"/>
  <c r="M20" i="3" s="1"/>
  <c r="D17" i="4"/>
  <c r="F17" i="4" s="1"/>
  <c r="H4" i="10"/>
  <c r="G7" i="10"/>
  <c r="H7" i="10" s="1"/>
  <c r="H12" i="10"/>
  <c r="G15" i="10"/>
  <c r="H15" i="10" s="1"/>
  <c r="G23" i="10"/>
  <c r="H23" i="10" s="1"/>
  <c r="G5" i="11"/>
  <c r="G16" i="11"/>
  <c r="H16" i="11" s="1"/>
  <c r="G24" i="11"/>
  <c r="H24" i="11" s="1"/>
  <c r="H29" i="11"/>
  <c r="G32" i="11"/>
  <c r="H37" i="11"/>
  <c r="G40" i="11"/>
  <c r="H40" i="11" s="1"/>
  <c r="H45" i="11"/>
  <c r="G48" i="11"/>
  <c r="B5" i="13"/>
  <c r="B21" i="13" s="1"/>
  <c r="I26" i="1"/>
  <c r="U20" i="1"/>
  <c r="B3" i="2"/>
  <c r="L5" i="3"/>
  <c r="L16" i="3"/>
  <c r="M16" i="3" s="1"/>
  <c r="L27" i="3"/>
  <c r="G10" i="10"/>
  <c r="G18" i="10"/>
  <c r="H18" i="10" s="1"/>
  <c r="G26" i="10"/>
  <c r="H26" i="10" s="1"/>
  <c r="G8" i="11"/>
  <c r="H8" i="11" s="1"/>
  <c r="G19" i="11"/>
  <c r="G27" i="11"/>
  <c r="G35" i="11"/>
  <c r="H35" i="11" s="1"/>
  <c r="G43" i="11"/>
  <c r="L14" i="3"/>
  <c r="M14" i="3" s="1"/>
  <c r="G5" i="10"/>
  <c r="H5" i="10" s="1"/>
  <c r="G13" i="10"/>
  <c r="H13" i="10" s="1"/>
  <c r="G21" i="10"/>
  <c r="H21" i="10" s="1"/>
  <c r="G14" i="11"/>
  <c r="H14" i="11" s="1"/>
  <c r="G22" i="11"/>
  <c r="E32" i="4" l="1"/>
  <c r="E33" i="4" s="1"/>
  <c r="P20" i="1"/>
  <c r="B28" i="1"/>
  <c r="B26" i="1"/>
  <c r="E29" i="3"/>
  <c r="E30" i="3"/>
  <c r="U26" i="1"/>
  <c r="B22" i="13"/>
  <c r="H28" i="10"/>
  <c r="D28" i="4"/>
  <c r="D29" i="4" s="1"/>
  <c r="F4" i="4"/>
  <c r="F28" i="4" s="1"/>
  <c r="C28" i="4"/>
  <c r="C29" i="4" s="1"/>
  <c r="E14" i="8"/>
  <c r="E15" i="8" s="1"/>
  <c r="P21" i="1"/>
  <c r="B25" i="1"/>
  <c r="M28" i="3"/>
  <c r="K29" i="3"/>
  <c r="K30" i="3" s="1"/>
  <c r="L28" i="3"/>
  <c r="G28" i="10"/>
  <c r="E6" i="8"/>
  <c r="E7" i="8" s="1"/>
  <c r="D30" i="4" l="1"/>
  <c r="D31" i="4" s="1"/>
  <c r="L29" i="3"/>
  <c r="L30" i="3" s="1"/>
  <c r="F29" i="4"/>
  <c r="C30" i="4"/>
  <c r="F30" i="4" s="1"/>
  <c r="J29" i="1"/>
  <c r="O29" i="1"/>
  <c r="P28" i="1"/>
  <c r="M29" i="3"/>
  <c r="M30" i="3" s="1"/>
  <c r="D32" i="4" l="1"/>
  <c r="D33" i="4"/>
  <c r="C31" i="4"/>
  <c r="Q28" i="1"/>
  <c r="P30" i="1" s="1"/>
  <c r="F31" i="4" l="1"/>
  <c r="C33" i="4"/>
  <c r="F33" i="4" s="1"/>
  <c r="C32" i="4"/>
  <c r="F32" i="4" s="1"/>
</calcChain>
</file>

<file path=xl/sharedStrings.xml><?xml version="1.0" encoding="utf-8"?>
<sst xmlns="http://schemas.openxmlformats.org/spreadsheetml/2006/main" count="955" uniqueCount="221">
  <si>
    <t>WINGLE 7 DIESEL</t>
  </si>
  <si>
    <t>INTERMEDIOS</t>
  </si>
  <si>
    <t>CANTIDAD MANT. INTERMEDIOS</t>
  </si>
  <si>
    <t>ACEITE MOTOR</t>
  </si>
  <si>
    <t>FILTRO DE ACEITE</t>
  </si>
  <si>
    <t>FILTROS DE COMBUSTIBLE</t>
  </si>
  <si>
    <t>FILTRO TRAMPA DE AGUA/COMB</t>
  </si>
  <si>
    <t>FILTRO DE AIRE</t>
  </si>
  <si>
    <t>FILTRO DE CABINA A/C</t>
  </si>
  <si>
    <t>PASTILLAS DE FRENO DEL</t>
  </si>
  <si>
    <t>PASTILLAS DE FRENOS POST</t>
  </si>
  <si>
    <t>LIQUIDO INYECTORES</t>
  </si>
  <si>
    <t>LIMPIADOR DE FRENOS</t>
  </si>
  <si>
    <t>LIMPIADOR DE ADMISION</t>
  </si>
  <si>
    <t>REFRIGERANTE</t>
  </si>
  <si>
    <t>DISTRIBUCION</t>
  </si>
  <si>
    <t>ACEITE DE CAJA</t>
  </si>
  <si>
    <t>ACEITE DIFERENCIAL/TRANSFER</t>
  </si>
  <si>
    <t>SUMINISTROS</t>
  </si>
  <si>
    <t>ACEITE DIRECCION HIDRAULICA</t>
  </si>
  <si>
    <t>LIQUIDO DE FRENOS</t>
  </si>
  <si>
    <t>TOTAL REPUESTOS</t>
  </si>
  <si>
    <t>TOTAL MANO DE OBRA</t>
  </si>
  <si>
    <t>ALINEACION</t>
  </si>
  <si>
    <t>BALANCEO</t>
  </si>
  <si>
    <t>LIMPIEZA DE INYECTORES</t>
  </si>
  <si>
    <t>TOTAL M/O</t>
  </si>
  <si>
    <t>TOTAL</t>
  </si>
  <si>
    <t>*LUBRICANTES</t>
  </si>
  <si>
    <t>30% MANT. PREV.</t>
  </si>
  <si>
    <t>WINGLE 7 PLAN DE MANTENIMIENTO</t>
  </si>
  <si>
    <t>MOTORES DIESEL</t>
  </si>
  <si>
    <t>INTERMEDIO</t>
  </si>
  <si>
    <t>X</t>
  </si>
  <si>
    <t>PASTILLAS DE FRENO</t>
  </si>
  <si>
    <t>ACEITE DE CAJA Y TRANS</t>
  </si>
  <si>
    <t>DIRECCION HIDARULICA</t>
  </si>
  <si>
    <t>LIMPIEZA INTERCOOLER</t>
  </si>
  <si>
    <t>CONTROL LUCES</t>
  </si>
  <si>
    <t>CONTROL NIEVELES LIQUIDOS</t>
  </si>
  <si>
    <t>CONTROL PRESION DE NEUMATICOS</t>
  </si>
  <si>
    <t>ALINEACION , BALANCEO Y ROTACION</t>
  </si>
  <si>
    <t>* LOS FILTROS PARA DIESEL DEBEN SER EL PRIMARIO Y LA TRAMPA DE AGUA</t>
  </si>
  <si>
    <t>PLAN DE MANTENIMIENTO PREVENTIVO KYC F3 4X4</t>
  </si>
  <si>
    <t>KYC F3</t>
  </si>
  <si>
    <t>ACEITE MOTOR (10W40) 6lt</t>
  </si>
  <si>
    <t>ACEITE DE CAJA (75W90) 3lt</t>
  </si>
  <si>
    <t>ACEITE DIFERENCIAL DELANTERO (80W90) 3lt</t>
  </si>
  <si>
    <t>ACEITE DIFERENCIAL POSTERIOR (80W90) 3lt</t>
  </si>
  <si>
    <t>ACEITE TRANSFER (ATF3-DEXRON3) 3 lt</t>
  </si>
  <si>
    <t>REFRIGERANTE 8lt</t>
  </si>
  <si>
    <t>TOTAL LUBRICANTES</t>
  </si>
  <si>
    <t>BOMBA DE AGUA</t>
  </si>
  <si>
    <t>TERMOSTATO</t>
  </si>
  <si>
    <t>BANDA DE SERVICIO/ACCESORIOS</t>
  </si>
  <si>
    <t>MANO DE OBRA POR KILOMETRAJE</t>
  </si>
  <si>
    <t>EMPACAR ZAPATAS</t>
  </si>
  <si>
    <t>MANTENIMIENTO Y CALIBRACIÓN DE INYECTORES</t>
  </si>
  <si>
    <t>TOTAL COSTO MANTENIMIENTO POR KILOMETRAJE</t>
  </si>
  <si>
    <t>MARCA</t>
  </si>
  <si>
    <t>GWM</t>
  </si>
  <si>
    <t>MODELO</t>
  </si>
  <si>
    <t>MANTENIMIENTOS CORRECTIVOS</t>
  </si>
  <si>
    <t>ITEM</t>
  </si>
  <si>
    <t>DESCRIPCION</t>
  </si>
  <si>
    <t>CANTIDAD</t>
  </si>
  <si>
    <t>VALOR UNI</t>
  </si>
  <si>
    <t>MANO DE OBRA</t>
  </si>
  <si>
    <t>OBSERVACION DE TRABAJOS ADICIONALES</t>
  </si>
  <si>
    <t>Total M/O</t>
  </si>
  <si>
    <t>SUBTOTAL</t>
  </si>
  <si>
    <t>IVA</t>
  </si>
  <si>
    <t>BOMBA DE COMBUSTIBLE ALTA PRESION</t>
  </si>
  <si>
    <t>Cambio bomba de combustible</t>
  </si>
  <si>
    <t>contemplar desmontaje de banda de distribución mas 75.00</t>
  </si>
  <si>
    <t>BOMBA AGUA</t>
  </si>
  <si>
    <t>Cambio bomba de agua</t>
  </si>
  <si>
    <t>BOMBA DIRECCION HIDRAULICA</t>
  </si>
  <si>
    <t>Cambio bomba de dirección Hidráulica</t>
  </si>
  <si>
    <t>mas dranado del sistema 33.00</t>
  </si>
  <si>
    <t>AMORTIGUADORES DELANTEROS</t>
  </si>
  <si>
    <t>Cambio amortiguadores delanteros</t>
  </si>
  <si>
    <t>AMORTIGUADORES POSTERIORES</t>
  </si>
  <si>
    <t>Cambio amortiguadores posteriores</t>
  </si>
  <si>
    <t>KIT EMBRAGUE COMPLETO</t>
  </si>
  <si>
    <t>Cambio Kit de embrague</t>
  </si>
  <si>
    <t>RODAMIENTOS PUNTAS DE EJE DELANTEROS (4)</t>
  </si>
  <si>
    <t>Cambio y engrase de rodamientos de puntas de eje delanteras</t>
  </si>
  <si>
    <t>RETENEDORES EJE DELANTEROS (2)</t>
  </si>
  <si>
    <t>Cambio retenedores puntas de eje delanteras</t>
  </si>
  <si>
    <t>DISCOS DE FRENO DELANTEROS</t>
  </si>
  <si>
    <t>Cambio discos de freno delanteros</t>
  </si>
  <si>
    <t>DISCOS DE FRENO POSTERIORES</t>
  </si>
  <si>
    <t>Cambio de discos de freno</t>
  </si>
  <si>
    <t>BUJES DE PAQUETES DE RESORTES</t>
  </si>
  <si>
    <t>Cambio bujes de paquetes</t>
  </si>
  <si>
    <t>CRUCETAS DE CARDAN</t>
  </si>
  <si>
    <t>Cambio crucetas</t>
  </si>
  <si>
    <t>mas desmontaje de cardan 33</t>
  </si>
  <si>
    <t>BOMBA DE FRENO</t>
  </si>
  <si>
    <t>Cambio bomba de freno</t>
  </si>
  <si>
    <t>mas purgado de liquido 25</t>
  </si>
  <si>
    <t>BOMBA DE EMBRAGUE</t>
  </si>
  <si>
    <t>Cambio bomba de embrague</t>
  </si>
  <si>
    <t xml:space="preserve">INYECTORES </t>
  </si>
  <si>
    <t>Cambio y diagnóstico de inyectores</t>
  </si>
  <si>
    <t>TURBO GEOMETRIA VARIABLE</t>
  </si>
  <si>
    <t>Cambio turbo</t>
  </si>
  <si>
    <t>mas limpieza de sistema intercooler 50.00</t>
  </si>
  <si>
    <t>CREMALLERA DE DIRECCION</t>
  </si>
  <si>
    <t>Cambio cremallera de dirección y sangrado sistema</t>
  </si>
  <si>
    <t>ROTULAS SUPERIORES</t>
  </si>
  <si>
    <t>Cambio rotulas de suspensión</t>
  </si>
  <si>
    <t>mas alineación 18.00</t>
  </si>
  <si>
    <t>ROTULAS INFERIORES</t>
  </si>
  <si>
    <t>COMPRESOR A/C</t>
  </si>
  <si>
    <t>Cambio compresor de A/C</t>
  </si>
  <si>
    <t>mas carga de aire 60</t>
  </si>
  <si>
    <t>BANDA DE SERVICIO</t>
  </si>
  <si>
    <t>Cambio banda de servicio</t>
  </si>
  <si>
    <t>RODAMIENTAS DE CAJA DE CAMBIOS</t>
  </si>
  <si>
    <t>Cambio rodamientas de caja</t>
  </si>
  <si>
    <t>mas DM caja 75.00 mas lubricantes 48</t>
  </si>
  <si>
    <t>SINCRONIZADOS DE CAJA DE CAMBIOS</t>
  </si>
  <si>
    <t>Cambio sincronizados de caja</t>
  </si>
  <si>
    <t>PAQUETES DE RESORTES POSTERIORES</t>
  </si>
  <si>
    <t>Cambio paquetes de resortes posteriores</t>
  </si>
  <si>
    <t>TABLA COSTOS MANTENIMIENTO PREVENTIVO CAMIONETA WINGLE 7, SEGÚN PLAN MANTENIMIENTO FABRICANTE</t>
  </si>
  <si>
    <t>CANTIDAD TOTAL DE VEHICULOS</t>
  </si>
  <si>
    <t>KILOMETRAJE (km)</t>
  </si>
  <si>
    <t>SUBTOTAL/CAMIONETA</t>
  </si>
  <si>
    <t>SUBTOTAL UNITARIO</t>
  </si>
  <si>
    <t>SUBTOTAL (21 VEHICULOS)</t>
  </si>
  <si>
    <t>MANTENIMIENTO CORRECTIVO (30% MANTENIMIENTO PREVENTIVO)</t>
  </si>
  <si>
    <t>MANTENIMIENTOS CORRECTIVOS ESTIMADOS</t>
  </si>
  <si>
    <t>CÓDIGO CPC</t>
  </si>
  <si>
    <t>DESCRIPCIÓN</t>
  </si>
  <si>
    <t xml:space="preserve">CANTIDAD </t>
  </si>
  <si>
    <t>UNIDAD</t>
  </si>
  <si>
    <t>COSTO</t>
  </si>
  <si>
    <t>SUBTOTAL (SIN IVA)</t>
  </si>
  <si>
    <t>DISCO DE FRENO DELANTERO</t>
  </si>
  <si>
    <t>DISCOS DE FRENOS POSTERIORES</t>
  </si>
  <si>
    <t>PLATO DE EMBRAGUE</t>
  </si>
  <si>
    <t>DISCO DE EMBRAGUE</t>
  </si>
  <si>
    <t>RODAMIENTO DE EMBRAGUE</t>
  </si>
  <si>
    <t>BANDA DE ACCESORIOS</t>
  </si>
  <si>
    <t>TEMPLADOR DE BANDA</t>
  </si>
  <si>
    <t>CAMBIO DE BANDA Y TEMPLADOR</t>
  </si>
  <si>
    <t>MANTENIMIENTO DE AIRE ACONDICIONADO (CADA 40000 KILOMETROS)</t>
  </si>
  <si>
    <t>CAMBIO DE DISCOS DE FRENOS DELANTEROS</t>
  </si>
  <si>
    <t>CAMBIO DE DISCOS DE FRENOS POSTERIORES</t>
  </si>
  <si>
    <t>CAMBIO DE KIT DE EMBRAGUE</t>
  </si>
  <si>
    <t>RECTIFICADA DE DISCOS</t>
  </si>
  <si>
    <t>TOTAL (SIN IVA)</t>
  </si>
  <si>
    <t>PLAN DE MANTENIMIENTO PREVENTIVO KYC F3 4X2</t>
  </si>
  <si>
    <t>PLAN DE MANTENIMIENTO PREVENTIVO WINGLE 7 4X2</t>
  </si>
  <si>
    <t>ACEITE MOTOR (10W40)</t>
  </si>
  <si>
    <t>KIT DE DISTRIBUCIÓN</t>
  </si>
  <si>
    <t>ACEITE DE CAJA (75W90) 4lt</t>
  </si>
  <si>
    <t>TOTAL COSTO MANTINIENTO POR KILOMETRAJE</t>
  </si>
  <si>
    <t>COSTOS MANTENIMIENTO KYC F3 4X4</t>
  </si>
  <si>
    <t>CANTIDAD VEHICULOS</t>
  </si>
  <si>
    <t>Total lubricantes</t>
  </si>
  <si>
    <t>Mantenimiento preventivo</t>
  </si>
  <si>
    <t>Total repuestos</t>
  </si>
  <si>
    <t>Total mano de obra</t>
  </si>
  <si>
    <t>Mantenimiento correctivo</t>
  </si>
  <si>
    <t>Se considera un valor aproximado del 30% del costo total de mantenimientos preventivos</t>
  </si>
  <si>
    <t>Total 1 + 2 + 3 + 4</t>
  </si>
  <si>
    <t>Costos no incluyen IVA</t>
  </si>
  <si>
    <t>COSTOS MANTENIMIENTO KYC F3 4X2</t>
  </si>
  <si>
    <t>PLAN DE MANTENIMIENTO PREVENTIVO WINGLE 7 (4X4 Y 4X2)</t>
  </si>
  <si>
    <t>ACEITE DE CAJA (4X2 Y 4X4)</t>
  </si>
  <si>
    <t>ACEITE DIFERENCIAL DELANTERO (SOLO 4X4)</t>
  </si>
  <si>
    <t>ACEITE DIFERENCIAL POSTERIOR (4X2 Y 4X4)</t>
  </si>
  <si>
    <t>ACEITE TRANSFER (SOLO 4X4)</t>
  </si>
  <si>
    <t>VALORES</t>
  </si>
  <si>
    <t xml:space="preserve"> Total M/O </t>
  </si>
  <si>
    <t xml:space="preserve"> SUBTOTAL </t>
  </si>
  <si>
    <t xml:space="preserve"> TOTAL </t>
  </si>
  <si>
    <t>BRAZO AUXILIAR COLUMNA DIRECCIÓN</t>
  </si>
  <si>
    <t>AMORTIGUADORES DELANTEROS C/U</t>
  </si>
  <si>
    <t>AMORTIGUADORES POSTERIORES C/U</t>
  </si>
  <si>
    <t>RODAMIENTO VOLANTE DE INERCIA</t>
  </si>
  <si>
    <t>RODAMIENTOS PUNTAS DE EJE DELANTEROS C/U</t>
  </si>
  <si>
    <t>RETENEDORES EJE DELANTEROS C/U</t>
  </si>
  <si>
    <t>DISCOS DE FRENO DELANTEROS C/U</t>
  </si>
  <si>
    <t>KIT ZAPATAS</t>
  </si>
  <si>
    <t>BUJES DE PAQUETES DE RESORTES C/U</t>
  </si>
  <si>
    <t>BOMBA DE EMBRAGUE PRINCIPAL</t>
  </si>
  <si>
    <t>BOMBA DE EMBRAGUE SECUNDARIA</t>
  </si>
  <si>
    <t>INYECTORES C/U</t>
  </si>
  <si>
    <t>DIRECCION ELECTROASISTIDA</t>
  </si>
  <si>
    <t>MESA SUPERIOR LH</t>
  </si>
  <si>
    <t>MESA SUPERIOR RH</t>
  </si>
  <si>
    <t xml:space="preserve">MESA INFERIOR </t>
  </si>
  <si>
    <t>BRAZO MESA INFERIOR LH</t>
  </si>
  <si>
    <t>BRAZO MESA INFERIOR RH</t>
  </si>
  <si>
    <t xml:space="preserve">CAJA DE CAMBIOS </t>
  </si>
  <si>
    <t>PAQUETES DE RESORTES POSTERIORES C/L</t>
  </si>
  <si>
    <t>PASTILLAS DE FRENO DELANTERAS</t>
  </si>
  <si>
    <t>PLUMAS (LIMPIAPRABRISAS)</t>
  </si>
  <si>
    <t>FOCOS 1 CONTACTO</t>
  </si>
  <si>
    <t>FOCOS 2 CONTACTOS</t>
  </si>
  <si>
    <t xml:space="preserve">FOCOS H7 HALÓGENO </t>
  </si>
  <si>
    <t>FOCOS H4 HALÓGENO</t>
  </si>
  <si>
    <t>BATERIA</t>
  </si>
  <si>
    <t>ENLLANTAJE C/U</t>
  </si>
  <si>
    <t>PARCHE  NEUMÁTICO C/U</t>
  </si>
  <si>
    <t>RECTIFICACIÓN DISCOS DEL</t>
  </si>
  <si>
    <t>RECTIFICACIÓN DISCOS POST</t>
  </si>
  <si>
    <t>LLANTA C/U</t>
  </si>
  <si>
    <t>WINGLE 2,8 DIESEL</t>
  </si>
  <si>
    <t>ACEITE DIFERENCIAL DELANTERO (80W90) 2lt</t>
  </si>
  <si>
    <t>ACEITE TRANSFER (ATF3-DEXRON3) 2 lt</t>
  </si>
  <si>
    <t>COSTOS MANTENIMIENTO 5000 KM</t>
  </si>
  <si>
    <t>Total 1 + 2 + 3</t>
  </si>
  <si>
    <t>COSTOS MANTENIMIENTO 10000 KM</t>
  </si>
  <si>
    <t>COSTOS MANTENIMIENTO 15000 KM</t>
  </si>
  <si>
    <t>FILTRO DE COMBUSTIBLE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</si>
</sst>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6" formatCode="&quot;$&quot;#,##0;[Red]&quot;$&quot;\-#,##0"/>
    <numFmt numFmtId="8" formatCode="&quot;$&quot;#,##0.00;[Red]&quot;$&quot;\-#,##0.00"/>
    <numFmt numFmtId="44" formatCode="_ &quot;$&quot;* #,##0.00_ ;_ &quot;$&quot;* \-#,##0.00_ ;_ &quot;$&quot;* &quot;-&quot;??_ ;_ @_ "/>
    <numFmt numFmtId="43" formatCode="_ * #,##0.00_ ;_ * \-#,##0.00_ ;_ * &quot;-&quot;??_ ;_ @_ "/>
    <numFmt numFmtId="164" formatCode="_(* #,##0.00_);_(* \(#,##0.00\);_(* &quot;-&quot;??_);_(@_)"/>
    <numFmt numFmtId="165" formatCode="_(* #,##0_);_(* \(#,##0\);_(* &quot;-&quot;??_);_(@_)"/>
    <numFmt numFmtId="166" formatCode="&quot;$&quot;#,##0.00"/>
  </numFmts>
  <fonts count="15" x14ac:knownFonts="1">
    <font>
      <sz val="11"/>
      <color theme="1"/>
      <name val="Calibri"/>
      <scheme val="minor"/>
    </font>
    <font>
      <b/>
      <sz val="12"/>
      <color theme="1"/>
      <name val="Tahoma"/>
      <family val="2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sz val="10"/>
      <color theme="1"/>
      <name val="Tahoma"/>
      <family val="2"/>
    </font>
    <font>
      <sz val="11"/>
      <color theme="1"/>
      <name val="Calibri"/>
      <family val="2"/>
    </font>
    <font>
      <b/>
      <sz val="9"/>
      <color rgb="FF000000"/>
      <name val="Arial"/>
      <family val="2"/>
    </font>
    <font>
      <sz val="9"/>
      <color rgb="FF000000"/>
      <name val="Calibri"/>
      <family val="2"/>
    </font>
    <font>
      <b/>
      <sz val="10"/>
      <color theme="1"/>
      <name val="Tahoma"/>
      <family val="2"/>
    </font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9"/>
      <color rgb="FF000000"/>
      <name val="Calibri"/>
      <family val="2"/>
    </font>
    <font>
      <sz val="8"/>
      <color theme="1"/>
      <name val="Calibri"/>
      <family val="2"/>
    </font>
    <font>
      <i/>
      <sz val="11"/>
      <color theme="1"/>
      <name val="Calibri"/>
      <family val="2"/>
    </font>
    <font>
      <sz val="11"/>
      <color rgb="FF00000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rgb="FFD8D8D8"/>
        <bgColor rgb="FFD8D8D8"/>
      </patternFill>
    </fill>
    <fill>
      <patternFill patternType="solid">
        <fgColor rgb="FFAEABAB"/>
        <bgColor rgb="FFAEABAB"/>
      </patternFill>
    </fill>
    <fill>
      <patternFill patternType="solid">
        <fgColor rgb="FFADB9CA"/>
        <bgColor rgb="FFADB9CA"/>
      </patternFill>
    </fill>
    <fill>
      <patternFill patternType="solid">
        <fgColor rgb="FFC8C8C8"/>
        <bgColor rgb="FFC8C8C8"/>
      </patternFill>
    </fill>
    <fill>
      <patternFill patternType="solid">
        <fgColor rgb="FFFFFF00"/>
        <bgColor rgb="FFFFFF00"/>
      </patternFill>
    </fill>
    <fill>
      <patternFill patternType="solid">
        <fgColor rgb="FF00B0F0"/>
        <bgColor rgb="FF00B0F0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59999389629810485"/>
        <bgColor rgb="FF92D050"/>
      </patternFill>
    </fill>
    <fill>
      <patternFill patternType="solid">
        <fgColor theme="4" tint="0.59999389629810485"/>
        <bgColor indexed="64"/>
      </patternFill>
    </fill>
  </fills>
  <borders count="56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22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4" xfId="0" applyFont="1" applyBorder="1"/>
    <xf numFmtId="164" fontId="5" fillId="2" borderId="5" xfId="0" applyNumberFormat="1" applyFont="1" applyFill="1" applyBorder="1"/>
    <xf numFmtId="164" fontId="5" fillId="0" borderId="5" xfId="0" applyNumberFormat="1" applyFont="1" applyBorder="1"/>
    <xf numFmtId="164" fontId="5" fillId="0" borderId="6" xfId="0" applyNumberFormat="1" applyFont="1" applyBorder="1"/>
    <xf numFmtId="165" fontId="5" fillId="0" borderId="0" xfId="0" applyNumberFormat="1" applyFont="1"/>
    <xf numFmtId="165" fontId="2" fillId="0" borderId="0" xfId="0" applyNumberFormat="1" applyFont="1"/>
    <xf numFmtId="164" fontId="5" fillId="0" borderId="0" xfId="0" applyNumberFormat="1" applyFont="1"/>
    <xf numFmtId="164" fontId="2" fillId="0" borderId="0" xfId="0" applyNumberFormat="1" applyFont="1"/>
    <xf numFmtId="0" fontId="6" fillId="0" borderId="0" xfId="0" applyFont="1" applyAlignment="1">
      <alignment vertical="center" wrapText="1"/>
    </xf>
    <xf numFmtId="0" fontId="7" fillId="0" borderId="0" xfId="0" applyFont="1" applyAlignment="1">
      <alignment horizontal="center" vertical="center"/>
    </xf>
    <xf numFmtId="43" fontId="7" fillId="0" borderId="0" xfId="0" applyNumberFormat="1" applyFont="1" applyAlignment="1">
      <alignment vertical="center"/>
    </xf>
    <xf numFmtId="164" fontId="7" fillId="0" borderId="0" xfId="0" applyNumberFormat="1" applyFont="1" applyAlignment="1">
      <alignment vertical="center"/>
    </xf>
    <xf numFmtId="2" fontId="5" fillId="0" borderId="5" xfId="0" applyNumberFormat="1" applyFont="1" applyBorder="1"/>
    <xf numFmtId="0" fontId="5" fillId="0" borderId="5" xfId="0" applyFont="1" applyBorder="1"/>
    <xf numFmtId="164" fontId="4" fillId="0" borderId="7" xfId="0" applyNumberFormat="1" applyFont="1" applyBorder="1"/>
    <xf numFmtId="164" fontId="4" fillId="0" borderId="8" xfId="0" applyNumberFormat="1" applyFont="1" applyBorder="1"/>
    <xf numFmtId="164" fontId="4" fillId="0" borderId="9" xfId="0" applyNumberFormat="1" applyFont="1" applyBorder="1"/>
    <xf numFmtId="164" fontId="4" fillId="2" borderId="10" xfId="0" applyNumberFormat="1" applyFont="1" applyFill="1" applyBorder="1"/>
    <xf numFmtId="0" fontId="8" fillId="3" borderId="11" xfId="0" applyFont="1" applyFill="1" applyBorder="1"/>
    <xf numFmtId="164" fontId="5" fillId="2" borderId="12" xfId="0" applyNumberFormat="1" applyFont="1" applyFill="1" applyBorder="1"/>
    <xf numFmtId="164" fontId="5" fillId="3" borderId="12" xfId="0" applyNumberFormat="1" applyFont="1" applyFill="1" applyBorder="1"/>
    <xf numFmtId="164" fontId="5" fillId="3" borderId="13" xfId="0" applyNumberFormat="1" applyFont="1" applyFill="1" applyBorder="1"/>
    <xf numFmtId="0" fontId="8" fillId="4" borderId="11" xfId="0" applyFont="1" applyFill="1" applyBorder="1"/>
    <xf numFmtId="164" fontId="5" fillId="4" borderId="12" xfId="0" applyNumberFormat="1" applyFont="1" applyFill="1" applyBorder="1"/>
    <xf numFmtId="164" fontId="5" fillId="4" borderId="13" xfId="0" applyNumberFormat="1" applyFont="1" applyFill="1" applyBorder="1"/>
    <xf numFmtId="0" fontId="4" fillId="0" borderId="14" xfId="0" applyFont="1" applyBorder="1"/>
    <xf numFmtId="164" fontId="5" fillId="2" borderId="15" xfId="0" applyNumberFormat="1" applyFont="1" applyFill="1" applyBorder="1"/>
    <xf numFmtId="164" fontId="5" fillId="0" borderId="16" xfId="0" applyNumberFormat="1" applyFont="1" applyBorder="1"/>
    <xf numFmtId="164" fontId="5" fillId="0" borderId="17" xfId="0" applyNumberFormat="1" applyFont="1" applyBorder="1"/>
    <xf numFmtId="0" fontId="2" fillId="0" borderId="0" xfId="0" applyFont="1"/>
    <xf numFmtId="0" fontId="4" fillId="0" borderId="7" xfId="0" applyFont="1" applyBorder="1"/>
    <xf numFmtId="164" fontId="5" fillId="2" borderId="18" xfId="0" applyNumberFormat="1" applyFont="1" applyFill="1" applyBorder="1"/>
    <xf numFmtId="164" fontId="5" fillId="0" borderId="19" xfId="0" applyNumberFormat="1" applyFont="1" applyBorder="1"/>
    <xf numFmtId="164" fontId="5" fillId="0" borderId="20" xfId="0" applyNumberFormat="1" applyFont="1" applyBorder="1"/>
    <xf numFmtId="0" fontId="4" fillId="0" borderId="21" xfId="0" applyFont="1" applyBorder="1"/>
    <xf numFmtId="164" fontId="5" fillId="2" borderId="22" xfId="0" applyNumberFormat="1" applyFont="1" applyFill="1" applyBorder="1"/>
    <xf numFmtId="164" fontId="5" fillId="0" borderId="23" xfId="0" applyNumberFormat="1" applyFont="1" applyBorder="1"/>
    <xf numFmtId="164" fontId="5" fillId="0" borderId="24" xfId="0" applyNumberFormat="1" applyFont="1" applyBorder="1"/>
    <xf numFmtId="0" fontId="8" fillId="3" borderId="25" xfId="0" applyFont="1" applyFill="1" applyBorder="1"/>
    <xf numFmtId="0" fontId="8" fillId="3" borderId="26" xfId="0" applyFont="1" applyFill="1" applyBorder="1"/>
    <xf numFmtId="164" fontId="5" fillId="3" borderId="18" xfId="0" applyNumberFormat="1" applyFont="1" applyFill="1" applyBorder="1"/>
    <xf numFmtId="164" fontId="5" fillId="3" borderId="27" xfId="0" applyNumberFormat="1" applyFont="1" applyFill="1" applyBorder="1"/>
    <xf numFmtId="0" fontId="8" fillId="5" borderId="21" xfId="0" applyFont="1" applyFill="1" applyBorder="1"/>
    <xf numFmtId="164" fontId="5" fillId="2" borderId="28" xfId="0" applyNumberFormat="1" applyFont="1" applyFill="1" applyBorder="1"/>
    <xf numFmtId="164" fontId="5" fillId="5" borderId="28" xfId="0" applyNumberFormat="1" applyFont="1" applyFill="1" applyBorder="1"/>
    <xf numFmtId="164" fontId="5" fillId="5" borderId="29" xfId="0" applyNumberFormat="1" applyFont="1" applyFill="1" applyBorder="1"/>
    <xf numFmtId="0" fontId="9" fillId="0" borderId="0" xfId="0" applyFont="1"/>
    <xf numFmtId="0" fontId="8" fillId="0" borderId="0" xfId="0" applyFont="1"/>
    <xf numFmtId="43" fontId="5" fillId="0" borderId="0" xfId="0" applyNumberFormat="1" applyFont="1"/>
    <xf numFmtId="0" fontId="1" fillId="6" borderId="1" xfId="0" applyFont="1" applyFill="1" applyBorder="1"/>
    <xf numFmtId="0" fontId="5" fillId="6" borderId="2" xfId="0" applyFont="1" applyFill="1" applyBorder="1"/>
    <xf numFmtId="0" fontId="5" fillId="6" borderId="3" xfId="0" applyFont="1" applyFill="1" applyBorder="1"/>
    <xf numFmtId="0" fontId="5" fillId="6" borderId="34" xfId="0" applyFont="1" applyFill="1" applyBorder="1"/>
    <xf numFmtId="0" fontId="5" fillId="6" borderId="35" xfId="0" applyFont="1" applyFill="1" applyBorder="1"/>
    <xf numFmtId="0" fontId="4" fillId="6" borderId="4" xfId="0" applyFont="1" applyFill="1" applyBorder="1"/>
    <xf numFmtId="164" fontId="5" fillId="6" borderId="5" xfId="0" applyNumberFormat="1" applyFont="1" applyFill="1" applyBorder="1" applyAlignment="1">
      <alignment horizontal="center"/>
    </xf>
    <xf numFmtId="0" fontId="11" fillId="0" borderId="0" xfId="0" applyFont="1" applyAlignment="1">
      <alignment horizontal="center" vertical="center"/>
    </xf>
    <xf numFmtId="2" fontId="7" fillId="0" borderId="0" xfId="0" applyNumberFormat="1" applyFont="1" applyAlignment="1">
      <alignment vertical="center"/>
    </xf>
    <xf numFmtId="8" fontId="11" fillId="0" borderId="0" xfId="0" applyNumberFormat="1" applyFont="1" applyAlignment="1">
      <alignment horizontal="center" vertical="center"/>
    </xf>
    <xf numFmtId="0" fontId="4" fillId="6" borderId="5" xfId="0" applyFont="1" applyFill="1" applyBorder="1"/>
    <xf numFmtId="0" fontId="5" fillId="6" borderId="5" xfId="0" applyFont="1" applyFill="1" applyBorder="1" applyAlignment="1">
      <alignment horizontal="center"/>
    </xf>
    <xf numFmtId="164" fontId="4" fillId="6" borderId="5" xfId="0" applyNumberFormat="1" applyFont="1" applyFill="1" applyBorder="1"/>
    <xf numFmtId="164" fontId="4" fillId="6" borderId="5" xfId="0" applyNumberFormat="1" applyFont="1" applyFill="1" applyBorder="1" applyAlignment="1">
      <alignment horizontal="center"/>
    </xf>
    <xf numFmtId="0" fontId="5" fillId="6" borderId="5" xfId="0" applyFont="1" applyFill="1" applyBorder="1"/>
    <xf numFmtId="164" fontId="5" fillId="6" borderId="5" xfId="0" applyNumberFormat="1" applyFont="1" applyFill="1" applyBorder="1" applyAlignment="1">
      <alignment horizontal="left"/>
    </xf>
    <xf numFmtId="164" fontId="4" fillId="0" borderId="0" xfId="0" applyNumberFormat="1" applyFont="1" applyAlignment="1">
      <alignment horizontal="center"/>
    </xf>
    <xf numFmtId="0" fontId="1" fillId="0" borderId="4" xfId="0" applyFont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4" fontId="5" fillId="2" borderId="10" xfId="0" applyNumberFormat="1" applyFont="1" applyFill="1" applyBorder="1"/>
    <xf numFmtId="164" fontId="5" fillId="0" borderId="8" xfId="0" applyNumberFormat="1" applyFont="1" applyBorder="1"/>
    <xf numFmtId="164" fontId="5" fillId="0" borderId="9" xfId="0" applyNumberFormat="1" applyFont="1" applyBorder="1"/>
    <xf numFmtId="0" fontId="8" fillId="0" borderId="11" xfId="0" applyFont="1" applyBorder="1"/>
    <xf numFmtId="0" fontId="5" fillId="0" borderId="12" xfId="0" applyFont="1" applyBorder="1"/>
    <xf numFmtId="43" fontId="2" fillId="0" borderId="12" xfId="0" applyNumberFormat="1" applyFont="1" applyBorder="1" applyAlignment="1">
      <alignment horizontal="center"/>
    </xf>
    <xf numFmtId="43" fontId="2" fillId="0" borderId="13" xfId="0" applyNumberFormat="1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5" xfId="0" applyFont="1" applyBorder="1"/>
    <xf numFmtId="43" fontId="2" fillId="0" borderId="5" xfId="0" applyNumberFormat="1" applyFont="1" applyBorder="1"/>
    <xf numFmtId="43" fontId="2" fillId="7" borderId="5" xfId="0" applyNumberFormat="1" applyFont="1" applyFill="1" applyBorder="1"/>
    <xf numFmtId="44" fontId="5" fillId="0" borderId="5" xfId="0" applyNumberFormat="1" applyFont="1" applyBorder="1"/>
    <xf numFmtId="44" fontId="5" fillId="0" borderId="5" xfId="0" applyNumberFormat="1" applyFont="1" applyBorder="1" applyAlignment="1">
      <alignment horizontal="right"/>
    </xf>
    <xf numFmtId="44" fontId="5" fillId="7" borderId="5" xfId="0" applyNumberFormat="1" applyFont="1" applyFill="1" applyBorder="1"/>
    <xf numFmtId="44" fontId="5" fillId="0" borderId="5" xfId="0" applyNumberFormat="1" applyFont="1" applyBorder="1" applyAlignment="1">
      <alignment horizontal="right" vertical="center" wrapText="1"/>
    </xf>
    <xf numFmtId="0" fontId="5" fillId="0" borderId="0" xfId="0" applyFont="1" applyAlignment="1">
      <alignment horizontal="center"/>
    </xf>
    <xf numFmtId="0" fontId="2" fillId="0" borderId="6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/>
    </xf>
    <xf numFmtId="44" fontId="5" fillId="0" borderId="6" xfId="0" applyNumberFormat="1" applyFont="1" applyBorder="1"/>
    <xf numFmtId="44" fontId="2" fillId="0" borderId="5" xfId="0" applyNumberFormat="1" applyFont="1" applyBorder="1" applyAlignment="1">
      <alignment horizontal="center" vertical="center"/>
    </xf>
    <xf numFmtId="44" fontId="2" fillId="0" borderId="6" xfId="0" applyNumberFormat="1" applyFont="1" applyBorder="1" applyAlignment="1">
      <alignment horizontal="center" vertical="center"/>
    </xf>
    <xf numFmtId="4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vertical="center"/>
    </xf>
    <xf numFmtId="44" fontId="5" fillId="0" borderId="0" xfId="0" applyNumberFormat="1" applyFont="1" applyAlignment="1">
      <alignment vertical="center"/>
    </xf>
    <xf numFmtId="44" fontId="2" fillId="0" borderId="23" xfId="0" applyNumberFormat="1" applyFont="1" applyBorder="1" applyAlignment="1">
      <alignment horizontal="center" vertical="center"/>
    </xf>
    <xf numFmtId="44" fontId="2" fillId="0" borderId="24" xfId="0" applyNumberFormat="1" applyFont="1" applyBorder="1" applyAlignment="1">
      <alignment horizontal="center" vertical="center"/>
    </xf>
    <xf numFmtId="0" fontId="5" fillId="0" borderId="48" xfId="0" applyFont="1" applyBorder="1"/>
    <xf numFmtId="0" fontId="2" fillId="2" borderId="15" xfId="0" applyFont="1" applyFill="1" applyBorder="1" applyAlignment="1">
      <alignment horizontal="center"/>
    </xf>
    <xf numFmtId="44" fontId="2" fillId="2" borderId="15" xfId="0" applyNumberFormat="1" applyFont="1" applyFill="1" applyBorder="1" applyAlignment="1">
      <alignment horizontal="center"/>
    </xf>
    <xf numFmtId="44" fontId="2" fillId="2" borderId="49" xfId="0" applyNumberFormat="1" applyFont="1" applyFill="1" applyBorder="1" applyAlignment="1">
      <alignment horizontal="center"/>
    </xf>
    <xf numFmtId="0" fontId="5" fillId="0" borderId="50" xfId="0" applyFont="1" applyBorder="1"/>
    <xf numFmtId="0" fontId="2" fillId="2" borderId="28" xfId="0" applyFont="1" applyFill="1" applyBorder="1" applyAlignment="1">
      <alignment horizontal="center"/>
    </xf>
    <xf numFmtId="44" fontId="2" fillId="2" borderId="28" xfId="0" applyNumberFormat="1" applyFont="1" applyFill="1" applyBorder="1" applyAlignment="1">
      <alignment horizontal="center"/>
    </xf>
    <xf numFmtId="44" fontId="2" fillId="2" borderId="29" xfId="0" applyNumberFormat="1" applyFont="1" applyFill="1" applyBorder="1" applyAlignment="1">
      <alignment horizontal="center"/>
    </xf>
    <xf numFmtId="0" fontId="5" fillId="0" borderId="5" xfId="0" applyFont="1" applyBorder="1" applyAlignment="1">
      <alignment horizontal="center" vertical="center" wrapText="1"/>
    </xf>
    <xf numFmtId="0" fontId="5" fillId="0" borderId="5" xfId="0" applyFont="1" applyBorder="1" applyAlignment="1">
      <alignment vertical="center" wrapText="1"/>
    </xf>
    <xf numFmtId="44" fontId="5" fillId="0" borderId="5" xfId="0" applyNumberFormat="1" applyFont="1" applyBorder="1" applyAlignment="1">
      <alignment vertical="center"/>
    </xf>
    <xf numFmtId="44" fontId="2" fillId="0" borderId="5" xfId="0" applyNumberFormat="1" applyFont="1" applyBorder="1"/>
    <xf numFmtId="0" fontId="5" fillId="0" borderId="5" xfId="0" applyFont="1" applyBorder="1" applyAlignment="1">
      <alignment horizontal="left" vertical="center" wrapText="1"/>
    </xf>
    <xf numFmtId="44" fontId="2" fillId="8" borderId="5" xfId="0" applyNumberFormat="1" applyFont="1" applyFill="1" applyBorder="1"/>
    <xf numFmtId="0" fontId="4" fillId="2" borderId="4" xfId="0" applyFont="1" applyFill="1" applyBorder="1"/>
    <xf numFmtId="164" fontId="4" fillId="0" borderId="4" xfId="0" applyNumberFormat="1" applyFont="1" applyBorder="1"/>
    <xf numFmtId="0" fontId="8" fillId="5" borderId="51" xfId="0" applyFont="1" applyFill="1" applyBorder="1"/>
    <xf numFmtId="164" fontId="5" fillId="2" borderId="52" xfId="0" applyNumberFormat="1" applyFont="1" applyFill="1" applyBorder="1"/>
    <xf numFmtId="164" fontId="5" fillId="5" borderId="52" xfId="0" applyNumberFormat="1" applyFont="1" applyFill="1" applyBorder="1"/>
    <xf numFmtId="164" fontId="5" fillId="5" borderId="53" xfId="0" applyNumberFormat="1" applyFont="1" applyFill="1" applyBorder="1"/>
    <xf numFmtId="0" fontId="5" fillId="0" borderId="4" xfId="0" applyFont="1" applyBorder="1"/>
    <xf numFmtId="0" fontId="5" fillId="0" borderId="4" xfId="0" applyFont="1" applyBorder="1" applyAlignment="1">
      <alignment vertical="center"/>
    </xf>
    <xf numFmtId="0" fontId="12" fillId="0" borderId="5" xfId="0" applyFont="1" applyBorder="1" applyAlignment="1">
      <alignment horizontal="center" vertical="center" wrapText="1"/>
    </xf>
    <xf numFmtId="44" fontId="5" fillId="0" borderId="9" xfId="0" applyNumberFormat="1" applyFont="1" applyBorder="1" applyAlignment="1">
      <alignment vertical="center"/>
    </xf>
    <xf numFmtId="44" fontId="2" fillId="0" borderId="29" xfId="0" applyNumberFormat="1" applyFont="1" applyBorder="1"/>
    <xf numFmtId="164" fontId="5" fillId="0" borderId="5" xfId="0" applyNumberFormat="1" applyFont="1" applyBorder="1" applyAlignment="1">
      <alignment horizontal="center"/>
    </xf>
    <xf numFmtId="164" fontId="5" fillId="0" borderId="6" xfId="0" applyNumberFormat="1" applyFont="1" applyBorder="1" applyAlignment="1">
      <alignment horizontal="center"/>
    </xf>
    <xf numFmtId="164" fontId="5" fillId="4" borderId="12" xfId="0" applyNumberFormat="1" applyFont="1" applyFill="1" applyBorder="1" applyAlignment="1">
      <alignment horizontal="center"/>
    </xf>
    <xf numFmtId="164" fontId="5" fillId="4" borderId="13" xfId="0" applyNumberFormat="1" applyFont="1" applyFill="1" applyBorder="1" applyAlignment="1">
      <alignment horizontal="center"/>
    </xf>
    <xf numFmtId="164" fontId="5" fillId="0" borderId="28" xfId="0" applyNumberFormat="1" applyFont="1" applyBorder="1"/>
    <xf numFmtId="164" fontId="5" fillId="0" borderId="28" xfId="0" applyNumberFormat="1" applyFont="1" applyBorder="1" applyAlignment="1">
      <alignment horizontal="center"/>
    </xf>
    <xf numFmtId="164" fontId="5" fillId="0" borderId="29" xfId="0" applyNumberFormat="1" applyFont="1" applyBorder="1" applyAlignment="1">
      <alignment horizontal="center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vertical="center"/>
    </xf>
    <xf numFmtId="0" fontId="3" fillId="0" borderId="5" xfId="0" applyFont="1" applyBorder="1" applyAlignment="1">
      <alignment vertical="center" wrapText="1"/>
    </xf>
    <xf numFmtId="0" fontId="14" fillId="0" borderId="5" xfId="0" applyFont="1" applyBorder="1" applyAlignment="1">
      <alignment vertical="center"/>
    </xf>
    <xf numFmtId="6" fontId="14" fillId="0" borderId="5" xfId="0" applyNumberFormat="1" applyFont="1" applyBorder="1" applyAlignment="1">
      <alignment vertical="center"/>
    </xf>
    <xf numFmtId="8" fontId="14" fillId="0" borderId="5" xfId="0" applyNumberFormat="1" applyFont="1" applyBorder="1" applyAlignment="1">
      <alignment vertical="center"/>
    </xf>
    <xf numFmtId="0" fontId="3" fillId="0" borderId="8" xfId="0" applyFont="1" applyBorder="1" applyAlignment="1">
      <alignment horizontal="center" vertical="center"/>
    </xf>
    <xf numFmtId="0" fontId="14" fillId="0" borderId="8" xfId="0" applyFont="1" applyBorder="1" applyAlignment="1">
      <alignment vertical="center"/>
    </xf>
    <xf numFmtId="8" fontId="14" fillId="0" borderId="8" xfId="0" applyNumberFormat="1" applyFont="1" applyBorder="1" applyAlignment="1">
      <alignment vertical="center"/>
    </xf>
    <xf numFmtId="6" fontId="14" fillId="0" borderId="8" xfId="0" applyNumberFormat="1" applyFont="1" applyBorder="1" applyAlignment="1">
      <alignment vertical="center"/>
    </xf>
    <xf numFmtId="0" fontId="5" fillId="0" borderId="1" xfId="0" applyFont="1" applyBorder="1"/>
    <xf numFmtId="0" fontId="3" fillId="0" borderId="2" xfId="0" applyFont="1" applyBorder="1" applyAlignment="1">
      <alignment horizontal="center" vertical="center"/>
    </xf>
    <xf numFmtId="166" fontId="3" fillId="0" borderId="2" xfId="0" applyNumberFormat="1" applyFont="1" applyBorder="1" applyAlignment="1">
      <alignment horizontal="center" vertical="center"/>
    </xf>
    <xf numFmtId="8" fontId="3" fillId="0" borderId="2" xfId="0" applyNumberFormat="1" applyFont="1" applyBorder="1" applyAlignment="1">
      <alignment horizontal="center" vertical="center"/>
    </xf>
    <xf numFmtId="8" fontId="3" fillId="8" borderId="3" xfId="0" applyNumberFormat="1" applyFont="1" applyFill="1" applyBorder="1" applyAlignment="1">
      <alignment horizontal="center" vertical="center"/>
    </xf>
    <xf numFmtId="166" fontId="3" fillId="0" borderId="5" xfId="0" applyNumberFormat="1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5" fillId="0" borderId="21" xfId="0" applyFont="1" applyBorder="1"/>
    <xf numFmtId="0" fontId="3" fillId="0" borderId="28" xfId="0" applyFont="1" applyBorder="1" applyAlignment="1">
      <alignment horizontal="center" vertical="center"/>
    </xf>
    <xf numFmtId="166" fontId="3" fillId="0" borderId="28" xfId="0" applyNumberFormat="1" applyFont="1" applyBorder="1" applyAlignment="1">
      <alignment horizontal="center" vertical="center"/>
    </xf>
    <xf numFmtId="166" fontId="3" fillId="8" borderId="28" xfId="0" applyNumberFormat="1" applyFont="1" applyFill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8" fontId="5" fillId="0" borderId="0" xfId="0" applyNumberFormat="1" applyFont="1"/>
    <xf numFmtId="8" fontId="5" fillId="0" borderId="5" xfId="0" applyNumberFormat="1" applyFont="1" applyBorder="1"/>
    <xf numFmtId="0" fontId="5" fillId="0" borderId="7" xfId="0" applyFont="1" applyBorder="1"/>
    <xf numFmtId="0" fontId="8" fillId="5" borderId="11" xfId="0" applyFont="1" applyFill="1" applyBorder="1"/>
    <xf numFmtId="164" fontId="2" fillId="5" borderId="12" xfId="0" applyNumberFormat="1" applyFont="1" applyFill="1" applyBorder="1"/>
    <xf numFmtId="164" fontId="2" fillId="5" borderId="13" xfId="0" applyNumberFormat="1" applyFont="1" applyFill="1" applyBorder="1"/>
    <xf numFmtId="0" fontId="8" fillId="3" borderId="51" xfId="0" applyFont="1" applyFill="1" applyBorder="1"/>
    <xf numFmtId="164" fontId="2" fillId="3" borderId="52" xfId="0" applyNumberFormat="1" applyFont="1" applyFill="1" applyBorder="1"/>
    <xf numFmtId="164" fontId="2" fillId="3" borderId="53" xfId="0" applyNumberFormat="1" applyFont="1" applyFill="1" applyBorder="1"/>
    <xf numFmtId="164" fontId="2" fillId="4" borderId="12" xfId="0" applyNumberFormat="1" applyFont="1" applyFill="1" applyBorder="1"/>
    <xf numFmtId="164" fontId="2" fillId="4" borderId="13" xfId="0" applyNumberFormat="1" applyFont="1" applyFill="1" applyBorder="1"/>
    <xf numFmtId="0" fontId="2" fillId="0" borderId="0" xfId="0" applyFont="1" applyAlignment="1">
      <alignment wrapText="1"/>
    </xf>
    <xf numFmtId="164" fontId="5" fillId="5" borderId="12" xfId="0" applyNumberFormat="1" applyFont="1" applyFill="1" applyBorder="1"/>
    <xf numFmtId="44" fontId="5" fillId="0" borderId="0" xfId="0" applyNumberFormat="1" applyFont="1"/>
    <xf numFmtId="44" fontId="2" fillId="0" borderId="0" xfId="0" applyNumberFormat="1" applyFont="1"/>
    <xf numFmtId="0" fontId="8" fillId="9" borderId="11" xfId="0" applyFont="1" applyFill="1" applyBorder="1"/>
    <xf numFmtId="164" fontId="2" fillId="9" borderId="12" xfId="0" applyNumberFormat="1" applyFont="1" applyFill="1" applyBorder="1"/>
    <xf numFmtId="164" fontId="5" fillId="9" borderId="0" xfId="0" applyNumberFormat="1" applyFont="1" applyFill="1"/>
    <xf numFmtId="0" fontId="8" fillId="9" borderId="39" xfId="0" applyFont="1" applyFill="1" applyBorder="1"/>
    <xf numFmtId="164" fontId="2" fillId="9" borderId="40" xfId="0" applyNumberFormat="1" applyFont="1" applyFill="1" applyBorder="1"/>
    <xf numFmtId="0" fontId="8" fillId="10" borderId="11" xfId="0" applyFont="1" applyFill="1" applyBorder="1"/>
    <xf numFmtId="0" fontId="5" fillId="10" borderId="12" xfId="0" applyFont="1" applyFill="1" applyBorder="1"/>
    <xf numFmtId="43" fontId="2" fillId="10" borderId="12" xfId="0" applyNumberFormat="1" applyFont="1" applyFill="1" applyBorder="1" applyAlignment="1">
      <alignment horizontal="center"/>
    </xf>
    <xf numFmtId="43" fontId="2" fillId="10" borderId="13" xfId="0" applyNumberFormat="1" applyFont="1" applyFill="1" applyBorder="1" applyAlignment="1">
      <alignment horizontal="center"/>
    </xf>
    <xf numFmtId="0" fontId="1" fillId="10" borderId="4" xfId="0" applyFont="1" applyFill="1" applyBorder="1" applyAlignment="1">
      <alignment horizontal="center" vertical="center"/>
    </xf>
    <xf numFmtId="0" fontId="2" fillId="11" borderId="5" xfId="0" applyFont="1" applyFill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 vertical="center"/>
    </xf>
    <xf numFmtId="0" fontId="2" fillId="10" borderId="6" xfId="0" applyFont="1" applyFill="1" applyBorder="1" applyAlignment="1">
      <alignment horizontal="center" vertical="center"/>
    </xf>
    <xf numFmtId="0" fontId="8" fillId="12" borderId="11" xfId="0" applyFont="1" applyFill="1" applyBorder="1"/>
    <xf numFmtId="164" fontId="2" fillId="12" borderId="12" xfId="0" applyNumberFormat="1" applyFont="1" applyFill="1" applyBorder="1"/>
    <xf numFmtId="164" fontId="5" fillId="12" borderId="0" xfId="0" applyNumberFormat="1" applyFont="1" applyFill="1"/>
    <xf numFmtId="0" fontId="8" fillId="12" borderId="39" xfId="0" applyFont="1" applyFill="1" applyBorder="1"/>
    <xf numFmtId="164" fontId="2" fillId="12" borderId="40" xfId="0" applyNumberFormat="1" applyFont="1" applyFill="1" applyBorder="1"/>
    <xf numFmtId="0" fontId="2" fillId="0" borderId="0" xfId="0" applyFont="1" applyAlignment="1">
      <alignment horizontal="center"/>
    </xf>
    <xf numFmtId="0" fontId="0" fillId="0" borderId="0" xfId="0"/>
    <xf numFmtId="0" fontId="1" fillId="6" borderId="30" xfId="0" applyFont="1" applyFill="1" applyBorder="1" applyAlignment="1">
      <alignment horizontal="center"/>
    </xf>
    <xf numFmtId="0" fontId="10" fillId="0" borderId="31" xfId="0" applyFont="1" applyBorder="1"/>
    <xf numFmtId="0" fontId="10" fillId="0" borderId="32" xfId="0" applyFont="1" applyBorder="1"/>
    <xf numFmtId="164" fontId="2" fillId="0" borderId="33" xfId="0" applyNumberFormat="1" applyFont="1" applyBorder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2" fillId="0" borderId="36" xfId="0" applyFont="1" applyBorder="1" applyAlignment="1">
      <alignment horizontal="center"/>
    </xf>
    <xf numFmtId="0" fontId="10" fillId="0" borderId="37" xfId="0" applyFont="1" applyBorder="1"/>
    <xf numFmtId="0" fontId="10" fillId="0" borderId="38" xfId="0" applyFont="1" applyBorder="1"/>
    <xf numFmtId="0" fontId="2" fillId="0" borderId="41" xfId="0" applyFont="1" applyBorder="1" applyAlignment="1">
      <alignment horizontal="center"/>
    </xf>
    <xf numFmtId="0" fontId="10" fillId="0" borderId="42" xfId="0" applyFont="1" applyBorder="1"/>
    <xf numFmtId="0" fontId="10" fillId="0" borderId="43" xfId="0" applyFont="1" applyBorder="1"/>
    <xf numFmtId="0" fontId="2" fillId="0" borderId="46" xfId="0" applyFont="1" applyBorder="1" applyAlignment="1">
      <alignment horizontal="center" vertical="center" wrapText="1"/>
    </xf>
    <xf numFmtId="0" fontId="10" fillId="0" borderId="47" xfId="0" applyFont="1" applyBorder="1"/>
    <xf numFmtId="0" fontId="2" fillId="0" borderId="36" xfId="0" applyFont="1" applyBorder="1" applyAlignment="1">
      <alignment horizontal="center" wrapText="1"/>
    </xf>
    <xf numFmtId="0" fontId="2" fillId="0" borderId="44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textRotation="90"/>
    </xf>
    <xf numFmtId="0" fontId="10" fillId="0" borderId="45" xfId="0" applyFont="1" applyBorder="1"/>
    <xf numFmtId="0" fontId="10" fillId="0" borderId="14" xfId="0" applyFont="1" applyBorder="1"/>
    <xf numFmtId="0" fontId="2" fillId="8" borderId="41" xfId="0" applyFont="1" applyFill="1" applyBorder="1" applyAlignment="1">
      <alignment horizontal="right"/>
    </xf>
    <xf numFmtId="0" fontId="5" fillId="0" borderId="8" xfId="0" applyFont="1" applyBorder="1" applyAlignment="1">
      <alignment horizontal="center" vertical="center" wrapText="1"/>
    </xf>
    <xf numFmtId="0" fontId="10" fillId="0" borderId="19" xfId="0" applyFont="1" applyBorder="1"/>
    <xf numFmtId="0" fontId="10" fillId="0" borderId="16" xfId="0" applyFont="1" applyBorder="1"/>
    <xf numFmtId="0" fontId="2" fillId="0" borderId="46" xfId="0" applyFont="1" applyBorder="1" applyAlignment="1">
      <alignment horizontal="right"/>
    </xf>
    <xf numFmtId="0" fontId="10" fillId="0" borderId="54" xfId="0" applyFont="1" applyBorder="1"/>
    <xf numFmtId="0" fontId="13" fillId="0" borderId="55" xfId="0" applyFont="1" applyBorder="1" applyAlignment="1">
      <alignment horizontal="center"/>
    </xf>
    <xf numFmtId="0" fontId="10" fillId="0" borderId="55" xfId="0" applyFont="1" applyBorder="1"/>
    <xf numFmtId="0" fontId="3" fillId="0" borderId="41" xfId="0" applyFont="1" applyBorder="1" applyAlignment="1">
      <alignment horizontal="center" vertical="center"/>
    </xf>
    <xf numFmtId="8" fontId="14" fillId="0" borderId="8" xfId="0" applyNumberFormat="1" applyFont="1" applyBorder="1" applyAlignment="1">
      <alignment horizontal="center" vertical="center"/>
    </xf>
    <xf numFmtId="0" fontId="2" fillId="0" borderId="0" xfId="0" applyFont="1" applyAlignment="1">
      <alignment horizontal="right"/>
    </xf>
    <xf numFmtId="0" fontId="13" fillId="0" borderId="0" xfId="0" applyFont="1" applyAlignment="1">
      <alignment horizontal="center"/>
    </xf>
    <xf numFmtId="0" fontId="5" fillId="0" borderId="0" xfId="0" applyFont="1" applyAlignment="1">
      <alignment horizontal="center" vertical="center" wrapText="1"/>
    </xf>
  </cellXfs>
  <cellStyles count="1">
    <cellStyle name="Normal" xfId="0" builtinId="0"/>
  </cellStyles>
  <dxfs count="3">
    <dxf>
      <fill>
        <patternFill patternType="none"/>
      </fill>
    </dxf>
    <dxf>
      <fill>
        <patternFill patternType="none"/>
      </fill>
    </dxf>
    <dxf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customschemas.google.com/relationships/workbookmetadata" Target="metadata"/><Relationship Id="rId2" Type="http://schemas.openxmlformats.org/officeDocument/2006/relationships/worksheet" Target="worksheets/sheet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C1000"/>
  <sheetViews>
    <sheetView topLeftCell="A13" workbookViewId="0">
      <selection activeCell="J1" sqref="J1:J1048576"/>
    </sheetView>
  </sheetViews>
  <sheetFormatPr baseColWidth="10" defaultColWidth="14.44140625" defaultRowHeight="15" customHeight="1" x14ac:dyDescent="0.3"/>
  <cols>
    <col min="1" max="1" width="33.44140625" customWidth="1"/>
    <col min="2" max="2" width="17.44140625" customWidth="1"/>
    <col min="3" max="3" width="8.88671875" customWidth="1"/>
    <col min="4" max="4" width="10.109375" customWidth="1"/>
    <col min="5" max="8" width="9.33203125" customWidth="1"/>
    <col min="9" max="9" width="9.6640625" customWidth="1"/>
    <col min="10" max="10" width="10.6640625" customWidth="1"/>
    <col min="11" max="11" width="9.33203125" hidden="1" customWidth="1"/>
    <col min="12" max="12" width="8.88671875" hidden="1" customWidth="1"/>
    <col min="13" max="13" width="11" hidden="1" customWidth="1"/>
    <col min="14" max="14" width="10.33203125" hidden="1" customWidth="1"/>
    <col min="15" max="15" width="10.6640625" hidden="1" customWidth="1"/>
    <col min="16" max="16" width="15.6640625" customWidth="1"/>
    <col min="17" max="17" width="10.6640625" customWidth="1"/>
    <col min="18" max="18" width="12.44140625" customWidth="1"/>
    <col min="19" max="19" width="9.5546875" customWidth="1"/>
    <col min="20" max="20" width="9.33203125" customWidth="1"/>
    <col min="21" max="21" width="10.33203125" customWidth="1"/>
    <col min="22" max="22" width="7.88671875" customWidth="1"/>
    <col min="23" max="23" width="11.44140625" customWidth="1"/>
    <col min="24" max="24" width="10.6640625" customWidth="1"/>
    <col min="25" max="25" width="12.5546875" customWidth="1"/>
    <col min="26" max="26" width="12.44140625" customWidth="1"/>
    <col min="27" max="29" width="10.6640625" customWidth="1"/>
  </cols>
  <sheetData>
    <row r="1" spans="1:29" ht="30" customHeight="1" x14ac:dyDescent="0.3">
      <c r="A1" s="1" t="s">
        <v>0</v>
      </c>
      <c r="B1" s="2" t="s">
        <v>1</v>
      </c>
      <c r="C1" s="3">
        <v>5000</v>
      </c>
      <c r="D1" s="3">
        <v>10000</v>
      </c>
      <c r="E1" s="3">
        <v>20000</v>
      </c>
      <c r="F1" s="3">
        <v>30000</v>
      </c>
      <c r="G1" s="3">
        <v>40000</v>
      </c>
      <c r="H1" s="3">
        <v>50000</v>
      </c>
      <c r="I1" s="3">
        <v>60000</v>
      </c>
      <c r="J1" s="3">
        <v>70000</v>
      </c>
      <c r="K1" s="3">
        <v>80000</v>
      </c>
      <c r="L1" s="3">
        <v>90000</v>
      </c>
      <c r="M1" s="3">
        <v>100000</v>
      </c>
      <c r="N1" s="3">
        <v>110000</v>
      </c>
      <c r="O1" s="4">
        <v>120000</v>
      </c>
      <c r="P1" s="5"/>
      <c r="Q1" s="5"/>
      <c r="R1" s="5" t="s">
        <v>2</v>
      </c>
      <c r="S1" s="5"/>
      <c r="T1" s="5"/>
      <c r="U1" s="2" t="s">
        <v>1</v>
      </c>
      <c r="V1" s="5"/>
      <c r="W1" s="5"/>
      <c r="X1" s="5"/>
      <c r="Y1" s="198"/>
      <c r="Z1" s="193"/>
      <c r="AA1" s="193"/>
      <c r="AB1" s="193"/>
      <c r="AC1" s="193"/>
    </row>
    <row r="2" spans="1:29" ht="14.4" x14ac:dyDescent="0.3">
      <c r="A2" s="6" t="s">
        <v>3</v>
      </c>
      <c r="B2" s="7">
        <f t="shared" ref="B2:B18" si="0">$R$2*U2</f>
        <v>245.88</v>
      </c>
      <c r="C2" s="8">
        <v>40.98</v>
      </c>
      <c r="D2" s="8">
        <v>40.98</v>
      </c>
      <c r="E2" s="8">
        <v>40.98</v>
      </c>
      <c r="F2" s="8">
        <v>40.98</v>
      </c>
      <c r="G2" s="8">
        <v>40.98</v>
      </c>
      <c r="H2" s="8">
        <v>40.98</v>
      </c>
      <c r="I2" s="8">
        <v>40.98</v>
      </c>
      <c r="J2" s="8">
        <v>40.98</v>
      </c>
      <c r="K2" s="8"/>
      <c r="L2" s="8"/>
      <c r="M2" s="8"/>
      <c r="N2" s="8"/>
      <c r="O2" s="9"/>
      <c r="R2" s="10">
        <v>6</v>
      </c>
      <c r="S2" s="11"/>
      <c r="T2" s="12"/>
      <c r="U2" s="7">
        <f>40.98</f>
        <v>40.98</v>
      </c>
      <c r="V2" s="12"/>
      <c r="W2" s="13"/>
      <c r="Y2" s="199"/>
      <c r="Z2" s="200"/>
      <c r="AA2" s="14"/>
      <c r="AB2" s="200"/>
      <c r="AC2" s="200"/>
    </row>
    <row r="3" spans="1:29" ht="14.4" x14ac:dyDescent="0.3">
      <c r="A3" s="6" t="s">
        <v>4</v>
      </c>
      <c r="B3" s="7">
        <f t="shared" si="0"/>
        <v>36.06</v>
      </c>
      <c r="C3" s="8">
        <v>6.01</v>
      </c>
      <c r="D3" s="8">
        <v>6.01</v>
      </c>
      <c r="E3" s="8">
        <v>6.01</v>
      </c>
      <c r="F3" s="8">
        <v>6.01</v>
      </c>
      <c r="G3" s="8">
        <v>6.01</v>
      </c>
      <c r="H3" s="8">
        <v>6.01</v>
      </c>
      <c r="I3" s="8">
        <v>6.01</v>
      </c>
      <c r="J3" s="8">
        <v>6.01</v>
      </c>
      <c r="K3" s="8"/>
      <c r="L3" s="8"/>
      <c r="M3" s="8"/>
      <c r="N3" s="8"/>
      <c r="O3" s="9"/>
      <c r="R3" s="11"/>
      <c r="S3" s="12"/>
      <c r="T3" s="12"/>
      <c r="U3" s="7">
        <f>6.01</f>
        <v>6.01</v>
      </c>
      <c r="V3" s="12"/>
      <c r="W3" s="13"/>
      <c r="Y3" s="193"/>
      <c r="Z3" s="193"/>
      <c r="AA3" s="14"/>
      <c r="AB3" s="193"/>
      <c r="AC3" s="193"/>
    </row>
    <row r="4" spans="1:29" ht="14.4" x14ac:dyDescent="0.3">
      <c r="A4" s="6" t="s">
        <v>5</v>
      </c>
      <c r="B4" s="7">
        <f t="shared" si="0"/>
        <v>39</v>
      </c>
      <c r="C4" s="8">
        <v>6.5</v>
      </c>
      <c r="D4" s="8">
        <v>6.5</v>
      </c>
      <c r="E4" s="8">
        <v>6.5</v>
      </c>
      <c r="F4" s="8">
        <v>6.5</v>
      </c>
      <c r="G4" s="8">
        <v>6.5</v>
      </c>
      <c r="H4" s="8">
        <v>6.5</v>
      </c>
      <c r="I4" s="8">
        <v>6.5</v>
      </c>
      <c r="J4" s="8">
        <v>6.5</v>
      </c>
      <c r="K4" s="8"/>
      <c r="L4" s="8"/>
      <c r="M4" s="8"/>
      <c r="N4" s="8"/>
      <c r="O4" s="9"/>
      <c r="R4" s="11"/>
      <c r="S4" s="12"/>
      <c r="T4" s="12"/>
      <c r="U4" s="7">
        <f>6.5</f>
        <v>6.5</v>
      </c>
      <c r="V4" s="12"/>
      <c r="W4" s="13"/>
      <c r="Y4" s="15"/>
      <c r="Z4" s="16"/>
      <c r="AA4" s="16"/>
      <c r="AB4" s="17"/>
      <c r="AC4" s="16"/>
    </row>
    <row r="5" spans="1:29" ht="14.4" x14ac:dyDescent="0.3">
      <c r="A5" s="6" t="s">
        <v>6</v>
      </c>
      <c r="B5" s="7">
        <f t="shared" si="0"/>
        <v>105.30000000000001</v>
      </c>
      <c r="C5" s="8">
        <v>17.55</v>
      </c>
      <c r="D5" s="8">
        <v>17.55</v>
      </c>
      <c r="E5" s="8">
        <v>17.55</v>
      </c>
      <c r="F5" s="8">
        <v>17.55</v>
      </c>
      <c r="G5" s="8">
        <v>17.55</v>
      </c>
      <c r="H5" s="8">
        <v>17.55</v>
      </c>
      <c r="I5" s="8">
        <v>17.55</v>
      </c>
      <c r="J5" s="8">
        <v>17.55</v>
      </c>
      <c r="K5" s="8"/>
      <c r="L5" s="8"/>
      <c r="M5" s="8"/>
      <c r="N5" s="8"/>
      <c r="O5" s="9"/>
      <c r="R5" s="11"/>
      <c r="S5" s="12"/>
      <c r="T5" s="12"/>
      <c r="U5" s="7">
        <f>17.55</f>
        <v>17.55</v>
      </c>
      <c r="V5" s="12"/>
      <c r="W5" s="13"/>
      <c r="Y5" s="15"/>
      <c r="Z5" s="16"/>
      <c r="AA5" s="16"/>
      <c r="AB5" s="17"/>
      <c r="AC5" s="16"/>
    </row>
    <row r="6" spans="1:29" ht="14.4" x14ac:dyDescent="0.3">
      <c r="A6" s="6" t="s">
        <v>7</v>
      </c>
      <c r="B6" s="7">
        <f t="shared" si="0"/>
        <v>0</v>
      </c>
      <c r="C6" s="8"/>
      <c r="D6" s="8">
        <v>10.45</v>
      </c>
      <c r="E6" s="8">
        <v>10.45</v>
      </c>
      <c r="F6" s="8">
        <v>10.45</v>
      </c>
      <c r="G6" s="8">
        <v>10.45</v>
      </c>
      <c r="H6" s="8">
        <v>10.45</v>
      </c>
      <c r="I6" s="8">
        <v>10.45</v>
      </c>
      <c r="J6" s="8">
        <v>10.45</v>
      </c>
      <c r="K6" s="8"/>
      <c r="L6" s="8"/>
      <c r="M6" s="8"/>
      <c r="N6" s="8"/>
      <c r="O6" s="9"/>
      <c r="R6" s="11"/>
      <c r="T6" s="12"/>
      <c r="U6" s="7"/>
      <c r="V6" s="12"/>
      <c r="W6" s="13"/>
      <c r="Y6" s="15"/>
      <c r="Z6" s="16"/>
      <c r="AA6" s="16"/>
      <c r="AB6" s="17"/>
      <c r="AC6" s="16"/>
    </row>
    <row r="7" spans="1:29" ht="14.4" x14ac:dyDescent="0.3">
      <c r="A7" s="6" t="s">
        <v>8</v>
      </c>
      <c r="B7" s="7">
        <f t="shared" si="0"/>
        <v>0</v>
      </c>
      <c r="C7" s="8"/>
      <c r="D7" s="8">
        <v>7.69</v>
      </c>
      <c r="E7" s="8">
        <v>7.69</v>
      </c>
      <c r="F7" s="8">
        <v>7.69</v>
      </c>
      <c r="G7" s="8">
        <v>7.69</v>
      </c>
      <c r="H7" s="8">
        <v>7.69</v>
      </c>
      <c r="I7" s="8">
        <v>7.69</v>
      </c>
      <c r="J7" s="8">
        <v>7.69</v>
      </c>
      <c r="K7" s="8"/>
      <c r="L7" s="8"/>
      <c r="M7" s="8"/>
      <c r="N7" s="8"/>
      <c r="O7" s="9"/>
      <c r="R7" s="11"/>
      <c r="T7" s="12"/>
      <c r="U7" s="7"/>
      <c r="V7" s="12"/>
      <c r="W7" s="13"/>
      <c r="Y7" s="15"/>
      <c r="Z7" s="16"/>
      <c r="AA7" s="16"/>
      <c r="AB7" s="17"/>
      <c r="AC7" s="16"/>
    </row>
    <row r="8" spans="1:29" ht="14.4" x14ac:dyDescent="0.3">
      <c r="A8" s="6" t="s">
        <v>9</v>
      </c>
      <c r="B8" s="7">
        <f t="shared" si="0"/>
        <v>0</v>
      </c>
      <c r="C8" s="8"/>
      <c r="D8" s="8">
        <v>26.87</v>
      </c>
      <c r="E8" s="8"/>
      <c r="F8" s="8">
        <v>26.87</v>
      </c>
      <c r="G8" s="8"/>
      <c r="H8" s="8">
        <v>26.87</v>
      </c>
      <c r="I8" s="8"/>
      <c r="J8" s="8">
        <v>26.87</v>
      </c>
      <c r="K8" s="8"/>
      <c r="L8" s="8"/>
      <c r="M8" s="8"/>
      <c r="N8" s="8"/>
      <c r="O8" s="9"/>
      <c r="R8" s="11"/>
      <c r="U8" s="7"/>
      <c r="V8" s="12"/>
      <c r="W8" s="13"/>
      <c r="Y8" s="15"/>
      <c r="Z8" s="16"/>
      <c r="AA8" s="16"/>
      <c r="AB8" s="17"/>
      <c r="AC8" s="16"/>
    </row>
    <row r="9" spans="1:29" ht="14.4" x14ac:dyDescent="0.3">
      <c r="A9" s="6" t="s">
        <v>10</v>
      </c>
      <c r="B9" s="7">
        <f t="shared" si="0"/>
        <v>0</v>
      </c>
      <c r="C9" s="8"/>
      <c r="D9" s="8">
        <v>27</v>
      </c>
      <c r="E9" s="8"/>
      <c r="F9" s="8">
        <v>27</v>
      </c>
      <c r="G9" s="8"/>
      <c r="H9" s="8">
        <v>27</v>
      </c>
      <c r="I9" s="8"/>
      <c r="J9" s="8">
        <v>27</v>
      </c>
      <c r="K9" s="8"/>
      <c r="L9" s="8"/>
      <c r="M9" s="8"/>
      <c r="N9" s="18"/>
      <c r="O9" s="9"/>
      <c r="R9" s="11"/>
      <c r="T9" s="12"/>
      <c r="U9" s="7"/>
      <c r="V9" s="12"/>
      <c r="W9" s="13"/>
      <c r="Y9" s="15"/>
      <c r="Z9" s="16"/>
      <c r="AA9" s="16"/>
      <c r="AB9" s="17"/>
      <c r="AC9" s="16"/>
    </row>
    <row r="10" spans="1:29" ht="14.4" x14ac:dyDescent="0.3">
      <c r="A10" s="6" t="s">
        <v>11</v>
      </c>
      <c r="B10" s="7">
        <f t="shared" si="0"/>
        <v>0</v>
      </c>
      <c r="C10" s="8"/>
      <c r="D10" s="8"/>
      <c r="E10" s="8">
        <v>6.5</v>
      </c>
      <c r="F10" s="8"/>
      <c r="G10" s="8">
        <v>6.5</v>
      </c>
      <c r="H10" s="8"/>
      <c r="I10" s="8">
        <v>6.5</v>
      </c>
      <c r="J10" s="8"/>
      <c r="K10" s="8"/>
      <c r="L10" s="8"/>
      <c r="M10" s="8"/>
      <c r="N10" s="19"/>
      <c r="O10" s="9"/>
      <c r="R10" s="11"/>
      <c r="U10" s="7"/>
      <c r="V10" s="12"/>
      <c r="W10" s="13"/>
      <c r="Y10" s="15"/>
      <c r="Z10" s="16"/>
      <c r="AA10" s="16"/>
      <c r="AB10" s="17"/>
      <c r="AC10" s="16"/>
    </row>
    <row r="11" spans="1:29" ht="14.4" x14ac:dyDescent="0.3">
      <c r="A11" s="6" t="s">
        <v>12</v>
      </c>
      <c r="B11" s="7">
        <f t="shared" si="0"/>
        <v>0</v>
      </c>
      <c r="C11" s="8"/>
      <c r="D11" s="8">
        <v>5</v>
      </c>
      <c r="E11" s="8">
        <v>5</v>
      </c>
      <c r="F11" s="8">
        <v>5</v>
      </c>
      <c r="G11" s="8">
        <v>5</v>
      </c>
      <c r="H11" s="8">
        <v>5</v>
      </c>
      <c r="I11" s="8">
        <v>5</v>
      </c>
      <c r="J11" s="8">
        <v>5</v>
      </c>
      <c r="K11" s="8"/>
      <c r="L11" s="8"/>
      <c r="M11" s="8"/>
      <c r="N11" s="8"/>
      <c r="O11" s="9"/>
      <c r="R11" s="11"/>
      <c r="T11" s="12"/>
      <c r="U11" s="7"/>
      <c r="V11" s="12"/>
      <c r="W11" s="13"/>
      <c r="Y11" s="15"/>
      <c r="Z11" s="16"/>
      <c r="AA11" s="16"/>
      <c r="AB11" s="17"/>
      <c r="AC11" s="16"/>
    </row>
    <row r="12" spans="1:29" ht="14.4" x14ac:dyDescent="0.3">
      <c r="A12" s="6" t="s">
        <v>13</v>
      </c>
      <c r="B12" s="7">
        <f t="shared" si="0"/>
        <v>0</v>
      </c>
      <c r="C12" s="8"/>
      <c r="D12" s="8">
        <v>5.4</v>
      </c>
      <c r="E12" s="8">
        <v>5.4</v>
      </c>
      <c r="F12" s="8">
        <v>5.4</v>
      </c>
      <c r="G12" s="8">
        <v>5.4</v>
      </c>
      <c r="H12" s="8">
        <v>5.4</v>
      </c>
      <c r="I12" s="8">
        <v>5.4</v>
      </c>
      <c r="J12" s="8">
        <v>5.4</v>
      </c>
      <c r="K12" s="8"/>
      <c r="L12" s="8"/>
      <c r="M12" s="8"/>
      <c r="N12" s="8"/>
      <c r="O12" s="9"/>
      <c r="R12" s="11"/>
      <c r="U12" s="7"/>
      <c r="V12" s="12"/>
      <c r="W12" s="13"/>
      <c r="Y12" s="15"/>
      <c r="Z12" s="16"/>
      <c r="AA12" s="16"/>
      <c r="AB12" s="17"/>
      <c r="AC12" s="16"/>
    </row>
    <row r="13" spans="1:29" ht="14.4" x14ac:dyDescent="0.3">
      <c r="A13" s="6" t="s">
        <v>14</v>
      </c>
      <c r="B13" s="7">
        <f t="shared" si="0"/>
        <v>0</v>
      </c>
      <c r="C13" s="8"/>
      <c r="D13" s="8"/>
      <c r="E13" s="8"/>
      <c r="F13" s="8"/>
      <c r="G13" s="8">
        <v>15</v>
      </c>
      <c r="H13" s="8"/>
      <c r="I13" s="8"/>
      <c r="J13" s="8"/>
      <c r="K13" s="8"/>
      <c r="L13" s="8"/>
      <c r="M13" s="8"/>
      <c r="N13" s="8"/>
      <c r="O13" s="9"/>
      <c r="R13" s="11"/>
      <c r="T13" s="12"/>
      <c r="U13" s="7"/>
      <c r="V13" s="12"/>
      <c r="W13" s="13"/>
      <c r="Y13" s="15"/>
      <c r="Z13" s="16"/>
      <c r="AA13" s="16"/>
      <c r="AB13" s="17"/>
      <c r="AC13" s="16"/>
    </row>
    <row r="14" spans="1:29" ht="14.4" x14ac:dyDescent="0.3">
      <c r="A14" s="6" t="s">
        <v>15</v>
      </c>
      <c r="B14" s="7">
        <f t="shared" si="0"/>
        <v>0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9"/>
      <c r="R14" s="11"/>
      <c r="U14" s="7"/>
      <c r="V14" s="12"/>
      <c r="W14" s="13"/>
      <c r="Y14" s="15"/>
      <c r="Z14" s="16"/>
      <c r="AA14" s="16"/>
      <c r="AB14" s="17"/>
      <c r="AC14" s="16"/>
    </row>
    <row r="15" spans="1:29" ht="14.4" x14ac:dyDescent="0.3">
      <c r="A15" s="6" t="s">
        <v>16</v>
      </c>
      <c r="B15" s="7">
        <f t="shared" si="0"/>
        <v>0</v>
      </c>
      <c r="C15" s="8">
        <v>31.56</v>
      </c>
      <c r="D15" s="8"/>
      <c r="E15" s="8"/>
      <c r="F15" s="8"/>
      <c r="G15" s="8"/>
      <c r="H15" s="8">
        <v>31.56</v>
      </c>
      <c r="I15" s="8"/>
      <c r="J15" s="8"/>
      <c r="K15" s="8"/>
      <c r="L15" s="8"/>
      <c r="M15" s="8"/>
      <c r="N15" s="8"/>
      <c r="O15" s="9"/>
      <c r="R15" s="11"/>
      <c r="T15" s="12"/>
      <c r="U15" s="7"/>
      <c r="V15" s="12"/>
      <c r="W15" s="13"/>
      <c r="Y15" s="15"/>
      <c r="Z15" s="16"/>
      <c r="AA15" s="16"/>
      <c r="AB15" s="17"/>
      <c r="AC15" s="16"/>
    </row>
    <row r="16" spans="1:29" ht="14.4" x14ac:dyDescent="0.3">
      <c r="A16" s="6" t="s">
        <v>17</v>
      </c>
      <c r="B16" s="7">
        <f t="shared" si="0"/>
        <v>0</v>
      </c>
      <c r="C16" s="8">
        <v>22.5</v>
      </c>
      <c r="D16" s="8"/>
      <c r="E16" s="8"/>
      <c r="F16" s="8"/>
      <c r="G16" s="8"/>
      <c r="H16" s="8">
        <v>22.5</v>
      </c>
      <c r="I16" s="8"/>
      <c r="J16" s="8"/>
      <c r="K16" s="8"/>
      <c r="L16" s="8"/>
      <c r="M16" s="8"/>
      <c r="N16" s="8"/>
      <c r="O16" s="9"/>
      <c r="R16" s="11"/>
      <c r="T16" s="12"/>
      <c r="U16" s="7"/>
      <c r="V16" s="12"/>
      <c r="W16" s="13"/>
      <c r="Y16" s="15"/>
      <c r="Z16" s="16"/>
      <c r="AA16" s="16"/>
      <c r="AB16" s="17"/>
      <c r="AC16" s="16"/>
    </row>
    <row r="17" spans="1:29" ht="14.4" x14ac:dyDescent="0.3">
      <c r="A17" s="6" t="s">
        <v>18</v>
      </c>
      <c r="B17" s="7">
        <f t="shared" si="0"/>
        <v>21</v>
      </c>
      <c r="C17" s="8">
        <v>3.5</v>
      </c>
      <c r="D17" s="8">
        <v>3.5</v>
      </c>
      <c r="E17" s="8">
        <v>3.5</v>
      </c>
      <c r="F17" s="8">
        <v>3.5</v>
      </c>
      <c r="G17" s="8">
        <v>3.5</v>
      </c>
      <c r="H17" s="8">
        <v>3.5</v>
      </c>
      <c r="I17" s="8">
        <v>3.5</v>
      </c>
      <c r="J17" s="8">
        <v>3.5</v>
      </c>
      <c r="K17" s="8"/>
      <c r="L17" s="8"/>
      <c r="M17" s="8"/>
      <c r="N17" s="8"/>
      <c r="O17" s="9"/>
      <c r="R17" s="11"/>
      <c r="U17" s="7">
        <f>3.5</f>
        <v>3.5</v>
      </c>
      <c r="V17" s="12"/>
      <c r="W17" s="13"/>
      <c r="Y17" s="15"/>
      <c r="Z17" s="16"/>
      <c r="AA17" s="16"/>
      <c r="AB17" s="17"/>
      <c r="AC17" s="16"/>
    </row>
    <row r="18" spans="1:29" ht="14.4" x14ac:dyDescent="0.3">
      <c r="A18" s="6" t="s">
        <v>19</v>
      </c>
      <c r="B18" s="7">
        <f t="shared" si="0"/>
        <v>0</v>
      </c>
      <c r="C18" s="8"/>
      <c r="D18" s="8"/>
      <c r="E18" s="8"/>
      <c r="F18" s="8">
        <v>7.33</v>
      </c>
      <c r="G18" s="8"/>
      <c r="H18" s="8"/>
      <c r="I18" s="8">
        <v>7.33</v>
      </c>
      <c r="J18" s="8"/>
      <c r="K18" s="8"/>
      <c r="L18" s="8"/>
      <c r="M18" s="8"/>
      <c r="N18" s="8"/>
      <c r="O18" s="9"/>
      <c r="R18" s="11"/>
      <c r="U18" s="7"/>
      <c r="V18" s="12"/>
      <c r="W18" s="13"/>
      <c r="Y18" s="15"/>
      <c r="Z18" s="16"/>
      <c r="AA18" s="16"/>
      <c r="AB18" s="17"/>
      <c r="AC18" s="16"/>
    </row>
    <row r="19" spans="1:29" ht="14.4" x14ac:dyDescent="0.3">
      <c r="A19" s="20" t="s">
        <v>20</v>
      </c>
      <c r="B19" s="7">
        <f>R19*U19</f>
        <v>0</v>
      </c>
      <c r="C19" s="21">
        <v>0</v>
      </c>
      <c r="D19" s="21">
        <v>0</v>
      </c>
      <c r="E19" s="21">
        <v>12</v>
      </c>
      <c r="F19" s="21">
        <v>0</v>
      </c>
      <c r="G19" s="21">
        <v>12</v>
      </c>
      <c r="H19" s="21">
        <v>0</v>
      </c>
      <c r="I19" s="21">
        <v>12</v>
      </c>
      <c r="J19" s="21">
        <v>0</v>
      </c>
      <c r="K19" s="21"/>
      <c r="L19" s="21"/>
      <c r="M19" s="21"/>
      <c r="N19" s="21"/>
      <c r="O19" s="22"/>
      <c r="R19" s="11"/>
      <c r="T19" s="12"/>
      <c r="U19" s="23">
        <v>0</v>
      </c>
      <c r="V19" s="12"/>
      <c r="W19" s="13"/>
      <c r="Y19" s="15"/>
      <c r="Z19" s="16"/>
      <c r="AA19" s="16"/>
      <c r="AB19" s="17"/>
      <c r="AC19" s="16"/>
    </row>
    <row r="20" spans="1:29" ht="14.4" x14ac:dyDescent="0.3">
      <c r="A20" s="24" t="s">
        <v>21</v>
      </c>
      <c r="B20" s="25">
        <f t="shared" ref="B20:J20" si="1">B3+B4+B5+B6+B8+B9+B10+B11+B12+B14+B17+B7</f>
        <v>201.36</v>
      </c>
      <c r="C20" s="26">
        <f t="shared" si="1"/>
        <v>33.56</v>
      </c>
      <c r="D20" s="26">
        <f t="shared" si="1"/>
        <v>115.97000000000001</v>
      </c>
      <c r="E20" s="26">
        <f t="shared" si="1"/>
        <v>68.600000000000009</v>
      </c>
      <c r="F20" s="26">
        <f t="shared" si="1"/>
        <v>115.97000000000001</v>
      </c>
      <c r="G20" s="26">
        <f t="shared" si="1"/>
        <v>68.600000000000009</v>
      </c>
      <c r="H20" s="26">
        <f t="shared" si="1"/>
        <v>115.97000000000001</v>
      </c>
      <c r="I20" s="26">
        <f t="shared" si="1"/>
        <v>68.600000000000009</v>
      </c>
      <c r="J20" s="26">
        <f t="shared" si="1"/>
        <v>115.97000000000001</v>
      </c>
      <c r="K20" s="26"/>
      <c r="L20" s="26"/>
      <c r="M20" s="26"/>
      <c r="N20" s="26"/>
      <c r="O20" s="27"/>
      <c r="P20" s="13">
        <f t="shared" ref="P20:P21" si="2">SUM(B20:O20)</f>
        <v>904.60000000000014</v>
      </c>
      <c r="R20" s="11"/>
      <c r="U20" s="25">
        <f>U3+U4+U5+U6+U8+U9+U10+U11+U12+U14+U17+U7</f>
        <v>33.56</v>
      </c>
      <c r="V20" s="12"/>
      <c r="W20" s="13"/>
      <c r="Y20" s="15"/>
      <c r="Z20" s="16"/>
      <c r="AA20" s="16"/>
      <c r="AB20" s="17"/>
      <c r="AC20" s="16"/>
    </row>
    <row r="21" spans="1:29" ht="15.75" customHeight="1" x14ac:dyDescent="0.3">
      <c r="A21" s="28" t="s">
        <v>22</v>
      </c>
      <c r="B21" s="25">
        <f>R2*U21</f>
        <v>88.679999999999993</v>
      </c>
      <c r="C21" s="29">
        <v>19.399999999999999</v>
      </c>
      <c r="D21" s="29">
        <v>157</v>
      </c>
      <c r="E21" s="29">
        <v>181.69</v>
      </c>
      <c r="F21" s="29">
        <v>175.34</v>
      </c>
      <c r="G21" s="29">
        <v>213.44</v>
      </c>
      <c r="H21" s="29">
        <v>169.34</v>
      </c>
      <c r="I21" s="29">
        <v>196.51</v>
      </c>
      <c r="J21" s="29">
        <v>148.18</v>
      </c>
      <c r="K21" s="29"/>
      <c r="L21" s="29"/>
      <c r="M21" s="30"/>
      <c r="N21" s="29"/>
      <c r="O21" s="30"/>
      <c r="P21" s="13">
        <f t="shared" si="2"/>
        <v>1349.5800000000002</v>
      </c>
      <c r="R21" s="11"/>
      <c r="T21" s="12"/>
      <c r="U21" s="25">
        <f>14.78</f>
        <v>14.78</v>
      </c>
      <c r="V21" s="12"/>
      <c r="W21" s="13"/>
      <c r="Y21" s="15"/>
      <c r="Z21" s="16"/>
      <c r="AA21" s="16"/>
      <c r="AB21" s="17"/>
      <c r="AC21" s="16"/>
    </row>
    <row r="22" spans="1:29" ht="15.75" customHeight="1" x14ac:dyDescent="0.3">
      <c r="A22" s="31" t="s">
        <v>23</v>
      </c>
      <c r="B22" s="32">
        <v>0</v>
      </c>
      <c r="C22" s="33">
        <v>0</v>
      </c>
      <c r="D22" s="33">
        <v>17.16</v>
      </c>
      <c r="E22" s="33">
        <v>17.16</v>
      </c>
      <c r="F22" s="33">
        <v>17.16</v>
      </c>
      <c r="G22" s="33">
        <v>17.16</v>
      </c>
      <c r="H22" s="33">
        <v>17.16</v>
      </c>
      <c r="I22" s="33">
        <v>17.16</v>
      </c>
      <c r="J22" s="33">
        <v>17.16</v>
      </c>
      <c r="K22" s="33"/>
      <c r="L22" s="33"/>
      <c r="M22" s="33"/>
      <c r="N22" s="33"/>
      <c r="O22" s="34"/>
      <c r="P22" s="35"/>
      <c r="R22" s="11"/>
      <c r="U22" s="32">
        <v>0</v>
      </c>
      <c r="V22" s="12"/>
      <c r="W22" s="13"/>
      <c r="Y22" s="15"/>
      <c r="Z22" s="16"/>
      <c r="AA22" s="16"/>
      <c r="AB22" s="17"/>
      <c r="AC22" s="16"/>
    </row>
    <row r="23" spans="1:29" ht="15.75" customHeight="1" x14ac:dyDescent="0.3">
      <c r="A23" s="36" t="s">
        <v>24</v>
      </c>
      <c r="B23" s="37"/>
      <c r="C23" s="38"/>
      <c r="D23" s="38">
        <v>15.84</v>
      </c>
      <c r="E23" s="38">
        <v>15.84</v>
      </c>
      <c r="F23" s="38">
        <v>15.84</v>
      </c>
      <c r="G23" s="38">
        <v>15.84</v>
      </c>
      <c r="H23" s="38">
        <v>15.84</v>
      </c>
      <c r="I23" s="38">
        <v>15.84</v>
      </c>
      <c r="J23" s="38">
        <v>15.84</v>
      </c>
      <c r="K23" s="38"/>
      <c r="L23" s="38"/>
      <c r="M23" s="38"/>
      <c r="N23" s="38"/>
      <c r="O23" s="39"/>
      <c r="P23" s="35"/>
      <c r="R23" s="11"/>
      <c r="U23" s="37"/>
      <c r="V23" s="12"/>
      <c r="W23" s="13"/>
      <c r="Y23" s="15"/>
      <c r="Z23" s="16"/>
      <c r="AA23" s="16"/>
      <c r="AB23" s="17"/>
      <c r="AC23" s="16"/>
    </row>
    <row r="24" spans="1:29" ht="15.75" customHeight="1" x14ac:dyDescent="0.3">
      <c r="A24" s="40" t="s">
        <v>25</v>
      </c>
      <c r="B24" s="41">
        <v>0</v>
      </c>
      <c r="C24" s="42">
        <v>0</v>
      </c>
      <c r="D24" s="42">
        <v>0</v>
      </c>
      <c r="E24" s="42">
        <v>16.5</v>
      </c>
      <c r="F24" s="42">
        <v>0</v>
      </c>
      <c r="G24" s="42">
        <v>16.5</v>
      </c>
      <c r="H24" s="42">
        <v>0</v>
      </c>
      <c r="I24" s="42">
        <v>16.5</v>
      </c>
      <c r="J24" s="42">
        <v>0</v>
      </c>
      <c r="K24" s="42"/>
      <c r="L24" s="42"/>
      <c r="M24" s="42"/>
      <c r="N24" s="42"/>
      <c r="O24" s="43"/>
      <c r="P24" s="35"/>
      <c r="R24" s="11"/>
      <c r="T24" s="12"/>
      <c r="U24" s="41">
        <v>0</v>
      </c>
      <c r="V24" s="12"/>
      <c r="W24" s="13"/>
      <c r="Y24" s="15"/>
      <c r="Z24" s="16"/>
      <c r="AA24" s="16"/>
      <c r="AB24" s="17"/>
      <c r="AC24" s="16"/>
    </row>
    <row r="25" spans="1:29" ht="15.75" hidden="1" customHeight="1" x14ac:dyDescent="0.3">
      <c r="A25" s="44" t="s">
        <v>26</v>
      </c>
      <c r="B25" s="25">
        <f>SUM(B21:B24)</f>
        <v>88.679999999999993</v>
      </c>
      <c r="C25" s="26"/>
      <c r="D25" s="26"/>
      <c r="E25" s="26"/>
      <c r="F25" s="26">
        <f t="shared" ref="F25:J25" si="3">SUM(F21:F24)</f>
        <v>208.34</v>
      </c>
      <c r="G25" s="26">
        <f t="shared" si="3"/>
        <v>262.94</v>
      </c>
      <c r="H25" s="26">
        <f t="shared" si="3"/>
        <v>202.34</v>
      </c>
      <c r="I25" s="26">
        <f t="shared" si="3"/>
        <v>246.01</v>
      </c>
      <c r="J25" s="26">
        <f t="shared" si="3"/>
        <v>181.18</v>
      </c>
      <c r="K25" s="26"/>
      <c r="L25" s="26"/>
      <c r="M25" s="26"/>
      <c r="N25" s="26"/>
      <c r="O25" s="27"/>
      <c r="P25" s="35"/>
      <c r="R25" s="11"/>
      <c r="U25" s="25">
        <f>SUM(U21:U24)</f>
        <v>14.78</v>
      </c>
      <c r="V25" s="12"/>
      <c r="W25" s="13"/>
      <c r="Y25" s="15"/>
      <c r="Z25" s="16"/>
      <c r="AA25" s="16"/>
      <c r="AB25" s="17"/>
      <c r="AC25" s="16"/>
    </row>
    <row r="26" spans="1:29" ht="15.75" hidden="1" customHeight="1" x14ac:dyDescent="0.3">
      <c r="A26" s="45" t="s">
        <v>27</v>
      </c>
      <c r="B26" s="37">
        <f>+B20+B25</f>
        <v>290.04000000000002</v>
      </c>
      <c r="C26" s="46"/>
      <c r="D26" s="46"/>
      <c r="E26" s="46"/>
      <c r="F26" s="46">
        <f t="shared" ref="F26:J26" si="4">+F20+F25</f>
        <v>324.31</v>
      </c>
      <c r="G26" s="46">
        <f t="shared" si="4"/>
        <v>331.54</v>
      </c>
      <c r="H26" s="46">
        <f t="shared" si="4"/>
        <v>318.31</v>
      </c>
      <c r="I26" s="46">
        <f t="shared" si="4"/>
        <v>314.61</v>
      </c>
      <c r="J26" s="46">
        <f t="shared" si="4"/>
        <v>297.15000000000003</v>
      </c>
      <c r="K26" s="46"/>
      <c r="L26" s="46"/>
      <c r="M26" s="46"/>
      <c r="N26" s="46"/>
      <c r="O26" s="47"/>
      <c r="P26" s="35"/>
      <c r="R26" s="11"/>
      <c r="S26" s="12"/>
      <c r="T26" s="12"/>
      <c r="U26" s="37">
        <f>+U20+U25</f>
        <v>48.34</v>
      </c>
      <c r="V26" s="12"/>
      <c r="W26" s="13"/>
      <c r="Y26" s="15"/>
      <c r="Z26" s="16"/>
      <c r="AA26" s="16"/>
      <c r="AB26" s="17"/>
      <c r="AC26" s="16"/>
    </row>
    <row r="27" spans="1:29" ht="15.75" customHeight="1" x14ac:dyDescent="0.3">
      <c r="A27" s="48" t="s">
        <v>28</v>
      </c>
      <c r="B27" s="49">
        <f t="shared" ref="B27:J27" si="5">B2+B13+B15+B16+B18+B19</f>
        <v>245.88</v>
      </c>
      <c r="C27" s="50">
        <f t="shared" si="5"/>
        <v>95.039999999999992</v>
      </c>
      <c r="D27" s="50">
        <f t="shared" si="5"/>
        <v>40.98</v>
      </c>
      <c r="E27" s="50">
        <f t="shared" si="5"/>
        <v>52.98</v>
      </c>
      <c r="F27" s="50">
        <f t="shared" si="5"/>
        <v>48.309999999999995</v>
      </c>
      <c r="G27" s="50">
        <f t="shared" si="5"/>
        <v>67.97999999999999</v>
      </c>
      <c r="H27" s="50">
        <f t="shared" si="5"/>
        <v>95.039999999999992</v>
      </c>
      <c r="I27" s="50">
        <f t="shared" si="5"/>
        <v>60.309999999999995</v>
      </c>
      <c r="J27" s="50">
        <f t="shared" si="5"/>
        <v>40.98</v>
      </c>
      <c r="K27" s="50"/>
      <c r="L27" s="50"/>
      <c r="M27" s="50"/>
      <c r="N27" s="50"/>
      <c r="O27" s="51"/>
      <c r="P27" s="13">
        <f>SUM(B27:O27)</f>
        <v>747.49999999999989</v>
      </c>
      <c r="Q27" s="52" t="s">
        <v>29</v>
      </c>
      <c r="R27" s="11"/>
      <c r="S27" s="12"/>
      <c r="T27" s="12"/>
      <c r="U27" s="49">
        <f>U2+U13+U15+U16+U18+U19</f>
        <v>40.98</v>
      </c>
      <c r="V27" s="12"/>
      <c r="W27" s="13"/>
      <c r="Y27" s="15"/>
      <c r="Z27" s="16"/>
      <c r="AA27" s="16"/>
      <c r="AB27" s="17"/>
      <c r="AC27" s="16"/>
    </row>
    <row r="28" spans="1:29" ht="15.75" customHeight="1" x14ac:dyDescent="0.3">
      <c r="A28" s="53"/>
      <c r="B28" s="12">
        <f t="shared" ref="B28:O28" si="6">B20+B21+B27</f>
        <v>535.92000000000007</v>
      </c>
      <c r="C28" s="12">
        <f t="shared" si="6"/>
        <v>148</v>
      </c>
      <c r="D28" s="12">
        <f t="shared" si="6"/>
        <v>313.95000000000005</v>
      </c>
      <c r="E28" s="12">
        <f t="shared" si="6"/>
        <v>303.27000000000004</v>
      </c>
      <c r="F28" s="12">
        <f t="shared" si="6"/>
        <v>339.62</v>
      </c>
      <c r="G28" s="12">
        <f t="shared" si="6"/>
        <v>350.02</v>
      </c>
      <c r="H28" s="12">
        <f t="shared" si="6"/>
        <v>380.35</v>
      </c>
      <c r="I28" s="12">
        <f t="shared" si="6"/>
        <v>325.42</v>
      </c>
      <c r="J28" s="12">
        <f t="shared" si="6"/>
        <v>305.13000000000005</v>
      </c>
      <c r="K28" s="12">
        <f t="shared" si="6"/>
        <v>0</v>
      </c>
      <c r="L28" s="12">
        <f t="shared" si="6"/>
        <v>0</v>
      </c>
      <c r="M28" s="12">
        <f t="shared" si="6"/>
        <v>0</v>
      </c>
      <c r="N28" s="12">
        <f t="shared" si="6"/>
        <v>0</v>
      </c>
      <c r="O28" s="12">
        <f t="shared" si="6"/>
        <v>0</v>
      </c>
      <c r="P28" s="12">
        <f>SUM(P20:P27)</f>
        <v>3001.6800000000003</v>
      </c>
      <c r="Q28" s="54">
        <f>P28*0.3</f>
        <v>900.50400000000002</v>
      </c>
      <c r="R28" s="11"/>
      <c r="S28" s="12"/>
      <c r="T28" s="12"/>
      <c r="U28" s="12"/>
      <c r="V28" s="12"/>
      <c r="W28" s="13"/>
      <c r="Y28" s="15"/>
      <c r="Z28" s="16"/>
      <c r="AA28" s="16"/>
      <c r="AB28" s="17"/>
      <c r="AC28" s="16"/>
    </row>
    <row r="29" spans="1:29" ht="15.75" customHeight="1" x14ac:dyDescent="0.3">
      <c r="J29" s="12">
        <f>SUM(B28:J28)</f>
        <v>3001.6800000000003</v>
      </c>
      <c r="O29" s="12">
        <f>SUM(B28:O28)</f>
        <v>3001.6800000000003</v>
      </c>
      <c r="P29" s="192" t="s">
        <v>27</v>
      </c>
      <c r="Q29" s="193"/>
      <c r="R29" s="11"/>
      <c r="U29" s="12"/>
      <c r="V29" s="12"/>
      <c r="W29" s="13"/>
      <c r="Y29" s="15"/>
      <c r="Z29" s="16"/>
      <c r="AA29" s="16"/>
      <c r="AB29" s="17"/>
      <c r="AC29" s="16"/>
    </row>
    <row r="30" spans="1:29" ht="15.75" customHeight="1" x14ac:dyDescent="0.3">
      <c r="A30" s="194" t="s">
        <v>30</v>
      </c>
      <c r="B30" s="195"/>
      <c r="C30" s="195"/>
      <c r="D30" s="195"/>
      <c r="E30" s="195"/>
      <c r="F30" s="195"/>
      <c r="G30" s="195"/>
      <c r="H30" s="195"/>
      <c r="I30" s="195"/>
      <c r="J30" s="195"/>
      <c r="K30" s="195"/>
      <c r="L30" s="195"/>
      <c r="M30" s="195"/>
      <c r="N30" s="195"/>
      <c r="O30" s="196"/>
      <c r="P30" s="197">
        <f>SUM(P28:Q28)</f>
        <v>3902.1840000000002</v>
      </c>
      <c r="Q30" s="193"/>
      <c r="R30" s="11"/>
      <c r="S30" s="12"/>
      <c r="T30" s="12"/>
      <c r="U30" s="12"/>
      <c r="V30" s="12"/>
      <c r="W30" s="13"/>
      <c r="Y30" s="15"/>
      <c r="Z30" s="16"/>
      <c r="AA30" s="16"/>
      <c r="AB30" s="17"/>
      <c r="AC30" s="16"/>
    </row>
    <row r="31" spans="1:29" ht="15.75" customHeight="1" x14ac:dyDescent="0.3">
      <c r="A31" s="55" t="s">
        <v>31</v>
      </c>
      <c r="B31" s="56" t="s">
        <v>32</v>
      </c>
      <c r="C31" s="56">
        <v>5000</v>
      </c>
      <c r="D31" s="56">
        <v>10000</v>
      </c>
      <c r="E31" s="56">
        <v>20000</v>
      </c>
      <c r="F31" s="56">
        <v>30000</v>
      </c>
      <c r="G31" s="56">
        <v>40000</v>
      </c>
      <c r="H31" s="56">
        <v>50000</v>
      </c>
      <c r="I31" s="56">
        <v>60000</v>
      </c>
      <c r="J31" s="56">
        <v>70000</v>
      </c>
      <c r="K31" s="56">
        <v>80000</v>
      </c>
      <c r="L31" s="56">
        <v>90000</v>
      </c>
      <c r="M31" s="57">
        <v>100000</v>
      </c>
      <c r="N31" s="58">
        <v>110000</v>
      </c>
      <c r="O31" s="59">
        <v>120000</v>
      </c>
      <c r="Y31" s="15"/>
      <c r="Z31" s="16"/>
      <c r="AA31" s="16"/>
      <c r="AB31" s="17"/>
      <c r="AC31" s="16"/>
    </row>
    <row r="32" spans="1:29" ht="15.75" customHeight="1" x14ac:dyDescent="0.3">
      <c r="A32" s="60" t="s">
        <v>3</v>
      </c>
      <c r="B32" s="61" t="s">
        <v>33</v>
      </c>
      <c r="C32" s="61" t="s">
        <v>33</v>
      </c>
      <c r="D32" s="61" t="s">
        <v>33</v>
      </c>
      <c r="E32" s="61" t="s">
        <v>33</v>
      </c>
      <c r="F32" s="61" t="s">
        <v>33</v>
      </c>
      <c r="G32" s="61" t="s">
        <v>33</v>
      </c>
      <c r="H32" s="61" t="s">
        <v>33</v>
      </c>
      <c r="I32" s="61" t="s">
        <v>33</v>
      </c>
      <c r="J32" s="61" t="s">
        <v>33</v>
      </c>
      <c r="K32" s="61" t="s">
        <v>33</v>
      </c>
      <c r="L32" s="61" t="s">
        <v>33</v>
      </c>
      <c r="M32" s="61" t="s">
        <v>33</v>
      </c>
      <c r="N32" s="61" t="s">
        <v>33</v>
      </c>
      <c r="O32" s="61" t="s">
        <v>33</v>
      </c>
      <c r="Y32" s="15"/>
      <c r="Z32" s="16"/>
      <c r="AA32" s="16"/>
      <c r="AB32" s="17"/>
      <c r="AC32" s="16"/>
    </row>
    <row r="33" spans="1:29" ht="15.75" customHeight="1" x14ac:dyDescent="0.3">
      <c r="A33" s="60" t="s">
        <v>4</v>
      </c>
      <c r="B33" s="61" t="s">
        <v>33</v>
      </c>
      <c r="C33" s="61" t="s">
        <v>33</v>
      </c>
      <c r="D33" s="61" t="s">
        <v>33</v>
      </c>
      <c r="E33" s="61" t="s">
        <v>33</v>
      </c>
      <c r="F33" s="61" t="s">
        <v>33</v>
      </c>
      <c r="G33" s="61" t="s">
        <v>33</v>
      </c>
      <c r="H33" s="61" t="s">
        <v>33</v>
      </c>
      <c r="I33" s="61" t="s">
        <v>33</v>
      </c>
      <c r="J33" s="61" t="s">
        <v>33</v>
      </c>
      <c r="K33" s="61" t="s">
        <v>33</v>
      </c>
      <c r="L33" s="61" t="s">
        <v>33</v>
      </c>
      <c r="M33" s="61" t="s">
        <v>33</v>
      </c>
      <c r="N33" s="61" t="s">
        <v>33</v>
      </c>
      <c r="O33" s="61" t="s">
        <v>33</v>
      </c>
      <c r="Y33" s="62"/>
      <c r="Z33" s="16"/>
      <c r="AA33" s="16"/>
      <c r="AB33" s="16"/>
      <c r="AC33" s="16"/>
    </row>
    <row r="34" spans="1:29" ht="15.75" customHeight="1" x14ac:dyDescent="0.3">
      <c r="A34" s="60" t="s">
        <v>5</v>
      </c>
      <c r="B34" s="61" t="s">
        <v>33</v>
      </c>
      <c r="C34" s="61" t="s">
        <v>33</v>
      </c>
      <c r="D34" s="61" t="s">
        <v>33</v>
      </c>
      <c r="E34" s="61" t="s">
        <v>33</v>
      </c>
      <c r="F34" s="61" t="s">
        <v>33</v>
      </c>
      <c r="G34" s="61" t="s">
        <v>33</v>
      </c>
      <c r="H34" s="61" t="s">
        <v>33</v>
      </c>
      <c r="I34" s="61" t="s">
        <v>33</v>
      </c>
      <c r="J34" s="61" t="s">
        <v>33</v>
      </c>
      <c r="K34" s="61" t="s">
        <v>33</v>
      </c>
      <c r="L34" s="61" t="s">
        <v>33</v>
      </c>
      <c r="M34" s="61" t="s">
        <v>33</v>
      </c>
      <c r="N34" s="61" t="s">
        <v>33</v>
      </c>
      <c r="O34" s="61" t="s">
        <v>33</v>
      </c>
      <c r="Y34" s="62"/>
      <c r="Z34" s="63"/>
      <c r="AA34" s="63"/>
      <c r="AB34" s="63"/>
      <c r="AC34" s="63"/>
    </row>
    <row r="35" spans="1:29" ht="15.75" customHeight="1" x14ac:dyDescent="0.3">
      <c r="A35" s="60" t="s">
        <v>7</v>
      </c>
      <c r="B35" s="61"/>
      <c r="C35" s="61"/>
      <c r="D35" s="61" t="s">
        <v>33</v>
      </c>
      <c r="E35" s="61" t="s">
        <v>33</v>
      </c>
      <c r="F35" s="61" t="s">
        <v>33</v>
      </c>
      <c r="G35" s="61" t="s">
        <v>33</v>
      </c>
      <c r="H35" s="61" t="s">
        <v>33</v>
      </c>
      <c r="I35" s="61" t="s">
        <v>33</v>
      </c>
      <c r="J35" s="61" t="s">
        <v>33</v>
      </c>
      <c r="K35" s="61" t="s">
        <v>33</v>
      </c>
      <c r="L35" s="61" t="s">
        <v>33</v>
      </c>
      <c r="M35" s="61" t="s">
        <v>33</v>
      </c>
      <c r="N35" s="61" t="s">
        <v>33</v>
      </c>
      <c r="O35" s="61" t="s">
        <v>33</v>
      </c>
      <c r="Y35" s="62"/>
      <c r="Z35" s="64"/>
      <c r="AA35" s="64"/>
      <c r="AB35" s="64"/>
      <c r="AC35" s="64"/>
    </row>
    <row r="36" spans="1:29" ht="15.75" customHeight="1" x14ac:dyDescent="0.3">
      <c r="A36" s="60" t="s">
        <v>34</v>
      </c>
      <c r="B36" s="61"/>
      <c r="C36" s="61"/>
      <c r="D36" s="61" t="s">
        <v>33</v>
      </c>
      <c r="E36" s="61"/>
      <c r="F36" s="61" t="s">
        <v>33</v>
      </c>
      <c r="G36" s="61"/>
      <c r="H36" s="61" t="s">
        <v>33</v>
      </c>
      <c r="I36" s="61"/>
      <c r="J36" s="61" t="s">
        <v>33</v>
      </c>
      <c r="K36" s="61"/>
      <c r="L36" s="61" t="s">
        <v>33</v>
      </c>
      <c r="M36" s="61"/>
      <c r="N36" s="61" t="s">
        <v>33</v>
      </c>
      <c r="O36" s="61"/>
    </row>
    <row r="37" spans="1:29" ht="15.75" customHeight="1" x14ac:dyDescent="0.3">
      <c r="A37" s="65" t="s">
        <v>11</v>
      </c>
      <c r="B37" s="61"/>
      <c r="C37" s="61"/>
      <c r="D37" s="61"/>
      <c r="E37" s="61" t="s">
        <v>33</v>
      </c>
      <c r="F37" s="61"/>
      <c r="G37" s="61" t="s">
        <v>33</v>
      </c>
      <c r="H37" s="61"/>
      <c r="I37" s="61" t="s">
        <v>33</v>
      </c>
      <c r="J37" s="61"/>
      <c r="K37" s="66" t="s">
        <v>33</v>
      </c>
      <c r="L37" s="61"/>
      <c r="M37" s="66" t="s">
        <v>33</v>
      </c>
      <c r="N37" s="66"/>
      <c r="O37" s="66" t="s">
        <v>33</v>
      </c>
    </row>
    <row r="38" spans="1:29" ht="15.75" customHeight="1" x14ac:dyDescent="0.3">
      <c r="A38" s="65" t="s">
        <v>12</v>
      </c>
      <c r="B38" s="61"/>
      <c r="C38" s="61"/>
      <c r="D38" s="61" t="s">
        <v>33</v>
      </c>
      <c r="E38" s="61" t="s">
        <v>33</v>
      </c>
      <c r="F38" s="61" t="s">
        <v>33</v>
      </c>
      <c r="G38" s="61" t="s">
        <v>33</v>
      </c>
      <c r="H38" s="61" t="s">
        <v>33</v>
      </c>
      <c r="I38" s="61" t="s">
        <v>33</v>
      </c>
      <c r="J38" s="61" t="s">
        <v>33</v>
      </c>
      <c r="K38" s="61" t="s">
        <v>33</v>
      </c>
      <c r="L38" s="61" t="s">
        <v>33</v>
      </c>
      <c r="M38" s="61" t="s">
        <v>33</v>
      </c>
      <c r="N38" s="61" t="s">
        <v>33</v>
      </c>
      <c r="O38" s="61" t="s">
        <v>33</v>
      </c>
    </row>
    <row r="39" spans="1:29" ht="15.75" customHeight="1" x14ac:dyDescent="0.3">
      <c r="A39" s="65" t="s">
        <v>13</v>
      </c>
      <c r="B39" s="61"/>
      <c r="C39" s="61"/>
      <c r="D39" s="61" t="s">
        <v>33</v>
      </c>
      <c r="E39" s="61" t="s">
        <v>33</v>
      </c>
      <c r="F39" s="61" t="s">
        <v>33</v>
      </c>
      <c r="G39" s="61" t="s">
        <v>33</v>
      </c>
      <c r="H39" s="61" t="s">
        <v>33</v>
      </c>
      <c r="I39" s="61" t="s">
        <v>33</v>
      </c>
      <c r="J39" s="61" t="s">
        <v>33</v>
      </c>
      <c r="K39" s="61" t="s">
        <v>33</v>
      </c>
      <c r="L39" s="61" t="s">
        <v>33</v>
      </c>
      <c r="M39" s="61" t="s">
        <v>33</v>
      </c>
      <c r="N39" s="61" t="s">
        <v>33</v>
      </c>
      <c r="O39" s="61" t="s">
        <v>33</v>
      </c>
    </row>
    <row r="40" spans="1:29" ht="15.75" customHeight="1" x14ac:dyDescent="0.3">
      <c r="A40" s="65" t="s">
        <v>14</v>
      </c>
      <c r="B40" s="61"/>
      <c r="C40" s="61"/>
      <c r="D40" s="61"/>
      <c r="E40" s="61"/>
      <c r="F40" s="61"/>
      <c r="G40" s="61" t="s">
        <v>33</v>
      </c>
      <c r="H40" s="61"/>
      <c r="I40" s="61"/>
      <c r="J40" s="61"/>
      <c r="K40" s="61" t="s">
        <v>33</v>
      </c>
      <c r="L40" s="61"/>
      <c r="M40" s="66"/>
      <c r="N40" s="66"/>
      <c r="O40" s="61" t="s">
        <v>33</v>
      </c>
    </row>
    <row r="41" spans="1:29" ht="15.75" customHeight="1" x14ac:dyDescent="0.3">
      <c r="A41" s="65" t="s">
        <v>15</v>
      </c>
      <c r="B41" s="61"/>
      <c r="C41" s="61"/>
      <c r="D41" s="61"/>
      <c r="E41" s="61"/>
      <c r="F41" s="61"/>
      <c r="G41" s="61"/>
      <c r="H41" s="61"/>
      <c r="I41" s="61"/>
      <c r="J41" s="61"/>
      <c r="K41" s="61"/>
      <c r="L41" s="61"/>
      <c r="M41" s="66" t="s">
        <v>33</v>
      </c>
      <c r="N41" s="66"/>
      <c r="O41" s="66"/>
    </row>
    <row r="42" spans="1:29" ht="15.75" customHeight="1" x14ac:dyDescent="0.3">
      <c r="A42" s="67" t="s">
        <v>35</v>
      </c>
      <c r="B42" s="61"/>
      <c r="C42" s="61" t="s">
        <v>33</v>
      </c>
      <c r="D42" s="61"/>
      <c r="E42" s="61"/>
      <c r="F42" s="61"/>
      <c r="G42" s="61"/>
      <c r="H42" s="61" t="s">
        <v>33</v>
      </c>
      <c r="I42" s="61"/>
      <c r="J42" s="61"/>
      <c r="K42" s="61"/>
      <c r="L42" s="61"/>
      <c r="M42" s="61" t="s">
        <v>33</v>
      </c>
      <c r="N42" s="61"/>
      <c r="O42" s="61"/>
    </row>
    <row r="43" spans="1:29" ht="15.75" customHeight="1" x14ac:dyDescent="0.3">
      <c r="A43" s="67" t="s">
        <v>18</v>
      </c>
      <c r="B43" s="68" t="s">
        <v>33</v>
      </c>
      <c r="C43" s="68" t="s">
        <v>33</v>
      </c>
      <c r="D43" s="68" t="s">
        <v>33</v>
      </c>
      <c r="E43" s="68" t="s">
        <v>33</v>
      </c>
      <c r="F43" s="68" t="s">
        <v>33</v>
      </c>
      <c r="G43" s="68" t="s">
        <v>33</v>
      </c>
      <c r="H43" s="68" t="s">
        <v>33</v>
      </c>
      <c r="I43" s="68" t="s">
        <v>33</v>
      </c>
      <c r="J43" s="68" t="s">
        <v>33</v>
      </c>
      <c r="K43" s="68" t="s">
        <v>33</v>
      </c>
      <c r="L43" s="68" t="s">
        <v>33</v>
      </c>
      <c r="M43" s="68" t="s">
        <v>33</v>
      </c>
      <c r="N43" s="68" t="s">
        <v>33</v>
      </c>
      <c r="O43" s="68" t="s">
        <v>33</v>
      </c>
    </row>
    <row r="44" spans="1:29" ht="15.75" customHeight="1" x14ac:dyDescent="0.3">
      <c r="A44" s="65" t="s">
        <v>36</v>
      </c>
      <c r="B44" s="61">
        <v>0</v>
      </c>
      <c r="C44" s="61"/>
      <c r="D44" s="61">
        <v>0</v>
      </c>
      <c r="E44" s="61">
        <v>0</v>
      </c>
      <c r="F44" s="68" t="s">
        <v>33</v>
      </c>
      <c r="G44" s="61">
        <v>0</v>
      </c>
      <c r="H44" s="61">
        <v>0</v>
      </c>
      <c r="I44" s="68" t="s">
        <v>33</v>
      </c>
      <c r="J44" s="61">
        <v>0</v>
      </c>
      <c r="K44" s="61">
        <v>0</v>
      </c>
      <c r="L44" s="68" t="s">
        <v>33</v>
      </c>
      <c r="M44" s="61">
        <v>0</v>
      </c>
      <c r="N44" s="61">
        <v>0</v>
      </c>
      <c r="O44" s="61">
        <v>0</v>
      </c>
    </row>
    <row r="45" spans="1:29" ht="15.75" customHeight="1" x14ac:dyDescent="0.3">
      <c r="A45" s="69" t="s">
        <v>20</v>
      </c>
      <c r="B45" s="69"/>
      <c r="C45" s="69"/>
      <c r="D45" s="69"/>
      <c r="E45" s="68" t="s">
        <v>33</v>
      </c>
      <c r="F45" s="69"/>
      <c r="G45" s="68" t="s">
        <v>33</v>
      </c>
      <c r="H45" s="69"/>
      <c r="I45" s="68" t="s">
        <v>33</v>
      </c>
      <c r="J45" s="69"/>
      <c r="K45" s="68" t="s">
        <v>33</v>
      </c>
      <c r="L45" s="69"/>
      <c r="M45" s="68" t="s">
        <v>33</v>
      </c>
      <c r="N45" s="68"/>
      <c r="O45" s="68" t="s">
        <v>33</v>
      </c>
    </row>
    <row r="46" spans="1:29" ht="15.75" customHeight="1" x14ac:dyDescent="0.3">
      <c r="A46" s="70" t="s">
        <v>37</v>
      </c>
      <c r="B46" s="61"/>
      <c r="C46" s="61"/>
      <c r="D46" s="61"/>
      <c r="E46" s="61"/>
      <c r="F46" s="61"/>
      <c r="G46" s="61"/>
      <c r="H46" s="61" t="s">
        <v>33</v>
      </c>
      <c r="I46" s="61"/>
      <c r="J46" s="61"/>
      <c r="K46" s="61"/>
      <c r="L46" s="61"/>
      <c r="M46" s="61" t="s">
        <v>33</v>
      </c>
      <c r="N46" s="61"/>
      <c r="O46" s="61"/>
    </row>
    <row r="47" spans="1:29" ht="15.75" customHeight="1" x14ac:dyDescent="0.3">
      <c r="A47" s="69" t="s">
        <v>38</v>
      </c>
      <c r="B47" s="61" t="s">
        <v>33</v>
      </c>
      <c r="C47" s="61" t="s">
        <v>33</v>
      </c>
      <c r="D47" s="61" t="s">
        <v>33</v>
      </c>
      <c r="E47" s="61" t="s">
        <v>33</v>
      </c>
      <c r="F47" s="61" t="s">
        <v>33</v>
      </c>
      <c r="G47" s="61" t="s">
        <v>33</v>
      </c>
      <c r="H47" s="61" t="s">
        <v>33</v>
      </c>
      <c r="I47" s="61" t="s">
        <v>33</v>
      </c>
      <c r="J47" s="61" t="s">
        <v>33</v>
      </c>
      <c r="K47" s="61" t="s">
        <v>33</v>
      </c>
      <c r="L47" s="61" t="s">
        <v>33</v>
      </c>
      <c r="M47" s="61" t="s">
        <v>33</v>
      </c>
      <c r="N47" s="61" t="s">
        <v>33</v>
      </c>
      <c r="O47" s="61" t="s">
        <v>33</v>
      </c>
    </row>
    <row r="48" spans="1:29" ht="15.75" customHeight="1" x14ac:dyDescent="0.3">
      <c r="A48" s="69" t="s">
        <v>39</v>
      </c>
      <c r="B48" s="61" t="s">
        <v>33</v>
      </c>
      <c r="C48" s="61" t="s">
        <v>33</v>
      </c>
      <c r="D48" s="61" t="s">
        <v>33</v>
      </c>
      <c r="E48" s="61" t="s">
        <v>33</v>
      </c>
      <c r="F48" s="61" t="s">
        <v>33</v>
      </c>
      <c r="G48" s="61" t="s">
        <v>33</v>
      </c>
      <c r="H48" s="61" t="s">
        <v>33</v>
      </c>
      <c r="I48" s="61" t="s">
        <v>33</v>
      </c>
      <c r="J48" s="61" t="s">
        <v>33</v>
      </c>
      <c r="K48" s="61" t="s">
        <v>33</v>
      </c>
      <c r="L48" s="61" t="s">
        <v>33</v>
      </c>
      <c r="M48" s="61" t="s">
        <v>33</v>
      </c>
      <c r="N48" s="61" t="s">
        <v>33</v>
      </c>
      <c r="O48" s="61" t="s">
        <v>33</v>
      </c>
    </row>
    <row r="49" spans="1:15" ht="15.75" customHeight="1" x14ac:dyDescent="0.3">
      <c r="A49" s="69" t="s">
        <v>40</v>
      </c>
      <c r="B49" s="61" t="s">
        <v>33</v>
      </c>
      <c r="C49" s="61" t="s">
        <v>33</v>
      </c>
      <c r="D49" s="61" t="s">
        <v>33</v>
      </c>
      <c r="E49" s="61" t="s">
        <v>33</v>
      </c>
      <c r="F49" s="61" t="s">
        <v>33</v>
      </c>
      <c r="G49" s="61" t="s">
        <v>33</v>
      </c>
      <c r="H49" s="61" t="s">
        <v>33</v>
      </c>
      <c r="I49" s="61" t="s">
        <v>33</v>
      </c>
      <c r="J49" s="61" t="s">
        <v>33</v>
      </c>
      <c r="K49" s="61" t="s">
        <v>33</v>
      </c>
      <c r="L49" s="61" t="s">
        <v>33</v>
      </c>
      <c r="M49" s="61" t="s">
        <v>33</v>
      </c>
      <c r="N49" s="61" t="s">
        <v>33</v>
      </c>
      <c r="O49" s="61" t="s">
        <v>33</v>
      </c>
    </row>
    <row r="50" spans="1:15" ht="15.75" customHeight="1" x14ac:dyDescent="0.3">
      <c r="A50" s="69" t="s">
        <v>41</v>
      </c>
      <c r="B50" s="61"/>
      <c r="C50" s="61"/>
      <c r="D50" s="61" t="s">
        <v>33</v>
      </c>
      <c r="E50" s="61" t="s">
        <v>33</v>
      </c>
      <c r="F50" s="61" t="s">
        <v>33</v>
      </c>
      <c r="G50" s="61" t="s">
        <v>33</v>
      </c>
      <c r="H50" s="61" t="s">
        <v>33</v>
      </c>
      <c r="I50" s="61" t="s">
        <v>33</v>
      </c>
      <c r="J50" s="61" t="s">
        <v>33</v>
      </c>
      <c r="K50" s="61" t="s">
        <v>33</v>
      </c>
      <c r="L50" s="61" t="s">
        <v>33</v>
      </c>
      <c r="M50" s="61" t="s">
        <v>33</v>
      </c>
      <c r="N50" s="61" t="s">
        <v>33</v>
      </c>
      <c r="O50" s="61" t="s">
        <v>33</v>
      </c>
    </row>
    <row r="51" spans="1:15" ht="15.75" customHeight="1" x14ac:dyDescent="0.3">
      <c r="E51" s="71"/>
      <c r="G51" s="71"/>
      <c r="I51" s="71"/>
      <c r="K51" s="71"/>
      <c r="M51" s="71"/>
    </row>
    <row r="52" spans="1:15" ht="15.75" customHeight="1" x14ac:dyDescent="0.3">
      <c r="A52" s="52" t="s">
        <v>42</v>
      </c>
      <c r="E52" s="71"/>
      <c r="G52" s="71"/>
      <c r="I52" s="71"/>
      <c r="K52" s="71"/>
      <c r="M52" s="71"/>
    </row>
    <row r="53" spans="1:15" ht="15.75" customHeight="1" x14ac:dyDescent="0.3"/>
    <row r="54" spans="1:15" ht="15.75" customHeight="1" x14ac:dyDescent="0.3"/>
    <row r="55" spans="1:15" ht="15.75" customHeight="1" x14ac:dyDescent="0.3"/>
    <row r="56" spans="1:15" ht="15.75" customHeight="1" x14ac:dyDescent="0.3"/>
    <row r="57" spans="1:15" ht="15.75" customHeight="1" x14ac:dyDescent="0.3"/>
    <row r="58" spans="1:15" ht="15.75" customHeight="1" x14ac:dyDescent="0.3"/>
    <row r="59" spans="1:15" ht="15.75" customHeight="1" x14ac:dyDescent="0.3"/>
    <row r="60" spans="1:15" ht="15.75" customHeight="1" x14ac:dyDescent="0.3"/>
    <row r="61" spans="1:15" ht="15.75" customHeight="1" x14ac:dyDescent="0.3"/>
    <row r="62" spans="1:15" ht="15.75" customHeight="1" x14ac:dyDescent="0.3"/>
    <row r="63" spans="1:15" ht="15.75" customHeight="1" x14ac:dyDescent="0.3"/>
    <row r="64" spans="1:15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8">
    <mergeCell ref="P29:Q29"/>
    <mergeCell ref="A30:O30"/>
    <mergeCell ref="P30:Q30"/>
    <mergeCell ref="Y1:AC1"/>
    <mergeCell ref="Y2:Y3"/>
    <mergeCell ref="Z2:Z3"/>
    <mergeCell ref="AB2:AB3"/>
    <mergeCell ref="AC2:AC3"/>
  </mergeCells>
  <conditionalFormatting sqref="A30">
    <cfRule type="containsText" dxfId="2" priority="1" operator="containsText" text="X">
      <formula>NOT(ISERROR(SEARCH(("X"),(A30))))</formula>
    </cfRule>
  </conditionalFormatting>
  <conditionalFormatting sqref="A31:M52">
    <cfRule type="containsText" dxfId="1" priority="2" operator="containsText" text="X">
      <formula>NOT(ISERROR(SEARCH(("X"),(A31))))</formula>
    </cfRule>
  </conditionalFormatting>
  <conditionalFormatting sqref="N31:O50">
    <cfRule type="containsText" dxfId="0" priority="3" operator="containsText" text="X">
      <formula>NOT(ISERROR(SEARCH(("X"),(N31))))</formula>
    </cfRule>
  </conditionalFormatting>
  <pageMargins left="0.7" right="0.7" top="0.75" bottom="0.75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1000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D33" sqref="D33"/>
    </sheetView>
  </sheetViews>
  <sheetFormatPr baseColWidth="10" defaultColWidth="14.44140625" defaultRowHeight="15" customHeight="1" x14ac:dyDescent="0.3"/>
  <cols>
    <col min="1" max="1" width="56.88671875" customWidth="1"/>
    <col min="2" max="2" width="13" hidden="1" customWidth="1"/>
    <col min="3" max="27" width="10.6640625" customWidth="1"/>
  </cols>
  <sheetData>
    <row r="1" spans="1:27" ht="14.4" x14ac:dyDescent="0.3">
      <c r="A1" s="201" t="s">
        <v>43</v>
      </c>
      <c r="B1" s="202"/>
      <c r="C1" s="202"/>
      <c r="D1" s="202"/>
      <c r="E1" s="202"/>
      <c r="F1" s="202"/>
      <c r="G1" s="202"/>
      <c r="H1" s="202"/>
      <c r="I1" s="202"/>
      <c r="J1" s="202"/>
      <c r="K1" s="202"/>
      <c r="L1" s="202"/>
      <c r="M1" s="202"/>
      <c r="N1" s="202"/>
      <c r="O1" s="202"/>
      <c r="P1" s="202"/>
      <c r="Q1" s="202"/>
      <c r="R1" s="202"/>
      <c r="S1" s="202"/>
      <c r="T1" s="202"/>
      <c r="U1" s="202"/>
      <c r="V1" s="202"/>
      <c r="W1" s="202"/>
      <c r="X1" s="202"/>
      <c r="Y1" s="202"/>
      <c r="Z1" s="203"/>
    </row>
    <row r="2" spans="1:27" x14ac:dyDescent="0.3">
      <c r="A2" s="183" t="s">
        <v>44</v>
      </c>
      <c r="B2" s="184" t="s">
        <v>1</v>
      </c>
      <c r="C2" s="185">
        <v>5000</v>
      </c>
      <c r="D2" s="185">
        <v>10000</v>
      </c>
      <c r="E2" s="185">
        <v>15000</v>
      </c>
      <c r="F2" s="185">
        <v>20000</v>
      </c>
      <c r="G2" s="185">
        <v>25000</v>
      </c>
      <c r="H2" s="185">
        <v>30000</v>
      </c>
      <c r="I2" s="185">
        <v>35000</v>
      </c>
      <c r="J2" s="185">
        <v>40000</v>
      </c>
      <c r="K2" s="185">
        <v>45000</v>
      </c>
      <c r="L2" s="185">
        <v>50000</v>
      </c>
      <c r="M2" s="185">
        <v>55000</v>
      </c>
      <c r="N2" s="185">
        <v>60000</v>
      </c>
      <c r="O2" s="185">
        <v>65000</v>
      </c>
      <c r="P2" s="185">
        <v>70000</v>
      </c>
      <c r="Q2" s="185">
        <v>75000</v>
      </c>
      <c r="R2" s="185">
        <v>80000</v>
      </c>
      <c r="S2" s="185">
        <v>85000</v>
      </c>
      <c r="T2" s="185">
        <v>90000</v>
      </c>
      <c r="U2" s="185">
        <v>95000</v>
      </c>
      <c r="V2" s="185">
        <v>100000</v>
      </c>
      <c r="W2" s="185">
        <v>105000</v>
      </c>
      <c r="X2" s="185">
        <v>110000</v>
      </c>
      <c r="Y2" s="185">
        <v>115000</v>
      </c>
      <c r="Z2" s="186">
        <v>120000</v>
      </c>
    </row>
    <row r="3" spans="1:27" ht="14.4" x14ac:dyDescent="0.3">
      <c r="A3" s="6" t="s">
        <v>45</v>
      </c>
      <c r="B3" s="8">
        <f>'W7 DIESEL 120K'!U2</f>
        <v>40.98</v>
      </c>
      <c r="C3" s="8">
        <v>43.8</v>
      </c>
      <c r="D3" s="8">
        <v>43.8</v>
      </c>
      <c r="E3" s="8">
        <v>43.8</v>
      </c>
      <c r="F3" s="8">
        <v>43.8</v>
      </c>
      <c r="G3" s="8">
        <v>43.8</v>
      </c>
      <c r="H3" s="8">
        <v>43.8</v>
      </c>
      <c r="I3" s="8">
        <v>43.8</v>
      </c>
      <c r="J3" s="8">
        <v>43.8</v>
      </c>
      <c r="K3" s="8">
        <v>43.8</v>
      </c>
      <c r="L3" s="8">
        <v>43.8</v>
      </c>
      <c r="M3" s="8">
        <v>43.8</v>
      </c>
      <c r="N3" s="8">
        <v>43.8</v>
      </c>
      <c r="O3" s="8">
        <v>43.8</v>
      </c>
      <c r="P3" s="8">
        <v>43.8</v>
      </c>
      <c r="Q3" s="8">
        <v>43.8</v>
      </c>
      <c r="R3" s="8">
        <v>43.8</v>
      </c>
      <c r="S3" s="8">
        <v>43.8</v>
      </c>
      <c r="T3" s="8">
        <v>43.8</v>
      </c>
      <c r="U3" s="8">
        <v>43.8</v>
      </c>
      <c r="V3" s="8">
        <v>43.8</v>
      </c>
      <c r="W3" s="8">
        <v>43.8</v>
      </c>
      <c r="X3" s="8">
        <v>43.8</v>
      </c>
      <c r="Y3" s="8">
        <v>43.8</v>
      </c>
      <c r="Z3" s="8">
        <v>43.8</v>
      </c>
    </row>
    <row r="4" spans="1:27" ht="14.4" x14ac:dyDescent="0.3">
      <c r="A4" s="6" t="s">
        <v>46</v>
      </c>
      <c r="B4" s="8" t="e">
        <f>'W7 DIESEL 120K'!#REF!</f>
        <v>#REF!</v>
      </c>
      <c r="C4" s="8">
        <v>25.65</v>
      </c>
      <c r="D4" s="8"/>
      <c r="E4" s="8"/>
      <c r="F4" s="8"/>
      <c r="G4" s="8"/>
      <c r="H4" s="8"/>
      <c r="I4" s="8"/>
      <c r="J4" s="8"/>
      <c r="K4" s="8"/>
      <c r="L4" s="8">
        <v>25.65</v>
      </c>
      <c r="M4" s="8"/>
      <c r="N4" s="8"/>
      <c r="O4" s="8"/>
      <c r="P4" s="8"/>
      <c r="Q4" s="8"/>
      <c r="R4" s="8"/>
      <c r="S4" s="8"/>
      <c r="T4" s="8"/>
      <c r="U4" s="8"/>
      <c r="V4" s="8">
        <v>25.65</v>
      </c>
      <c r="W4" s="8"/>
      <c r="X4" s="8"/>
      <c r="Y4" s="8"/>
      <c r="Z4" s="9"/>
    </row>
    <row r="5" spans="1:27" ht="14.4" x14ac:dyDescent="0.3">
      <c r="A5" s="6" t="s">
        <v>47</v>
      </c>
      <c r="B5" s="8" t="e">
        <f>'W7 DIESEL 120K'!#REF!</f>
        <v>#REF!</v>
      </c>
      <c r="C5" s="8">
        <v>24.18</v>
      </c>
      <c r="D5" s="8"/>
      <c r="E5" s="8"/>
      <c r="F5" s="8"/>
      <c r="G5" s="8"/>
      <c r="H5" s="8"/>
      <c r="I5" s="8"/>
      <c r="J5" s="8"/>
      <c r="K5" s="8"/>
      <c r="L5" s="8">
        <v>24.18</v>
      </c>
      <c r="M5" s="8"/>
      <c r="N5" s="8"/>
      <c r="O5" s="8"/>
      <c r="P5" s="8"/>
      <c r="Q5" s="8"/>
      <c r="R5" s="8"/>
      <c r="S5" s="8"/>
      <c r="T5" s="8"/>
      <c r="U5" s="8"/>
      <c r="V5" s="8">
        <v>24.18</v>
      </c>
      <c r="W5" s="8"/>
      <c r="X5" s="8"/>
      <c r="Y5" s="8"/>
      <c r="Z5" s="9"/>
    </row>
    <row r="6" spans="1:27" ht="14.4" x14ac:dyDescent="0.3">
      <c r="A6" s="6" t="s">
        <v>48</v>
      </c>
      <c r="B6" s="8"/>
      <c r="C6" s="8">
        <v>24.18</v>
      </c>
      <c r="D6" s="8"/>
      <c r="E6" s="8"/>
      <c r="F6" s="8"/>
      <c r="G6" s="8"/>
      <c r="H6" s="8"/>
      <c r="I6" s="8"/>
      <c r="J6" s="8"/>
      <c r="K6" s="8"/>
      <c r="L6" s="8">
        <v>24.18</v>
      </c>
      <c r="M6" s="8"/>
      <c r="N6" s="8"/>
      <c r="O6" s="8"/>
      <c r="P6" s="8"/>
      <c r="Q6" s="8"/>
      <c r="R6" s="8"/>
      <c r="S6" s="8"/>
      <c r="T6" s="8"/>
      <c r="U6" s="8"/>
      <c r="V6" s="8">
        <v>24.18</v>
      </c>
      <c r="W6" s="8"/>
      <c r="X6" s="8"/>
      <c r="Y6" s="8"/>
      <c r="Z6" s="9"/>
    </row>
    <row r="7" spans="1:27" ht="14.4" x14ac:dyDescent="0.3">
      <c r="A7" s="6" t="s">
        <v>49</v>
      </c>
      <c r="B7" s="8"/>
      <c r="C7" s="8"/>
      <c r="D7" s="8"/>
      <c r="E7" s="8"/>
      <c r="F7" s="8"/>
      <c r="G7" s="8"/>
      <c r="H7" s="8"/>
      <c r="I7" s="8"/>
      <c r="J7" s="8"/>
      <c r="K7" s="8"/>
      <c r="L7" s="8">
        <v>23.76</v>
      </c>
      <c r="M7" s="8"/>
      <c r="N7" s="8"/>
      <c r="O7" s="8"/>
      <c r="P7" s="8"/>
      <c r="Q7" s="8"/>
      <c r="R7" s="8"/>
      <c r="S7" s="8"/>
      <c r="T7" s="8"/>
      <c r="U7" s="8"/>
      <c r="V7" s="8">
        <v>23.76</v>
      </c>
      <c r="W7" s="8"/>
      <c r="X7" s="8"/>
      <c r="Y7" s="8"/>
      <c r="Z7" s="9"/>
    </row>
    <row r="8" spans="1:27" ht="14.4" x14ac:dyDescent="0.3">
      <c r="A8" s="36" t="s">
        <v>50</v>
      </c>
      <c r="B8" s="76"/>
      <c r="C8" s="77"/>
      <c r="D8" s="77"/>
      <c r="E8" s="77"/>
      <c r="F8" s="77"/>
      <c r="G8" s="77"/>
      <c r="H8" s="77"/>
      <c r="I8" s="77"/>
      <c r="J8" s="77"/>
      <c r="K8" s="77"/>
      <c r="L8" s="77">
        <v>35.44</v>
      </c>
      <c r="M8" s="77"/>
      <c r="N8" s="77"/>
      <c r="O8" s="77"/>
      <c r="P8" s="77"/>
      <c r="Q8" s="77"/>
      <c r="R8" s="77"/>
      <c r="S8" s="77"/>
      <c r="T8" s="77"/>
      <c r="U8" s="77"/>
      <c r="V8" s="77">
        <v>35.44</v>
      </c>
      <c r="W8" s="77"/>
      <c r="X8" s="77"/>
      <c r="Y8" s="77"/>
      <c r="Z8" s="78"/>
    </row>
    <row r="9" spans="1:27" ht="14.4" x14ac:dyDescent="0.3">
      <c r="A9" s="20" t="s">
        <v>20</v>
      </c>
      <c r="B9" s="77">
        <f>'W7 DIESEL 120K'!U3</f>
        <v>6.01</v>
      </c>
      <c r="C9" s="77"/>
      <c r="D9" s="77"/>
      <c r="E9" s="77"/>
      <c r="F9" s="77"/>
      <c r="G9" s="77"/>
      <c r="H9" s="77">
        <v>17.22</v>
      </c>
      <c r="I9" s="77"/>
      <c r="J9" s="77"/>
      <c r="K9" s="77"/>
      <c r="L9" s="77"/>
      <c r="M9" s="77"/>
      <c r="N9" s="77">
        <v>17.22</v>
      </c>
      <c r="O9" s="77"/>
      <c r="P9" s="77"/>
      <c r="Q9" s="77"/>
      <c r="R9" s="77"/>
      <c r="S9" s="77"/>
      <c r="T9" s="77">
        <v>17.22</v>
      </c>
      <c r="U9" s="77"/>
      <c r="V9" s="77"/>
      <c r="W9" s="77"/>
      <c r="X9" s="77"/>
      <c r="Y9" s="77"/>
      <c r="Z9" s="77">
        <v>17.22</v>
      </c>
    </row>
    <row r="10" spans="1:27" ht="14.4" x14ac:dyDescent="0.3">
      <c r="A10" s="187" t="s">
        <v>51</v>
      </c>
      <c r="B10" s="188"/>
      <c r="C10" s="188">
        <f t="shared" ref="C10:Z10" si="0">SUM(C3:C9)</f>
        <v>117.81</v>
      </c>
      <c r="D10" s="188">
        <f t="shared" si="0"/>
        <v>43.8</v>
      </c>
      <c r="E10" s="188">
        <f t="shared" si="0"/>
        <v>43.8</v>
      </c>
      <c r="F10" s="188">
        <f t="shared" si="0"/>
        <v>43.8</v>
      </c>
      <c r="G10" s="188">
        <f t="shared" si="0"/>
        <v>43.8</v>
      </c>
      <c r="H10" s="188">
        <f t="shared" si="0"/>
        <v>61.019999999999996</v>
      </c>
      <c r="I10" s="188">
        <f t="shared" si="0"/>
        <v>43.8</v>
      </c>
      <c r="J10" s="188">
        <f t="shared" si="0"/>
        <v>43.8</v>
      </c>
      <c r="K10" s="188">
        <f t="shared" si="0"/>
        <v>43.8</v>
      </c>
      <c r="L10" s="188">
        <f t="shared" si="0"/>
        <v>177.01</v>
      </c>
      <c r="M10" s="188">
        <f t="shared" si="0"/>
        <v>43.8</v>
      </c>
      <c r="N10" s="188">
        <f t="shared" si="0"/>
        <v>61.019999999999996</v>
      </c>
      <c r="O10" s="188">
        <f t="shared" si="0"/>
        <v>43.8</v>
      </c>
      <c r="P10" s="188">
        <f t="shared" si="0"/>
        <v>43.8</v>
      </c>
      <c r="Q10" s="188">
        <f t="shared" si="0"/>
        <v>43.8</v>
      </c>
      <c r="R10" s="188">
        <f t="shared" si="0"/>
        <v>43.8</v>
      </c>
      <c r="S10" s="188">
        <f t="shared" si="0"/>
        <v>43.8</v>
      </c>
      <c r="T10" s="188">
        <f t="shared" si="0"/>
        <v>61.019999999999996</v>
      </c>
      <c r="U10" s="188">
        <f t="shared" si="0"/>
        <v>43.8</v>
      </c>
      <c r="V10" s="188">
        <f t="shared" si="0"/>
        <v>177.01</v>
      </c>
      <c r="W10" s="188">
        <f t="shared" si="0"/>
        <v>43.8</v>
      </c>
      <c r="X10" s="188">
        <f t="shared" si="0"/>
        <v>43.8</v>
      </c>
      <c r="Y10" s="188">
        <f t="shared" si="0"/>
        <v>43.8</v>
      </c>
      <c r="Z10" s="188">
        <f t="shared" si="0"/>
        <v>61.019999999999996</v>
      </c>
      <c r="AA10" s="189">
        <f>SUM(C10:Z10)</f>
        <v>1460.5099999999995</v>
      </c>
    </row>
    <row r="11" spans="1:27" ht="14.4" x14ac:dyDescent="0.3">
      <c r="A11" s="6" t="s">
        <v>4</v>
      </c>
      <c r="B11" s="8">
        <f>'W7 DIESEL 120K'!U3</f>
        <v>6.01</v>
      </c>
      <c r="C11" s="8">
        <v>8.31</v>
      </c>
      <c r="D11" s="8">
        <v>8.31</v>
      </c>
      <c r="E11" s="8">
        <v>8.31</v>
      </c>
      <c r="F11" s="8">
        <v>8.31</v>
      </c>
      <c r="G11" s="8">
        <v>8.31</v>
      </c>
      <c r="H11" s="8">
        <v>8.31</v>
      </c>
      <c r="I11" s="8">
        <v>8.31</v>
      </c>
      <c r="J11" s="8">
        <v>8.31</v>
      </c>
      <c r="K11" s="8">
        <v>8.31</v>
      </c>
      <c r="L11" s="8">
        <v>8.31</v>
      </c>
      <c r="M11" s="8">
        <v>8.31</v>
      </c>
      <c r="N11" s="8">
        <v>8.31</v>
      </c>
      <c r="O11" s="8">
        <v>8.31</v>
      </c>
      <c r="P11" s="8">
        <v>8.31</v>
      </c>
      <c r="Q11" s="8">
        <v>8.31</v>
      </c>
      <c r="R11" s="8">
        <v>8.31</v>
      </c>
      <c r="S11" s="8">
        <v>8.31</v>
      </c>
      <c r="T11" s="8">
        <v>8.31</v>
      </c>
      <c r="U11" s="8">
        <v>8.31</v>
      </c>
      <c r="V11" s="8">
        <v>8.31</v>
      </c>
      <c r="W11" s="8">
        <v>8.31</v>
      </c>
      <c r="X11" s="8">
        <v>8.31</v>
      </c>
      <c r="Y11" s="8">
        <v>8.31</v>
      </c>
      <c r="Z11" s="8">
        <v>8.31</v>
      </c>
    </row>
    <row r="12" spans="1:27" ht="14.4" x14ac:dyDescent="0.3">
      <c r="A12" s="6" t="s">
        <v>5</v>
      </c>
      <c r="B12" s="8">
        <f>'W7 DIESEL 120K'!U4</f>
        <v>6.5</v>
      </c>
      <c r="C12" s="8">
        <v>13.39</v>
      </c>
      <c r="D12" s="8">
        <v>13.39</v>
      </c>
      <c r="E12" s="8">
        <v>13.39</v>
      </c>
      <c r="F12" s="8">
        <v>13.39</v>
      </c>
      <c r="G12" s="8">
        <v>13.39</v>
      </c>
      <c r="H12" s="8">
        <v>13.39</v>
      </c>
      <c r="I12" s="8">
        <v>13.39</v>
      </c>
      <c r="J12" s="8">
        <v>13.39</v>
      </c>
      <c r="K12" s="8">
        <v>13.39</v>
      </c>
      <c r="L12" s="8">
        <v>13.39</v>
      </c>
      <c r="M12" s="8">
        <v>13.39</v>
      </c>
      <c r="N12" s="8">
        <v>13.39</v>
      </c>
      <c r="O12" s="8">
        <v>13.39</v>
      </c>
      <c r="P12" s="8">
        <v>13.39</v>
      </c>
      <c r="Q12" s="8">
        <v>13.39</v>
      </c>
      <c r="R12" s="8">
        <v>13.39</v>
      </c>
      <c r="S12" s="8">
        <v>13.39</v>
      </c>
      <c r="T12" s="8">
        <v>13.39</v>
      </c>
      <c r="U12" s="8">
        <v>13.39</v>
      </c>
      <c r="V12" s="8">
        <v>13.39</v>
      </c>
      <c r="W12" s="8">
        <v>13.39</v>
      </c>
      <c r="X12" s="8">
        <v>13.39</v>
      </c>
      <c r="Y12" s="8">
        <v>13.39</v>
      </c>
      <c r="Z12" s="8">
        <v>13.39</v>
      </c>
    </row>
    <row r="13" spans="1:27" ht="14.4" x14ac:dyDescent="0.3">
      <c r="A13" s="6" t="s">
        <v>7</v>
      </c>
      <c r="B13" s="8">
        <f>'W7 DIESEL 120K'!U6</f>
        <v>0</v>
      </c>
      <c r="C13" s="8"/>
      <c r="D13" s="8">
        <v>15.75</v>
      </c>
      <c r="E13" s="8"/>
      <c r="F13" s="8">
        <v>15.75</v>
      </c>
      <c r="G13" s="8"/>
      <c r="H13" s="8">
        <v>15.75</v>
      </c>
      <c r="I13" s="8"/>
      <c r="J13" s="8">
        <v>15.75</v>
      </c>
      <c r="K13" s="8"/>
      <c r="L13" s="8">
        <v>15.75</v>
      </c>
      <c r="M13" s="8"/>
      <c r="N13" s="8">
        <v>15.75</v>
      </c>
      <c r="O13" s="8"/>
      <c r="P13" s="8">
        <v>15.75</v>
      </c>
      <c r="Q13" s="8"/>
      <c r="R13" s="8">
        <v>15.75</v>
      </c>
      <c r="S13" s="8"/>
      <c r="T13" s="8">
        <v>15.75</v>
      </c>
      <c r="U13" s="8"/>
      <c r="V13" s="8">
        <v>15.75</v>
      </c>
      <c r="W13" s="8"/>
      <c r="X13" s="8">
        <v>15.75</v>
      </c>
      <c r="Y13" s="8"/>
      <c r="Z13" s="8">
        <v>15.75</v>
      </c>
    </row>
    <row r="14" spans="1:27" ht="14.4" x14ac:dyDescent="0.3">
      <c r="A14" s="6" t="s">
        <v>9</v>
      </c>
      <c r="B14" s="8">
        <f>'W7 DIESEL 120K'!U8</f>
        <v>0</v>
      </c>
      <c r="C14" s="8"/>
      <c r="D14" s="8">
        <v>30.79</v>
      </c>
      <c r="E14" s="8"/>
      <c r="F14" s="8">
        <v>30.79</v>
      </c>
      <c r="G14" s="8"/>
      <c r="H14" s="8">
        <v>30.79</v>
      </c>
      <c r="I14" s="8"/>
      <c r="J14" s="8">
        <v>30.79</v>
      </c>
      <c r="K14" s="8"/>
      <c r="L14" s="8">
        <v>30.79</v>
      </c>
      <c r="M14" s="8"/>
      <c r="N14" s="8">
        <v>30.79</v>
      </c>
      <c r="O14" s="8"/>
      <c r="P14" s="8">
        <v>30.79</v>
      </c>
      <c r="Q14" s="8"/>
      <c r="R14" s="8">
        <v>30.79</v>
      </c>
      <c r="S14" s="8"/>
      <c r="T14" s="8">
        <v>30.79</v>
      </c>
      <c r="U14" s="8"/>
      <c r="V14" s="8">
        <v>30.79</v>
      </c>
      <c r="W14" s="8"/>
      <c r="X14" s="8">
        <v>30.79</v>
      </c>
      <c r="Y14" s="8"/>
      <c r="Z14" s="8">
        <v>30.79</v>
      </c>
    </row>
    <row r="15" spans="1:27" ht="14.4" x14ac:dyDescent="0.3">
      <c r="A15" s="6" t="s">
        <v>11</v>
      </c>
      <c r="B15" s="8">
        <f>'W7 DIESEL 120K'!U10</f>
        <v>0</v>
      </c>
      <c r="C15" s="8"/>
      <c r="D15" s="8">
        <v>8.18</v>
      </c>
      <c r="E15" s="8"/>
      <c r="F15" s="8">
        <v>8.18</v>
      </c>
      <c r="G15" s="8"/>
      <c r="H15" s="8">
        <v>8.18</v>
      </c>
      <c r="I15" s="8"/>
      <c r="J15" s="8">
        <v>8.18</v>
      </c>
      <c r="K15" s="8"/>
      <c r="L15" s="8">
        <v>8.18</v>
      </c>
      <c r="M15" s="8"/>
      <c r="N15" s="8">
        <v>8.18</v>
      </c>
      <c r="O15" s="8"/>
      <c r="P15" s="8">
        <v>8.18</v>
      </c>
      <c r="Q15" s="8"/>
      <c r="R15" s="8">
        <v>8.18</v>
      </c>
      <c r="S15" s="8"/>
      <c r="T15" s="8">
        <v>8.18</v>
      </c>
      <c r="U15" s="8"/>
      <c r="V15" s="8">
        <v>8.18</v>
      </c>
      <c r="W15" s="8"/>
      <c r="X15" s="8">
        <v>8.18</v>
      </c>
      <c r="Y15" s="8"/>
      <c r="Z15" s="8">
        <v>8.18</v>
      </c>
    </row>
    <row r="16" spans="1:27" ht="14.4" x14ac:dyDescent="0.3">
      <c r="A16" s="6" t="s">
        <v>12</v>
      </c>
      <c r="B16" s="8">
        <f>'W7 DIESEL 120K'!U11</f>
        <v>0</v>
      </c>
      <c r="C16" s="8"/>
      <c r="D16" s="8">
        <v>5.6</v>
      </c>
      <c r="E16" s="8"/>
      <c r="F16" s="8">
        <v>5.6</v>
      </c>
      <c r="G16" s="8"/>
      <c r="H16" s="8">
        <v>5.6</v>
      </c>
      <c r="I16" s="8"/>
      <c r="J16" s="8">
        <v>5.6</v>
      </c>
      <c r="K16" s="8"/>
      <c r="L16" s="8">
        <v>5.6</v>
      </c>
      <c r="M16" s="8"/>
      <c r="N16" s="8">
        <v>5.6</v>
      </c>
      <c r="O16" s="8"/>
      <c r="P16" s="8">
        <v>5.6</v>
      </c>
      <c r="Q16" s="8"/>
      <c r="R16" s="8">
        <v>5.6</v>
      </c>
      <c r="S16" s="8"/>
      <c r="T16" s="8">
        <v>5.6</v>
      </c>
      <c r="U16" s="8"/>
      <c r="V16" s="8">
        <v>5.6</v>
      </c>
      <c r="W16" s="8"/>
      <c r="X16" s="8">
        <v>5.6</v>
      </c>
      <c r="Y16" s="8"/>
      <c r="Z16" s="8">
        <v>5.6</v>
      </c>
    </row>
    <row r="17" spans="1:27" ht="14.4" x14ac:dyDescent="0.3">
      <c r="A17" s="6" t="s">
        <v>13</v>
      </c>
      <c r="B17" s="8">
        <f>'W7 DIESEL 120K'!U12</f>
        <v>0</v>
      </c>
      <c r="C17" s="8"/>
      <c r="D17" s="8">
        <v>6.02</v>
      </c>
      <c r="E17" s="8"/>
      <c r="F17" s="8">
        <v>6.02</v>
      </c>
      <c r="G17" s="8"/>
      <c r="H17" s="8">
        <v>6.02</v>
      </c>
      <c r="I17" s="8"/>
      <c r="J17" s="8">
        <v>6.02</v>
      </c>
      <c r="K17" s="8"/>
      <c r="L17" s="8">
        <v>6.02</v>
      </c>
      <c r="M17" s="8"/>
      <c r="N17" s="8">
        <v>6.02</v>
      </c>
      <c r="O17" s="8"/>
      <c r="P17" s="8">
        <v>6.02</v>
      </c>
      <c r="Q17" s="8"/>
      <c r="R17" s="8">
        <v>6.02</v>
      </c>
      <c r="S17" s="8"/>
      <c r="T17" s="8">
        <v>6.02</v>
      </c>
      <c r="U17" s="8"/>
      <c r="V17" s="8">
        <v>6.02</v>
      </c>
      <c r="W17" s="8"/>
      <c r="X17" s="8">
        <v>6.02</v>
      </c>
      <c r="Y17" s="8"/>
      <c r="Z17" s="8">
        <v>6.02</v>
      </c>
    </row>
    <row r="18" spans="1:27" ht="14.4" hidden="1" x14ac:dyDescent="0.3">
      <c r="A18" s="6" t="s">
        <v>14</v>
      </c>
      <c r="B18" s="8">
        <f>'W7 DIESEL 120K'!U13</f>
        <v>0</v>
      </c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9"/>
    </row>
    <row r="19" spans="1:27" ht="14.4" x14ac:dyDescent="0.3">
      <c r="A19" s="6" t="s">
        <v>52</v>
      </c>
      <c r="B19" s="8">
        <f>'W7 DIESEL 120K'!U14</f>
        <v>0</v>
      </c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>
        <v>151.24</v>
      </c>
      <c r="W19" s="8"/>
      <c r="X19" s="8"/>
      <c r="Y19" s="8"/>
      <c r="Z19" s="9"/>
    </row>
    <row r="20" spans="1:27" ht="14.4" x14ac:dyDescent="0.3">
      <c r="A20" s="6" t="s">
        <v>18</v>
      </c>
      <c r="B20" s="8">
        <f>'W7 DIESEL 120K'!U17</f>
        <v>3.5</v>
      </c>
      <c r="C20" s="8">
        <v>5</v>
      </c>
      <c r="D20" s="8">
        <v>5</v>
      </c>
      <c r="E20" s="8">
        <v>5</v>
      </c>
      <c r="F20" s="8">
        <v>5</v>
      </c>
      <c r="G20" s="8">
        <v>5</v>
      </c>
      <c r="H20" s="8">
        <v>5</v>
      </c>
      <c r="I20" s="8">
        <v>5</v>
      </c>
      <c r="J20" s="8">
        <v>5</v>
      </c>
      <c r="K20" s="8">
        <v>5</v>
      </c>
      <c r="L20" s="8">
        <v>5</v>
      </c>
      <c r="M20" s="8">
        <v>5</v>
      </c>
      <c r="N20" s="8">
        <v>5</v>
      </c>
      <c r="O20" s="8">
        <v>5</v>
      </c>
      <c r="P20" s="8">
        <v>5</v>
      </c>
      <c r="Q20" s="8">
        <v>5</v>
      </c>
      <c r="R20" s="8">
        <v>5</v>
      </c>
      <c r="S20" s="8">
        <v>5</v>
      </c>
      <c r="T20" s="8">
        <v>5</v>
      </c>
      <c r="U20" s="8">
        <v>5</v>
      </c>
      <c r="V20" s="8">
        <v>5</v>
      </c>
      <c r="W20" s="8">
        <v>5</v>
      </c>
      <c r="X20" s="8">
        <v>5</v>
      </c>
      <c r="Y20" s="8">
        <v>5</v>
      </c>
      <c r="Z20" s="8">
        <v>5</v>
      </c>
    </row>
    <row r="21" spans="1:27" ht="15.75" customHeight="1" x14ac:dyDescent="0.3">
      <c r="A21" s="36" t="s">
        <v>53</v>
      </c>
      <c r="B21" s="77"/>
      <c r="C21" s="77"/>
      <c r="D21" s="77"/>
      <c r="E21" s="77"/>
      <c r="F21" s="77"/>
      <c r="G21" s="77"/>
      <c r="H21" s="77"/>
      <c r="I21" s="77"/>
      <c r="J21" s="77"/>
      <c r="K21" s="77"/>
      <c r="L21" s="77">
        <v>10</v>
      </c>
      <c r="M21" s="77"/>
      <c r="N21" s="77"/>
      <c r="O21" s="77"/>
      <c r="P21" s="77"/>
      <c r="Q21" s="77"/>
      <c r="R21" s="77"/>
      <c r="S21" s="77"/>
      <c r="T21" s="77"/>
      <c r="U21" s="77"/>
      <c r="V21" s="77">
        <v>10</v>
      </c>
      <c r="W21" s="77"/>
      <c r="X21" s="77"/>
      <c r="Y21" s="77"/>
      <c r="Z21" s="78"/>
    </row>
    <row r="22" spans="1:27" ht="15.75" customHeight="1" x14ac:dyDescent="0.3">
      <c r="A22" s="20" t="s">
        <v>54</v>
      </c>
      <c r="B22" s="77"/>
      <c r="C22" s="77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>
        <v>33.5</v>
      </c>
      <c r="Q22" s="77"/>
      <c r="R22" s="77"/>
      <c r="S22" s="77"/>
      <c r="T22" s="77"/>
      <c r="U22" s="77"/>
      <c r="V22" s="77"/>
      <c r="W22" s="77"/>
      <c r="X22" s="77"/>
      <c r="Y22" s="77"/>
      <c r="Z22" s="78"/>
    </row>
    <row r="23" spans="1:27" ht="15.75" customHeight="1" x14ac:dyDescent="0.3">
      <c r="A23" s="190" t="s">
        <v>21</v>
      </c>
      <c r="B23" s="191" t="e">
        <f>B11+B12+#REF!+B13+B14+#REF!+B15+B16+B17+B19+B20+#REF!</f>
        <v>#REF!</v>
      </c>
      <c r="C23" s="191">
        <f t="shared" ref="C23:Z23" si="1">SUM(C11:C22)</f>
        <v>26.700000000000003</v>
      </c>
      <c r="D23" s="191">
        <f t="shared" si="1"/>
        <v>93.04</v>
      </c>
      <c r="E23" s="191">
        <f t="shared" si="1"/>
        <v>26.700000000000003</v>
      </c>
      <c r="F23" s="191">
        <f t="shared" si="1"/>
        <v>93.04</v>
      </c>
      <c r="G23" s="191">
        <f t="shared" si="1"/>
        <v>26.700000000000003</v>
      </c>
      <c r="H23" s="191">
        <f t="shared" si="1"/>
        <v>93.04</v>
      </c>
      <c r="I23" s="191">
        <f t="shared" si="1"/>
        <v>26.700000000000003</v>
      </c>
      <c r="J23" s="191">
        <f t="shared" si="1"/>
        <v>93.04</v>
      </c>
      <c r="K23" s="191">
        <f t="shared" si="1"/>
        <v>26.700000000000003</v>
      </c>
      <c r="L23" s="191">
        <f t="shared" si="1"/>
        <v>103.04</v>
      </c>
      <c r="M23" s="191">
        <f t="shared" si="1"/>
        <v>26.700000000000003</v>
      </c>
      <c r="N23" s="191">
        <f t="shared" si="1"/>
        <v>93.04</v>
      </c>
      <c r="O23" s="191">
        <f t="shared" si="1"/>
        <v>26.700000000000003</v>
      </c>
      <c r="P23" s="191">
        <f t="shared" si="1"/>
        <v>126.54</v>
      </c>
      <c r="Q23" s="191">
        <f t="shared" si="1"/>
        <v>26.700000000000003</v>
      </c>
      <c r="R23" s="191">
        <f t="shared" si="1"/>
        <v>93.04</v>
      </c>
      <c r="S23" s="191">
        <f t="shared" si="1"/>
        <v>26.700000000000003</v>
      </c>
      <c r="T23" s="191">
        <f t="shared" si="1"/>
        <v>93.04</v>
      </c>
      <c r="U23" s="191">
        <f t="shared" si="1"/>
        <v>26.700000000000003</v>
      </c>
      <c r="V23" s="191">
        <f t="shared" si="1"/>
        <v>254.28000000000003</v>
      </c>
      <c r="W23" s="191">
        <f t="shared" si="1"/>
        <v>26.700000000000003</v>
      </c>
      <c r="X23" s="191">
        <f t="shared" si="1"/>
        <v>93.04</v>
      </c>
      <c r="Y23" s="191">
        <f t="shared" si="1"/>
        <v>26.700000000000003</v>
      </c>
      <c r="Z23" s="191">
        <f t="shared" si="1"/>
        <v>93.04</v>
      </c>
      <c r="AA23" s="189">
        <f>SUM(C23:Z23)</f>
        <v>1641.6200000000001</v>
      </c>
    </row>
    <row r="24" spans="1:27" ht="15.75" customHeight="1" x14ac:dyDescent="0.3">
      <c r="A24" s="6" t="s">
        <v>55</v>
      </c>
      <c r="B24" s="8"/>
      <c r="C24" s="8">
        <v>19.399999999999999</v>
      </c>
      <c r="D24" s="8">
        <v>107.5</v>
      </c>
      <c r="E24" s="8">
        <v>14.11</v>
      </c>
      <c r="F24" s="8">
        <v>132.19</v>
      </c>
      <c r="G24" s="8">
        <v>14.11</v>
      </c>
      <c r="H24" s="8">
        <v>125.84</v>
      </c>
      <c r="I24" s="8">
        <v>14.11</v>
      </c>
      <c r="J24" s="8">
        <v>163.94</v>
      </c>
      <c r="K24" s="8">
        <v>14.11</v>
      </c>
      <c r="L24" s="8">
        <v>119.84</v>
      </c>
      <c r="M24" s="8">
        <v>14.11</v>
      </c>
      <c r="N24" s="8">
        <v>147.01</v>
      </c>
      <c r="O24" s="8">
        <v>14.11</v>
      </c>
      <c r="P24" s="8">
        <v>98.68</v>
      </c>
      <c r="Q24" s="8">
        <v>14.11</v>
      </c>
      <c r="R24" s="8">
        <v>132.19</v>
      </c>
      <c r="S24" s="8">
        <v>14.11</v>
      </c>
      <c r="T24" s="8">
        <v>129.37</v>
      </c>
      <c r="U24" s="8">
        <v>14.11</v>
      </c>
      <c r="V24" s="8">
        <v>264.49</v>
      </c>
      <c r="W24" s="8">
        <v>14.11</v>
      </c>
      <c r="X24" s="8">
        <v>107.5</v>
      </c>
      <c r="Y24" s="8">
        <v>14.11</v>
      </c>
      <c r="Z24" s="9">
        <v>132.19</v>
      </c>
      <c r="AA24" s="12"/>
    </row>
    <row r="25" spans="1:27" ht="15.75" customHeight="1" x14ac:dyDescent="0.3">
      <c r="A25" s="31" t="s">
        <v>23</v>
      </c>
      <c r="B25" s="33">
        <v>0</v>
      </c>
      <c r="C25" s="33"/>
      <c r="D25" s="33">
        <v>17.16</v>
      </c>
      <c r="E25" s="33"/>
      <c r="F25" s="33">
        <v>17.16</v>
      </c>
      <c r="G25" s="33"/>
      <c r="H25" s="33">
        <v>17.16</v>
      </c>
      <c r="I25" s="33"/>
      <c r="J25" s="33">
        <v>17.16</v>
      </c>
      <c r="K25" s="33"/>
      <c r="L25" s="33">
        <v>17.16</v>
      </c>
      <c r="M25" s="33"/>
      <c r="N25" s="33">
        <v>17.16</v>
      </c>
      <c r="O25" s="33"/>
      <c r="P25" s="33">
        <v>17.16</v>
      </c>
      <c r="Q25" s="33"/>
      <c r="R25" s="33">
        <v>17.16</v>
      </c>
      <c r="S25" s="33"/>
      <c r="T25" s="33">
        <v>17.16</v>
      </c>
      <c r="U25" s="33"/>
      <c r="V25" s="33">
        <v>17.16</v>
      </c>
      <c r="W25" s="33"/>
      <c r="X25" s="33">
        <v>17.16</v>
      </c>
      <c r="Y25" s="33"/>
      <c r="Z25" s="34">
        <v>17.16</v>
      </c>
      <c r="AA25" s="12"/>
    </row>
    <row r="26" spans="1:27" ht="15.75" customHeight="1" x14ac:dyDescent="0.3">
      <c r="A26" s="6" t="s">
        <v>24</v>
      </c>
      <c r="B26" s="8"/>
      <c r="C26" s="8"/>
      <c r="D26" s="8">
        <v>15.84</v>
      </c>
      <c r="E26" s="8"/>
      <c r="F26" s="8">
        <v>15.84</v>
      </c>
      <c r="G26" s="8"/>
      <c r="H26" s="8">
        <v>15.84</v>
      </c>
      <c r="I26" s="8"/>
      <c r="J26" s="8">
        <v>15.84</v>
      </c>
      <c r="K26" s="8"/>
      <c r="L26" s="8">
        <v>15.84</v>
      </c>
      <c r="M26" s="8"/>
      <c r="N26" s="8">
        <v>15.84</v>
      </c>
      <c r="O26" s="8"/>
      <c r="P26" s="8">
        <v>15.84</v>
      </c>
      <c r="Q26" s="8"/>
      <c r="R26" s="8">
        <v>15.84</v>
      </c>
      <c r="S26" s="8"/>
      <c r="T26" s="8">
        <v>15.84</v>
      </c>
      <c r="U26" s="8"/>
      <c r="V26" s="8">
        <v>15.84</v>
      </c>
      <c r="W26" s="8"/>
      <c r="X26" s="8">
        <v>15.84</v>
      </c>
      <c r="Y26" s="8"/>
      <c r="Z26" s="9">
        <v>15.84</v>
      </c>
      <c r="AA26" s="12"/>
    </row>
    <row r="27" spans="1:27" ht="15.75" customHeight="1" x14ac:dyDescent="0.3">
      <c r="A27" s="36" t="s">
        <v>56</v>
      </c>
      <c r="B27" s="77"/>
      <c r="C27" s="77"/>
      <c r="D27" s="77"/>
      <c r="E27" s="77"/>
      <c r="F27" s="77"/>
      <c r="G27" s="77"/>
      <c r="H27" s="77"/>
      <c r="I27" s="77"/>
      <c r="J27" s="77">
        <v>30</v>
      </c>
      <c r="K27" s="77"/>
      <c r="L27" s="77"/>
      <c r="M27" s="77"/>
      <c r="N27" s="77"/>
      <c r="O27" s="77"/>
      <c r="P27" s="77"/>
      <c r="Q27" s="77"/>
      <c r="R27" s="77">
        <v>30</v>
      </c>
      <c r="S27" s="77"/>
      <c r="T27" s="77"/>
      <c r="U27" s="77"/>
      <c r="V27" s="77"/>
      <c r="W27" s="77"/>
      <c r="X27" s="77"/>
      <c r="Y27" s="77"/>
      <c r="Z27" s="77">
        <v>30</v>
      </c>
      <c r="AA27" s="12"/>
    </row>
    <row r="28" spans="1:27" ht="15.75" customHeight="1" x14ac:dyDescent="0.3">
      <c r="A28" s="36" t="s">
        <v>57</v>
      </c>
      <c r="B28" s="77"/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>
        <v>850</v>
      </c>
      <c r="P28" s="77"/>
      <c r="Q28" s="77"/>
      <c r="R28" s="77"/>
      <c r="S28" s="77"/>
      <c r="T28" s="77"/>
      <c r="U28" s="77"/>
      <c r="V28" s="77"/>
      <c r="W28" s="77"/>
      <c r="X28" s="77"/>
      <c r="Y28" s="77"/>
      <c r="Z28" s="78"/>
      <c r="AA28" s="12"/>
    </row>
    <row r="29" spans="1:27" ht="15.75" customHeight="1" x14ac:dyDescent="0.3">
      <c r="A29" s="36" t="s">
        <v>25</v>
      </c>
      <c r="B29" s="77">
        <v>0</v>
      </c>
      <c r="C29" s="77"/>
      <c r="D29" s="77">
        <v>16.5</v>
      </c>
      <c r="E29" s="77"/>
      <c r="F29" s="77">
        <v>16.5</v>
      </c>
      <c r="G29" s="77"/>
      <c r="H29" s="77">
        <v>16.5</v>
      </c>
      <c r="I29" s="77"/>
      <c r="J29" s="77">
        <v>16.5</v>
      </c>
      <c r="K29" s="77"/>
      <c r="L29" s="77">
        <v>16.5</v>
      </c>
      <c r="M29" s="77"/>
      <c r="N29" s="77">
        <v>16.5</v>
      </c>
      <c r="O29" s="77"/>
      <c r="P29" s="77">
        <v>16.5</v>
      </c>
      <c r="Q29" s="77"/>
      <c r="R29" s="77">
        <v>16.5</v>
      </c>
      <c r="S29" s="77"/>
      <c r="T29" s="77">
        <v>16.5</v>
      </c>
      <c r="U29" s="77"/>
      <c r="V29" s="77">
        <v>16.5</v>
      </c>
      <c r="W29" s="77"/>
      <c r="X29" s="77">
        <v>16.5</v>
      </c>
      <c r="Y29" s="77"/>
      <c r="Z29" s="78">
        <v>16.5</v>
      </c>
      <c r="AA29" s="12"/>
    </row>
    <row r="30" spans="1:27" ht="15.75" customHeight="1" x14ac:dyDescent="0.3">
      <c r="A30" s="187" t="s">
        <v>22</v>
      </c>
      <c r="B30" s="188">
        <f>'W7 DIESEL 120K'!U21</f>
        <v>14.78</v>
      </c>
      <c r="C30" s="188">
        <f t="shared" ref="C30:Z30" si="2">SUM(C24:C29)</f>
        <v>19.399999999999999</v>
      </c>
      <c r="D30" s="188">
        <f t="shared" si="2"/>
        <v>157</v>
      </c>
      <c r="E30" s="188">
        <f t="shared" si="2"/>
        <v>14.11</v>
      </c>
      <c r="F30" s="188">
        <f t="shared" si="2"/>
        <v>181.69</v>
      </c>
      <c r="G30" s="188">
        <f t="shared" si="2"/>
        <v>14.11</v>
      </c>
      <c r="H30" s="188">
        <f t="shared" si="2"/>
        <v>175.34</v>
      </c>
      <c r="I30" s="188">
        <f t="shared" si="2"/>
        <v>14.11</v>
      </c>
      <c r="J30" s="188">
        <f t="shared" si="2"/>
        <v>243.44</v>
      </c>
      <c r="K30" s="188">
        <f t="shared" si="2"/>
        <v>14.11</v>
      </c>
      <c r="L30" s="188">
        <f t="shared" si="2"/>
        <v>169.34</v>
      </c>
      <c r="M30" s="188">
        <f t="shared" si="2"/>
        <v>14.11</v>
      </c>
      <c r="N30" s="188">
        <f t="shared" si="2"/>
        <v>196.51</v>
      </c>
      <c r="O30" s="188">
        <f t="shared" si="2"/>
        <v>864.11</v>
      </c>
      <c r="P30" s="188">
        <f t="shared" si="2"/>
        <v>148.18</v>
      </c>
      <c r="Q30" s="188">
        <f t="shared" si="2"/>
        <v>14.11</v>
      </c>
      <c r="R30" s="188">
        <f t="shared" si="2"/>
        <v>211.69</v>
      </c>
      <c r="S30" s="188">
        <f t="shared" si="2"/>
        <v>14.11</v>
      </c>
      <c r="T30" s="188">
        <f t="shared" si="2"/>
        <v>178.87</v>
      </c>
      <c r="U30" s="188">
        <f t="shared" si="2"/>
        <v>14.11</v>
      </c>
      <c r="V30" s="188">
        <f t="shared" si="2"/>
        <v>313.99</v>
      </c>
      <c r="W30" s="188">
        <f t="shared" si="2"/>
        <v>14.11</v>
      </c>
      <c r="X30" s="188">
        <f t="shared" si="2"/>
        <v>157</v>
      </c>
      <c r="Y30" s="188">
        <f t="shared" si="2"/>
        <v>14.11</v>
      </c>
      <c r="Z30" s="188">
        <f t="shared" si="2"/>
        <v>211.69</v>
      </c>
      <c r="AA30" s="189">
        <f>SUM(C30:Z30)</f>
        <v>3369.3500000000008</v>
      </c>
    </row>
    <row r="31" spans="1:27" ht="15.75" customHeight="1" x14ac:dyDescent="0.3">
      <c r="A31" s="179" t="s">
        <v>58</v>
      </c>
      <c r="B31" s="180"/>
      <c r="C31" s="181">
        <f t="shared" ref="C31:Z31" si="3">C10+C23+C30</f>
        <v>163.91</v>
      </c>
      <c r="D31" s="181">
        <f t="shared" si="3"/>
        <v>293.84000000000003</v>
      </c>
      <c r="E31" s="181">
        <f t="shared" si="3"/>
        <v>84.61</v>
      </c>
      <c r="F31" s="181">
        <f t="shared" si="3"/>
        <v>318.52999999999997</v>
      </c>
      <c r="G31" s="181">
        <f t="shared" si="3"/>
        <v>84.61</v>
      </c>
      <c r="H31" s="181">
        <f t="shared" si="3"/>
        <v>329.4</v>
      </c>
      <c r="I31" s="181">
        <f t="shared" si="3"/>
        <v>84.61</v>
      </c>
      <c r="J31" s="181">
        <f t="shared" si="3"/>
        <v>380.28</v>
      </c>
      <c r="K31" s="181">
        <f t="shared" si="3"/>
        <v>84.61</v>
      </c>
      <c r="L31" s="181">
        <f t="shared" si="3"/>
        <v>449.39</v>
      </c>
      <c r="M31" s="181">
        <f t="shared" si="3"/>
        <v>84.61</v>
      </c>
      <c r="N31" s="181">
        <f t="shared" si="3"/>
        <v>350.57</v>
      </c>
      <c r="O31" s="181">
        <f t="shared" si="3"/>
        <v>934.61</v>
      </c>
      <c r="P31" s="181">
        <f t="shared" si="3"/>
        <v>318.52</v>
      </c>
      <c r="Q31" s="181">
        <f t="shared" si="3"/>
        <v>84.61</v>
      </c>
      <c r="R31" s="181">
        <f t="shared" si="3"/>
        <v>348.53</v>
      </c>
      <c r="S31" s="181">
        <f t="shared" si="3"/>
        <v>84.61</v>
      </c>
      <c r="T31" s="181">
        <f t="shared" si="3"/>
        <v>332.93</v>
      </c>
      <c r="U31" s="181">
        <f t="shared" si="3"/>
        <v>84.61</v>
      </c>
      <c r="V31" s="181">
        <f t="shared" si="3"/>
        <v>745.28</v>
      </c>
      <c r="W31" s="181">
        <f t="shared" si="3"/>
        <v>84.61</v>
      </c>
      <c r="X31" s="181">
        <f t="shared" si="3"/>
        <v>293.84000000000003</v>
      </c>
      <c r="Y31" s="181">
        <f t="shared" si="3"/>
        <v>84.61</v>
      </c>
      <c r="Z31" s="182">
        <f t="shared" si="3"/>
        <v>365.75</v>
      </c>
      <c r="AA31" s="54"/>
    </row>
    <row r="32" spans="1:27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">
    <mergeCell ref="A1:Z1"/>
  </mergeCells>
  <pageMargins left="0.7" right="0.7" top="0.75" bottom="0.75" header="0" footer="0"/>
  <pageSetup paperSize="9" orientation="landscape"/>
  <colBreaks count="1" manualBreakCount="1">
    <brk id="26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M1000"/>
  <sheetViews>
    <sheetView workbookViewId="0"/>
  </sheetViews>
  <sheetFormatPr baseColWidth="10" defaultColWidth="14.44140625" defaultRowHeight="15" customHeight="1" x14ac:dyDescent="0.3"/>
  <cols>
    <col min="1" max="1" width="8.5546875" customWidth="1"/>
    <col min="2" max="2" width="43.33203125" customWidth="1"/>
    <col min="3" max="3" width="10.33203125" hidden="1" customWidth="1"/>
    <col min="4" max="4" width="10.88671875" hidden="1" customWidth="1"/>
    <col min="5" max="5" width="12.33203125" customWidth="1"/>
    <col min="6" max="6" width="52.109375" hidden="1" customWidth="1"/>
    <col min="7" max="7" width="11.44140625" hidden="1" customWidth="1"/>
    <col min="8" max="8" width="50.109375" hidden="1" customWidth="1"/>
    <col min="9" max="10" width="11.5546875" customWidth="1"/>
    <col min="11" max="11" width="12.44140625" customWidth="1"/>
    <col min="12" max="12" width="11.5546875" customWidth="1"/>
    <col min="13" max="13" width="12.5546875" customWidth="1"/>
    <col min="14" max="26" width="10.6640625" customWidth="1"/>
  </cols>
  <sheetData>
    <row r="1" spans="1:13" ht="14.4" x14ac:dyDescent="0.3">
      <c r="A1" s="83" t="s">
        <v>59</v>
      </c>
      <c r="B1" s="84" t="s">
        <v>60</v>
      </c>
      <c r="C1" s="84"/>
      <c r="D1" s="84"/>
      <c r="E1" s="84"/>
      <c r="F1" s="84"/>
      <c r="G1" s="19"/>
      <c r="H1" s="19"/>
      <c r="I1" s="19"/>
      <c r="J1" s="19"/>
      <c r="K1" s="19"/>
      <c r="L1" s="19"/>
      <c r="M1" s="19"/>
    </row>
    <row r="2" spans="1:13" ht="14.4" x14ac:dyDescent="0.3">
      <c r="A2" s="83" t="s">
        <v>61</v>
      </c>
      <c r="B2" s="84" t="s">
        <v>0</v>
      </c>
      <c r="C2" s="204" t="s">
        <v>62</v>
      </c>
      <c r="D2" s="205"/>
      <c r="E2" s="205"/>
      <c r="F2" s="205"/>
      <c r="G2" s="205"/>
      <c r="H2" s="205"/>
      <c r="I2" s="205"/>
      <c r="J2" s="205"/>
      <c r="K2" s="205"/>
      <c r="L2" s="206"/>
      <c r="M2" s="19"/>
    </row>
    <row r="3" spans="1:13" ht="14.4" x14ac:dyDescent="0.3">
      <c r="A3" s="83" t="s">
        <v>63</v>
      </c>
      <c r="B3" s="84" t="s">
        <v>64</v>
      </c>
      <c r="C3" s="84" t="s">
        <v>65</v>
      </c>
      <c r="D3" s="84" t="s">
        <v>66</v>
      </c>
      <c r="E3" s="84" t="s">
        <v>21</v>
      </c>
      <c r="F3" s="84" t="s">
        <v>67</v>
      </c>
      <c r="G3" s="85"/>
      <c r="H3" s="84" t="s">
        <v>68</v>
      </c>
      <c r="I3" s="86" t="s">
        <v>69</v>
      </c>
      <c r="J3" s="84" t="s">
        <v>51</v>
      </c>
      <c r="K3" s="85" t="s">
        <v>70</v>
      </c>
      <c r="L3" s="84" t="s">
        <v>71</v>
      </c>
      <c r="M3" s="85" t="s">
        <v>27</v>
      </c>
    </row>
    <row r="4" spans="1:13" ht="14.4" x14ac:dyDescent="0.3">
      <c r="A4" s="83">
        <v>1</v>
      </c>
      <c r="B4" s="19" t="s">
        <v>72</v>
      </c>
      <c r="C4" s="19">
        <v>1</v>
      </c>
      <c r="D4" s="19">
        <v>1170</v>
      </c>
      <c r="E4" s="87">
        <f>D4*C4</f>
        <v>1170</v>
      </c>
      <c r="F4" s="87" t="s">
        <v>73</v>
      </c>
      <c r="G4" s="88">
        <v>72.599999999999994</v>
      </c>
      <c r="H4" s="87" t="s">
        <v>74</v>
      </c>
      <c r="I4" s="89">
        <v>147.6</v>
      </c>
      <c r="J4" s="87"/>
      <c r="K4" s="87">
        <f t="shared" ref="K4:K27" si="0">+E4+I4+J4</f>
        <v>1317.6</v>
      </c>
      <c r="L4" s="87">
        <f t="shared" ref="L4:L27" si="1">+K4*0.12</f>
        <v>158.11199999999999</v>
      </c>
      <c r="M4" s="87">
        <f t="shared" ref="M4:M27" si="2">+K4+L4</f>
        <v>1475.712</v>
      </c>
    </row>
    <row r="5" spans="1:13" ht="14.4" x14ac:dyDescent="0.3">
      <c r="A5" s="83">
        <v>2</v>
      </c>
      <c r="B5" s="19" t="s">
        <v>75</v>
      </c>
      <c r="C5" s="19">
        <v>1</v>
      </c>
      <c r="D5" s="19">
        <v>99.09</v>
      </c>
      <c r="E5" s="87">
        <v>126.34</v>
      </c>
      <c r="F5" s="87" t="s">
        <v>76</v>
      </c>
      <c r="G5" s="88">
        <v>57.75</v>
      </c>
      <c r="H5" s="87" t="s">
        <v>74</v>
      </c>
      <c r="I5" s="89">
        <v>132.75</v>
      </c>
      <c r="J5" s="87"/>
      <c r="K5" s="87">
        <f t="shared" si="0"/>
        <v>259.09000000000003</v>
      </c>
      <c r="L5" s="87">
        <f t="shared" si="1"/>
        <v>31.090800000000002</v>
      </c>
      <c r="M5" s="87">
        <f t="shared" si="2"/>
        <v>290.18080000000003</v>
      </c>
    </row>
    <row r="6" spans="1:13" ht="14.4" x14ac:dyDescent="0.3">
      <c r="A6" s="83">
        <v>3</v>
      </c>
      <c r="B6" s="19" t="s">
        <v>77</v>
      </c>
      <c r="C6" s="19">
        <v>1</v>
      </c>
      <c r="D6" s="19">
        <v>187.49</v>
      </c>
      <c r="E6" s="87">
        <f t="shared" ref="E6:E7" si="3">D6*C6</f>
        <v>187.49</v>
      </c>
      <c r="F6" s="87" t="s">
        <v>78</v>
      </c>
      <c r="G6" s="88">
        <v>49.5</v>
      </c>
      <c r="H6" s="87" t="s">
        <v>79</v>
      </c>
      <c r="I6" s="89">
        <v>82.5</v>
      </c>
      <c r="J6" s="87">
        <v>15</v>
      </c>
      <c r="K6" s="87">
        <f t="shared" si="0"/>
        <v>284.99</v>
      </c>
      <c r="L6" s="87">
        <f t="shared" si="1"/>
        <v>34.198799999999999</v>
      </c>
      <c r="M6" s="87">
        <f t="shared" si="2"/>
        <v>319.18880000000001</v>
      </c>
    </row>
    <row r="7" spans="1:13" ht="14.4" x14ac:dyDescent="0.3">
      <c r="A7" s="83">
        <v>4</v>
      </c>
      <c r="B7" s="19" t="s">
        <v>80</v>
      </c>
      <c r="C7" s="19">
        <v>2</v>
      </c>
      <c r="D7" s="19">
        <v>78.760000000000005</v>
      </c>
      <c r="E7" s="87">
        <f t="shared" si="3"/>
        <v>157.52000000000001</v>
      </c>
      <c r="F7" s="87" t="s">
        <v>81</v>
      </c>
      <c r="G7" s="88">
        <v>28.5</v>
      </c>
      <c r="H7" s="87"/>
      <c r="I7" s="89">
        <v>28.5</v>
      </c>
      <c r="J7" s="87"/>
      <c r="K7" s="87">
        <f t="shared" si="0"/>
        <v>186.02</v>
      </c>
      <c r="L7" s="87">
        <f t="shared" si="1"/>
        <v>22.322400000000002</v>
      </c>
      <c r="M7" s="87">
        <f t="shared" si="2"/>
        <v>208.3424</v>
      </c>
    </row>
    <row r="8" spans="1:13" ht="14.4" x14ac:dyDescent="0.3">
      <c r="A8" s="83">
        <v>5</v>
      </c>
      <c r="B8" s="19" t="s">
        <v>82</v>
      </c>
      <c r="C8" s="19">
        <v>2</v>
      </c>
      <c r="D8" s="19">
        <v>58</v>
      </c>
      <c r="E8" s="87">
        <v>81.42</v>
      </c>
      <c r="F8" s="87" t="s">
        <v>83</v>
      </c>
      <c r="G8" s="88">
        <v>28.5</v>
      </c>
      <c r="H8" s="87"/>
      <c r="I8" s="89">
        <v>28.5</v>
      </c>
      <c r="J8" s="87"/>
      <c r="K8" s="87">
        <f t="shared" si="0"/>
        <v>109.92</v>
      </c>
      <c r="L8" s="87">
        <f t="shared" si="1"/>
        <v>13.1904</v>
      </c>
      <c r="M8" s="87">
        <f t="shared" si="2"/>
        <v>123.1104</v>
      </c>
    </row>
    <row r="9" spans="1:13" ht="14.4" x14ac:dyDescent="0.3">
      <c r="A9" s="83">
        <v>6</v>
      </c>
      <c r="B9" s="19" t="s">
        <v>84</v>
      </c>
      <c r="C9" s="19">
        <v>1</v>
      </c>
      <c r="D9" s="19">
        <f>23.31+68+113.13</f>
        <v>204.44</v>
      </c>
      <c r="E9" s="87">
        <v>271.51</v>
      </c>
      <c r="F9" s="87" t="s">
        <v>85</v>
      </c>
      <c r="G9" s="88">
        <v>123.75</v>
      </c>
      <c r="H9" s="87"/>
      <c r="I9" s="89">
        <v>123.75</v>
      </c>
      <c r="J9" s="87"/>
      <c r="K9" s="87">
        <f t="shared" si="0"/>
        <v>395.26</v>
      </c>
      <c r="L9" s="87">
        <f t="shared" si="1"/>
        <v>47.431199999999997</v>
      </c>
      <c r="M9" s="87">
        <f t="shared" si="2"/>
        <v>442.69119999999998</v>
      </c>
    </row>
    <row r="10" spans="1:13" ht="14.4" x14ac:dyDescent="0.3">
      <c r="A10" s="83">
        <v>7</v>
      </c>
      <c r="B10" s="19" t="s">
        <v>86</v>
      </c>
      <c r="C10" s="19">
        <v>4</v>
      </c>
      <c r="D10" s="19">
        <v>12.22</v>
      </c>
      <c r="E10" s="87">
        <v>50.66</v>
      </c>
      <c r="F10" s="87" t="s">
        <v>87</v>
      </c>
      <c r="G10" s="88">
        <v>61.05</v>
      </c>
      <c r="H10" s="87"/>
      <c r="I10" s="89">
        <v>61.05</v>
      </c>
      <c r="J10" s="87"/>
      <c r="K10" s="87">
        <f t="shared" si="0"/>
        <v>111.71</v>
      </c>
      <c r="L10" s="87">
        <f t="shared" si="1"/>
        <v>13.405199999999999</v>
      </c>
      <c r="M10" s="87">
        <f t="shared" si="2"/>
        <v>125.11519999999999</v>
      </c>
    </row>
    <row r="11" spans="1:13" ht="14.4" x14ac:dyDescent="0.3">
      <c r="A11" s="83">
        <v>8</v>
      </c>
      <c r="B11" s="19" t="s">
        <v>88</v>
      </c>
      <c r="C11" s="19">
        <v>2</v>
      </c>
      <c r="D11" s="19">
        <v>3.88</v>
      </c>
      <c r="E11" s="87">
        <f t="shared" ref="E11:E13" si="4">D11*C11</f>
        <v>7.76</v>
      </c>
      <c r="F11" s="87" t="s">
        <v>89</v>
      </c>
      <c r="G11" s="88">
        <v>82</v>
      </c>
      <c r="H11" s="87"/>
      <c r="I11" s="89">
        <v>82</v>
      </c>
      <c r="J11" s="87"/>
      <c r="K11" s="87">
        <f t="shared" si="0"/>
        <v>89.76</v>
      </c>
      <c r="L11" s="87">
        <f t="shared" si="1"/>
        <v>10.7712</v>
      </c>
      <c r="M11" s="87">
        <f t="shared" si="2"/>
        <v>100.53120000000001</v>
      </c>
    </row>
    <row r="12" spans="1:13" ht="14.4" x14ac:dyDescent="0.3">
      <c r="A12" s="83">
        <v>9</v>
      </c>
      <c r="B12" s="19" t="s">
        <v>90</v>
      </c>
      <c r="C12" s="19">
        <v>2</v>
      </c>
      <c r="D12" s="19">
        <v>59.59</v>
      </c>
      <c r="E12" s="87">
        <f t="shared" si="4"/>
        <v>119.18</v>
      </c>
      <c r="F12" s="87" t="s">
        <v>91</v>
      </c>
      <c r="G12" s="88">
        <v>30</v>
      </c>
      <c r="H12" s="87"/>
      <c r="I12" s="89">
        <v>30</v>
      </c>
      <c r="J12" s="87"/>
      <c r="K12" s="87">
        <f t="shared" si="0"/>
        <v>149.18</v>
      </c>
      <c r="L12" s="87">
        <f t="shared" si="1"/>
        <v>17.901599999999998</v>
      </c>
      <c r="M12" s="87">
        <f t="shared" si="2"/>
        <v>167.08160000000001</v>
      </c>
    </row>
    <row r="13" spans="1:13" ht="14.4" x14ac:dyDescent="0.3">
      <c r="A13" s="83">
        <v>10</v>
      </c>
      <c r="B13" s="19" t="s">
        <v>92</v>
      </c>
      <c r="C13" s="19">
        <v>2</v>
      </c>
      <c r="D13" s="19">
        <v>70.739999999999995</v>
      </c>
      <c r="E13" s="87">
        <f t="shared" si="4"/>
        <v>141.47999999999999</v>
      </c>
      <c r="F13" s="87" t="s">
        <v>93</v>
      </c>
      <c r="G13" s="88">
        <v>30</v>
      </c>
      <c r="H13" s="87"/>
      <c r="I13" s="89">
        <v>30</v>
      </c>
      <c r="J13" s="87"/>
      <c r="K13" s="87">
        <f t="shared" si="0"/>
        <v>171.48</v>
      </c>
      <c r="L13" s="87">
        <f t="shared" si="1"/>
        <v>20.577599999999997</v>
      </c>
      <c r="M13" s="87">
        <f t="shared" si="2"/>
        <v>192.05759999999998</v>
      </c>
    </row>
    <row r="14" spans="1:13" ht="14.4" x14ac:dyDescent="0.3">
      <c r="A14" s="83">
        <v>11</v>
      </c>
      <c r="B14" s="19" t="s">
        <v>94</v>
      </c>
      <c r="C14" s="19">
        <v>4</v>
      </c>
      <c r="D14" s="19">
        <v>10</v>
      </c>
      <c r="E14" s="87">
        <v>38.96</v>
      </c>
      <c r="F14" s="87" t="s">
        <v>95</v>
      </c>
      <c r="G14" s="88">
        <v>82.5</v>
      </c>
      <c r="H14" s="87"/>
      <c r="I14" s="89">
        <v>82.5</v>
      </c>
      <c r="J14" s="87"/>
      <c r="K14" s="87">
        <f t="shared" si="0"/>
        <v>121.46000000000001</v>
      </c>
      <c r="L14" s="87">
        <f t="shared" si="1"/>
        <v>14.575200000000001</v>
      </c>
      <c r="M14" s="87">
        <f t="shared" si="2"/>
        <v>136.0352</v>
      </c>
    </row>
    <row r="15" spans="1:13" ht="14.4" x14ac:dyDescent="0.3">
      <c r="A15" s="83">
        <v>12</v>
      </c>
      <c r="B15" s="19" t="s">
        <v>96</v>
      </c>
      <c r="C15" s="19">
        <v>1</v>
      </c>
      <c r="D15" s="19">
        <v>12.96</v>
      </c>
      <c r="E15" s="87">
        <f>D15*C15</f>
        <v>12.96</v>
      </c>
      <c r="F15" s="87" t="s">
        <v>97</v>
      </c>
      <c r="G15" s="88">
        <v>49.5</v>
      </c>
      <c r="H15" s="87" t="s">
        <v>98</v>
      </c>
      <c r="I15" s="89">
        <v>82.5</v>
      </c>
      <c r="J15" s="87"/>
      <c r="K15" s="87">
        <f t="shared" si="0"/>
        <v>95.460000000000008</v>
      </c>
      <c r="L15" s="87">
        <f t="shared" si="1"/>
        <v>11.455200000000001</v>
      </c>
      <c r="M15" s="87">
        <f t="shared" si="2"/>
        <v>106.91520000000001</v>
      </c>
    </row>
    <row r="16" spans="1:13" ht="14.4" x14ac:dyDescent="0.3">
      <c r="A16" s="83">
        <v>13</v>
      </c>
      <c r="B16" s="19" t="s">
        <v>99</v>
      </c>
      <c r="C16" s="19">
        <v>1</v>
      </c>
      <c r="D16" s="19">
        <v>201.37</v>
      </c>
      <c r="E16" s="87">
        <v>188.24</v>
      </c>
      <c r="F16" s="87" t="s">
        <v>100</v>
      </c>
      <c r="G16" s="88">
        <v>61.05</v>
      </c>
      <c r="H16" s="87" t="s">
        <v>101</v>
      </c>
      <c r="I16" s="89">
        <v>86.05</v>
      </c>
      <c r="J16" s="87"/>
      <c r="K16" s="87">
        <f t="shared" si="0"/>
        <v>274.29000000000002</v>
      </c>
      <c r="L16" s="87">
        <f t="shared" si="1"/>
        <v>32.9148</v>
      </c>
      <c r="M16" s="87">
        <f t="shared" si="2"/>
        <v>307.20480000000003</v>
      </c>
    </row>
    <row r="17" spans="1:13" ht="14.4" x14ac:dyDescent="0.3">
      <c r="A17" s="83">
        <v>14</v>
      </c>
      <c r="B17" s="19" t="s">
        <v>102</v>
      </c>
      <c r="C17" s="19">
        <v>1</v>
      </c>
      <c r="D17" s="19">
        <v>30.44</v>
      </c>
      <c r="E17" s="87">
        <f t="shared" ref="E17:E19" si="5">D17*C17</f>
        <v>30.44</v>
      </c>
      <c r="F17" s="87" t="s">
        <v>103</v>
      </c>
      <c r="G17" s="90">
        <v>25.05</v>
      </c>
      <c r="H17" s="87" t="s">
        <v>101</v>
      </c>
      <c r="I17" s="89">
        <v>50.05</v>
      </c>
      <c r="J17" s="87"/>
      <c r="K17" s="87">
        <f t="shared" si="0"/>
        <v>80.489999999999995</v>
      </c>
      <c r="L17" s="87">
        <f t="shared" si="1"/>
        <v>9.6587999999999994</v>
      </c>
      <c r="M17" s="87">
        <f t="shared" si="2"/>
        <v>90.148799999999994</v>
      </c>
    </row>
    <row r="18" spans="1:13" ht="14.4" x14ac:dyDescent="0.3">
      <c r="A18" s="83">
        <v>15</v>
      </c>
      <c r="B18" s="19" t="s">
        <v>104</v>
      </c>
      <c r="C18" s="19">
        <v>4</v>
      </c>
      <c r="D18" s="19">
        <v>389.39</v>
      </c>
      <c r="E18" s="87">
        <f t="shared" si="5"/>
        <v>1557.56</v>
      </c>
      <c r="F18" s="87" t="s">
        <v>105</v>
      </c>
      <c r="G18" s="88">
        <v>41.25</v>
      </c>
      <c r="H18" s="87"/>
      <c r="I18" s="89">
        <v>41.25</v>
      </c>
      <c r="J18" s="87"/>
      <c r="K18" s="87">
        <f t="shared" si="0"/>
        <v>1598.81</v>
      </c>
      <c r="L18" s="87">
        <f t="shared" si="1"/>
        <v>191.85719999999998</v>
      </c>
      <c r="M18" s="87">
        <f t="shared" si="2"/>
        <v>1790.6671999999999</v>
      </c>
    </row>
    <row r="19" spans="1:13" ht="14.4" x14ac:dyDescent="0.3">
      <c r="A19" s="83">
        <v>16</v>
      </c>
      <c r="B19" s="19" t="s">
        <v>106</v>
      </c>
      <c r="C19" s="19">
        <v>1</v>
      </c>
      <c r="D19" s="19">
        <v>1340.14</v>
      </c>
      <c r="E19" s="87">
        <f t="shared" si="5"/>
        <v>1340.14</v>
      </c>
      <c r="F19" s="87" t="s">
        <v>107</v>
      </c>
      <c r="G19" s="88">
        <v>49.5</v>
      </c>
      <c r="H19" s="87" t="s">
        <v>108</v>
      </c>
      <c r="I19" s="89">
        <v>99.5</v>
      </c>
      <c r="J19" s="87"/>
      <c r="K19" s="87">
        <f t="shared" si="0"/>
        <v>1439.64</v>
      </c>
      <c r="L19" s="87">
        <f t="shared" si="1"/>
        <v>172.7568</v>
      </c>
      <c r="M19" s="87">
        <f t="shared" si="2"/>
        <v>1612.3968</v>
      </c>
    </row>
    <row r="20" spans="1:13" ht="14.4" x14ac:dyDescent="0.3">
      <c r="A20" s="83">
        <v>17</v>
      </c>
      <c r="B20" s="19" t="s">
        <v>109</v>
      </c>
      <c r="C20" s="19">
        <v>1</v>
      </c>
      <c r="D20" s="19">
        <v>500</v>
      </c>
      <c r="E20" s="87">
        <v>642.29999999999995</v>
      </c>
      <c r="F20" s="87" t="s">
        <v>110</v>
      </c>
      <c r="G20" s="88">
        <v>82.5</v>
      </c>
      <c r="H20" s="87"/>
      <c r="I20" s="89">
        <v>82.5</v>
      </c>
      <c r="J20" s="87">
        <v>15</v>
      </c>
      <c r="K20" s="87">
        <f t="shared" si="0"/>
        <v>739.8</v>
      </c>
      <c r="L20" s="87">
        <f t="shared" si="1"/>
        <v>88.775999999999996</v>
      </c>
      <c r="M20" s="87">
        <f t="shared" si="2"/>
        <v>828.57599999999991</v>
      </c>
    </row>
    <row r="21" spans="1:13" ht="15.75" customHeight="1" x14ac:dyDescent="0.3">
      <c r="A21" s="83">
        <v>18</v>
      </c>
      <c r="B21" s="19" t="s">
        <v>111</v>
      </c>
      <c r="C21" s="19">
        <v>2</v>
      </c>
      <c r="D21" s="19">
        <v>35.68</v>
      </c>
      <c r="E21" s="87">
        <f t="shared" ref="E21:E22" si="6">D21*C21</f>
        <v>71.36</v>
      </c>
      <c r="F21" s="87" t="s">
        <v>112</v>
      </c>
      <c r="G21" s="88">
        <v>33</v>
      </c>
      <c r="H21" s="87" t="s">
        <v>113</v>
      </c>
      <c r="I21" s="89">
        <v>51</v>
      </c>
      <c r="J21" s="87"/>
      <c r="K21" s="87">
        <f t="shared" si="0"/>
        <v>122.36</v>
      </c>
      <c r="L21" s="87">
        <f t="shared" si="1"/>
        <v>14.683199999999999</v>
      </c>
      <c r="M21" s="87">
        <f t="shared" si="2"/>
        <v>137.04320000000001</v>
      </c>
    </row>
    <row r="22" spans="1:13" ht="15.75" customHeight="1" x14ac:dyDescent="0.3">
      <c r="A22" s="83">
        <v>19</v>
      </c>
      <c r="B22" s="19" t="s">
        <v>114</v>
      </c>
      <c r="C22" s="19">
        <v>2</v>
      </c>
      <c r="D22" s="19">
        <v>35.54</v>
      </c>
      <c r="E22" s="87">
        <f t="shared" si="6"/>
        <v>71.08</v>
      </c>
      <c r="F22" s="87" t="s">
        <v>112</v>
      </c>
      <c r="G22" s="88">
        <v>33</v>
      </c>
      <c r="H22" s="87" t="s">
        <v>113</v>
      </c>
      <c r="I22" s="89">
        <v>51</v>
      </c>
      <c r="J22" s="87"/>
      <c r="K22" s="87">
        <f t="shared" si="0"/>
        <v>122.08</v>
      </c>
      <c r="L22" s="87">
        <f t="shared" si="1"/>
        <v>14.6496</v>
      </c>
      <c r="M22" s="87">
        <f t="shared" si="2"/>
        <v>136.7296</v>
      </c>
    </row>
    <row r="23" spans="1:13" ht="15.75" customHeight="1" x14ac:dyDescent="0.3">
      <c r="A23" s="83">
        <v>20</v>
      </c>
      <c r="B23" s="19" t="s">
        <v>115</v>
      </c>
      <c r="C23" s="19">
        <v>1</v>
      </c>
      <c r="D23" s="19">
        <v>390.18</v>
      </c>
      <c r="E23" s="87">
        <v>352.87</v>
      </c>
      <c r="F23" s="87" t="s">
        <v>116</v>
      </c>
      <c r="G23" s="88">
        <v>49.5</v>
      </c>
      <c r="H23" s="87" t="s">
        <v>117</v>
      </c>
      <c r="I23" s="89">
        <v>109.5</v>
      </c>
      <c r="J23" s="87"/>
      <c r="K23" s="87">
        <f t="shared" si="0"/>
        <v>462.37</v>
      </c>
      <c r="L23" s="87">
        <f t="shared" si="1"/>
        <v>55.484400000000001</v>
      </c>
      <c r="M23" s="87">
        <f t="shared" si="2"/>
        <v>517.85440000000006</v>
      </c>
    </row>
    <row r="24" spans="1:13" ht="15.75" customHeight="1" x14ac:dyDescent="0.3">
      <c r="A24" s="83">
        <v>21</v>
      </c>
      <c r="B24" s="19" t="s">
        <v>118</v>
      </c>
      <c r="C24" s="19">
        <v>1</v>
      </c>
      <c r="D24" s="19">
        <v>48.27</v>
      </c>
      <c r="E24" s="87">
        <v>26.6</v>
      </c>
      <c r="F24" s="87" t="s">
        <v>119</v>
      </c>
      <c r="G24" s="88">
        <v>14.85</v>
      </c>
      <c r="H24" s="87"/>
      <c r="I24" s="89">
        <v>14.85</v>
      </c>
      <c r="J24" s="87"/>
      <c r="K24" s="87">
        <f t="shared" si="0"/>
        <v>41.45</v>
      </c>
      <c r="L24" s="87">
        <f t="shared" si="1"/>
        <v>4.9740000000000002</v>
      </c>
      <c r="M24" s="87">
        <f t="shared" si="2"/>
        <v>46.424000000000007</v>
      </c>
    </row>
    <row r="25" spans="1:13" ht="15.75" customHeight="1" x14ac:dyDescent="0.3">
      <c r="A25" s="83">
        <v>22</v>
      </c>
      <c r="B25" s="19" t="s">
        <v>120</v>
      </c>
      <c r="C25" s="19">
        <v>1</v>
      </c>
      <c r="D25" s="19">
        <f>35.53+28.1+21.75+4.84+16.97+10.45+16.55+14.43+10.45+18.77</f>
        <v>177.84</v>
      </c>
      <c r="E25" s="87">
        <v>172.6</v>
      </c>
      <c r="F25" s="87" t="s">
        <v>121</v>
      </c>
      <c r="G25" s="88">
        <v>165</v>
      </c>
      <c r="H25" s="87" t="s">
        <v>122</v>
      </c>
      <c r="I25" s="89">
        <v>240</v>
      </c>
      <c r="J25" s="87">
        <v>48</v>
      </c>
      <c r="K25" s="87">
        <f t="shared" si="0"/>
        <v>460.6</v>
      </c>
      <c r="L25" s="87">
        <f t="shared" si="1"/>
        <v>55.271999999999998</v>
      </c>
      <c r="M25" s="87">
        <f t="shared" si="2"/>
        <v>515.87200000000007</v>
      </c>
    </row>
    <row r="26" spans="1:13" ht="15.75" customHeight="1" x14ac:dyDescent="0.3">
      <c r="A26" s="83">
        <v>23</v>
      </c>
      <c r="B26" s="19" t="s">
        <v>123</v>
      </c>
      <c r="C26" s="19">
        <v>1</v>
      </c>
      <c r="D26" s="19">
        <f>42.99+66.16+26.91+28.13*2</f>
        <v>192.32</v>
      </c>
      <c r="E26" s="87">
        <v>161.59</v>
      </c>
      <c r="F26" s="87" t="s">
        <v>124</v>
      </c>
      <c r="G26" s="88">
        <v>165</v>
      </c>
      <c r="H26" s="87" t="s">
        <v>122</v>
      </c>
      <c r="I26" s="89">
        <v>240</v>
      </c>
      <c r="J26" s="87">
        <v>48</v>
      </c>
      <c r="K26" s="87">
        <f t="shared" si="0"/>
        <v>449.59000000000003</v>
      </c>
      <c r="L26" s="87">
        <f t="shared" si="1"/>
        <v>53.950800000000001</v>
      </c>
      <c r="M26" s="87">
        <f t="shared" si="2"/>
        <v>503.54080000000005</v>
      </c>
    </row>
    <row r="27" spans="1:13" ht="15.75" customHeight="1" x14ac:dyDescent="0.3">
      <c r="A27" s="83">
        <v>24</v>
      </c>
      <c r="B27" s="19" t="s">
        <v>125</v>
      </c>
      <c r="C27" s="19">
        <v>2</v>
      </c>
      <c r="D27" s="19">
        <v>164.59</v>
      </c>
      <c r="E27" s="87">
        <v>184.34</v>
      </c>
      <c r="F27" s="87" t="s">
        <v>126</v>
      </c>
      <c r="G27" s="88">
        <v>66</v>
      </c>
      <c r="H27" s="87"/>
      <c r="I27" s="89">
        <v>66</v>
      </c>
      <c r="J27" s="87"/>
      <c r="K27" s="87">
        <f t="shared" si="0"/>
        <v>250.34</v>
      </c>
      <c r="L27" s="87">
        <f t="shared" si="1"/>
        <v>30.040800000000001</v>
      </c>
      <c r="M27" s="87">
        <f t="shared" si="2"/>
        <v>280.38080000000002</v>
      </c>
    </row>
    <row r="28" spans="1:13" ht="15.75" customHeight="1" x14ac:dyDescent="0.3">
      <c r="A28" s="91"/>
      <c r="B28" s="19" t="s">
        <v>70</v>
      </c>
      <c r="C28" s="19"/>
      <c r="D28" s="19"/>
      <c r="E28" s="87">
        <f>SUM(E4:E27)</f>
        <v>7164.4000000000015</v>
      </c>
      <c r="F28" s="19"/>
      <c r="G28" s="19"/>
      <c r="H28" s="19"/>
      <c r="I28" s="87">
        <f t="shared" ref="I28:M28" si="7">SUM(I4:I27)</f>
        <v>2043.35</v>
      </c>
      <c r="J28" s="87">
        <f t="shared" si="7"/>
        <v>126</v>
      </c>
      <c r="K28" s="87">
        <f t="shared" si="7"/>
        <v>9333.75</v>
      </c>
      <c r="L28" s="87">
        <f t="shared" si="7"/>
        <v>1120.05</v>
      </c>
      <c r="M28" s="87">
        <f t="shared" si="7"/>
        <v>10453.800000000001</v>
      </c>
    </row>
    <row r="29" spans="1:13" ht="15.75" customHeight="1" x14ac:dyDescent="0.3">
      <c r="A29" s="91"/>
      <c r="B29" s="19" t="s">
        <v>71</v>
      </c>
      <c r="C29" s="19"/>
      <c r="D29" s="19"/>
      <c r="E29" s="87">
        <f>+E28*0.12</f>
        <v>859.72800000000018</v>
      </c>
      <c r="F29" s="19"/>
      <c r="G29" s="19"/>
      <c r="H29" s="19"/>
      <c r="I29" s="87">
        <f t="shared" ref="I29:M29" si="8">+I28*0.12</f>
        <v>245.20199999999997</v>
      </c>
      <c r="J29" s="87">
        <f t="shared" si="8"/>
        <v>15.12</v>
      </c>
      <c r="K29" s="87">
        <f t="shared" si="8"/>
        <v>1120.05</v>
      </c>
      <c r="L29" s="87">
        <f t="shared" si="8"/>
        <v>134.40599999999998</v>
      </c>
      <c r="M29" s="87">
        <f t="shared" si="8"/>
        <v>1254.4560000000001</v>
      </c>
    </row>
    <row r="30" spans="1:13" ht="15.75" customHeight="1" x14ac:dyDescent="0.3">
      <c r="A30" s="91"/>
      <c r="B30" s="19" t="s">
        <v>27</v>
      </c>
      <c r="C30" s="19"/>
      <c r="D30" s="19"/>
      <c r="E30" s="87">
        <f>+E28+E29</f>
        <v>8024.1280000000015</v>
      </c>
      <c r="F30" s="19"/>
      <c r="G30" s="19"/>
      <c r="H30" s="19"/>
      <c r="I30" s="87">
        <f t="shared" ref="I30:M30" si="9">+I28+I29</f>
        <v>2288.5519999999997</v>
      </c>
      <c r="J30" s="87">
        <f t="shared" si="9"/>
        <v>141.12</v>
      </c>
      <c r="K30" s="87">
        <f t="shared" si="9"/>
        <v>10453.799999999999</v>
      </c>
      <c r="L30" s="87">
        <f t="shared" si="9"/>
        <v>1254.4559999999999</v>
      </c>
      <c r="M30" s="87">
        <f t="shared" si="9"/>
        <v>11708.256000000001</v>
      </c>
    </row>
    <row r="31" spans="1:13" ht="15.75" customHeight="1" x14ac:dyDescent="0.3">
      <c r="A31" s="91"/>
    </row>
    <row r="32" spans="1:13" ht="15.75" customHeight="1" x14ac:dyDescent="0.3">
      <c r="A32" s="91"/>
    </row>
    <row r="33" spans="1:1" ht="15.75" customHeight="1" x14ac:dyDescent="0.3">
      <c r="A33" s="91"/>
    </row>
    <row r="34" spans="1:1" ht="15.75" customHeight="1" x14ac:dyDescent="0.3">
      <c r="A34" s="91"/>
    </row>
    <row r="35" spans="1:1" ht="15.75" customHeight="1" x14ac:dyDescent="0.3">
      <c r="A35" s="91"/>
    </row>
    <row r="36" spans="1:1" ht="15.75" customHeight="1" x14ac:dyDescent="0.3">
      <c r="A36" s="91"/>
    </row>
    <row r="37" spans="1:1" ht="15.75" customHeight="1" x14ac:dyDescent="0.3">
      <c r="A37" s="91"/>
    </row>
    <row r="38" spans="1:1" ht="15.75" customHeight="1" x14ac:dyDescent="0.3">
      <c r="A38" s="91"/>
    </row>
    <row r="39" spans="1:1" ht="15.75" customHeight="1" x14ac:dyDescent="0.3">
      <c r="A39" s="91"/>
    </row>
    <row r="40" spans="1:1" ht="15.75" customHeight="1" x14ac:dyDescent="0.3">
      <c r="A40" s="91"/>
    </row>
    <row r="41" spans="1:1" ht="15.75" customHeight="1" x14ac:dyDescent="0.3">
      <c r="A41" s="91"/>
    </row>
    <row r="42" spans="1:1" ht="15.75" customHeight="1" x14ac:dyDescent="0.3">
      <c r="A42" s="91"/>
    </row>
    <row r="43" spans="1:1" ht="15.75" customHeight="1" x14ac:dyDescent="0.3">
      <c r="A43" s="91"/>
    </row>
    <row r="44" spans="1:1" ht="15.75" customHeight="1" x14ac:dyDescent="0.3">
      <c r="A44" s="91"/>
    </row>
    <row r="45" spans="1:1" ht="15.75" customHeight="1" x14ac:dyDescent="0.3">
      <c r="A45" s="91"/>
    </row>
    <row r="46" spans="1:1" ht="15.75" customHeight="1" x14ac:dyDescent="0.3">
      <c r="A46" s="91"/>
    </row>
    <row r="47" spans="1:1" ht="15.75" customHeight="1" x14ac:dyDescent="0.3">
      <c r="A47" s="91"/>
    </row>
    <row r="48" spans="1:1" ht="15.75" customHeight="1" x14ac:dyDescent="0.3">
      <c r="A48" s="91"/>
    </row>
    <row r="49" spans="1:1" ht="15.75" customHeight="1" x14ac:dyDescent="0.3">
      <c r="A49" s="91"/>
    </row>
    <row r="50" spans="1:1" ht="15.75" customHeight="1" x14ac:dyDescent="0.3">
      <c r="A50" s="91"/>
    </row>
    <row r="51" spans="1:1" ht="15.75" customHeight="1" x14ac:dyDescent="0.3">
      <c r="A51" s="91"/>
    </row>
    <row r="52" spans="1:1" ht="15.75" customHeight="1" x14ac:dyDescent="0.3">
      <c r="A52" s="91"/>
    </row>
    <row r="53" spans="1:1" ht="15.75" customHeight="1" x14ac:dyDescent="0.3">
      <c r="A53" s="91"/>
    </row>
    <row r="54" spans="1:1" ht="15.75" customHeight="1" x14ac:dyDescent="0.3">
      <c r="A54" s="91"/>
    </row>
    <row r="55" spans="1:1" ht="15.75" customHeight="1" x14ac:dyDescent="0.3">
      <c r="A55" s="91"/>
    </row>
    <row r="56" spans="1:1" ht="15.75" customHeight="1" x14ac:dyDescent="0.3">
      <c r="A56" s="91"/>
    </row>
    <row r="57" spans="1:1" ht="15.75" customHeight="1" x14ac:dyDescent="0.3">
      <c r="A57" s="91"/>
    </row>
    <row r="58" spans="1:1" ht="15.75" customHeight="1" x14ac:dyDescent="0.3">
      <c r="A58" s="91"/>
    </row>
    <row r="59" spans="1:1" ht="15.75" customHeight="1" x14ac:dyDescent="0.3">
      <c r="A59" s="91"/>
    </row>
    <row r="60" spans="1:1" ht="15.75" customHeight="1" x14ac:dyDescent="0.3">
      <c r="A60" s="91"/>
    </row>
    <row r="61" spans="1:1" ht="15.75" customHeight="1" x14ac:dyDescent="0.3">
      <c r="A61" s="91"/>
    </row>
    <row r="62" spans="1:1" ht="15.75" customHeight="1" x14ac:dyDescent="0.3">
      <c r="A62" s="91"/>
    </row>
    <row r="63" spans="1:1" ht="15.75" customHeight="1" x14ac:dyDescent="0.3">
      <c r="A63" s="91"/>
    </row>
    <row r="64" spans="1:1" ht="15.75" customHeight="1" x14ac:dyDescent="0.3">
      <c r="A64" s="91"/>
    </row>
    <row r="65" spans="1:1" ht="15.75" customHeight="1" x14ac:dyDescent="0.3">
      <c r="A65" s="91"/>
    </row>
    <row r="66" spans="1:1" ht="15.75" customHeight="1" x14ac:dyDescent="0.3">
      <c r="A66" s="91"/>
    </row>
    <row r="67" spans="1:1" ht="15.75" customHeight="1" x14ac:dyDescent="0.3">
      <c r="A67" s="91"/>
    </row>
    <row r="68" spans="1:1" ht="15.75" customHeight="1" x14ac:dyDescent="0.3">
      <c r="A68" s="91"/>
    </row>
    <row r="69" spans="1:1" ht="15.75" customHeight="1" x14ac:dyDescent="0.3">
      <c r="A69" s="91"/>
    </row>
    <row r="70" spans="1:1" ht="15.75" customHeight="1" x14ac:dyDescent="0.3">
      <c r="A70" s="91"/>
    </row>
    <row r="71" spans="1:1" ht="15.75" customHeight="1" x14ac:dyDescent="0.3">
      <c r="A71" s="91"/>
    </row>
    <row r="72" spans="1:1" ht="15.75" customHeight="1" x14ac:dyDescent="0.3">
      <c r="A72" s="91"/>
    </row>
    <row r="73" spans="1:1" ht="15.75" customHeight="1" x14ac:dyDescent="0.3">
      <c r="A73" s="91"/>
    </row>
    <row r="74" spans="1:1" ht="15.75" customHeight="1" x14ac:dyDescent="0.3">
      <c r="A74" s="91"/>
    </row>
    <row r="75" spans="1:1" ht="15.75" customHeight="1" x14ac:dyDescent="0.3">
      <c r="A75" s="91"/>
    </row>
    <row r="76" spans="1:1" ht="15.75" customHeight="1" x14ac:dyDescent="0.3">
      <c r="A76" s="91"/>
    </row>
    <row r="77" spans="1:1" ht="15.75" customHeight="1" x14ac:dyDescent="0.3">
      <c r="A77" s="91"/>
    </row>
    <row r="78" spans="1:1" ht="15.75" customHeight="1" x14ac:dyDescent="0.3">
      <c r="A78" s="91"/>
    </row>
    <row r="79" spans="1:1" ht="15.75" customHeight="1" x14ac:dyDescent="0.3">
      <c r="A79" s="91"/>
    </row>
    <row r="80" spans="1:1" ht="15.75" customHeight="1" x14ac:dyDescent="0.3">
      <c r="A80" s="91"/>
    </row>
    <row r="81" spans="1:1" ht="15.75" customHeight="1" x14ac:dyDescent="0.3">
      <c r="A81" s="91"/>
    </row>
    <row r="82" spans="1:1" ht="15.75" customHeight="1" x14ac:dyDescent="0.3">
      <c r="A82" s="91"/>
    </row>
    <row r="83" spans="1:1" ht="15.75" customHeight="1" x14ac:dyDescent="0.3">
      <c r="A83" s="91"/>
    </row>
    <row r="84" spans="1:1" ht="15.75" customHeight="1" x14ac:dyDescent="0.3">
      <c r="A84" s="91"/>
    </row>
    <row r="85" spans="1:1" ht="15.75" customHeight="1" x14ac:dyDescent="0.3">
      <c r="A85" s="91"/>
    </row>
    <row r="86" spans="1:1" ht="15.75" customHeight="1" x14ac:dyDescent="0.3">
      <c r="A86" s="91"/>
    </row>
    <row r="87" spans="1:1" ht="15.75" customHeight="1" x14ac:dyDescent="0.3">
      <c r="A87" s="91"/>
    </row>
    <row r="88" spans="1:1" ht="15.75" customHeight="1" x14ac:dyDescent="0.3">
      <c r="A88" s="91"/>
    </row>
    <row r="89" spans="1:1" ht="15.75" customHeight="1" x14ac:dyDescent="0.3">
      <c r="A89" s="91"/>
    </row>
    <row r="90" spans="1:1" ht="15.75" customHeight="1" x14ac:dyDescent="0.3">
      <c r="A90" s="91"/>
    </row>
    <row r="91" spans="1:1" ht="15.75" customHeight="1" x14ac:dyDescent="0.3">
      <c r="A91" s="91"/>
    </row>
    <row r="92" spans="1:1" ht="15.75" customHeight="1" x14ac:dyDescent="0.3">
      <c r="A92" s="91"/>
    </row>
    <row r="93" spans="1:1" ht="15.75" customHeight="1" x14ac:dyDescent="0.3">
      <c r="A93" s="91"/>
    </row>
    <row r="94" spans="1:1" ht="15.75" customHeight="1" x14ac:dyDescent="0.3">
      <c r="A94" s="91"/>
    </row>
    <row r="95" spans="1:1" ht="15.75" customHeight="1" x14ac:dyDescent="0.3">
      <c r="A95" s="91"/>
    </row>
    <row r="96" spans="1:1" ht="15.75" customHeight="1" x14ac:dyDescent="0.3">
      <c r="A96" s="91"/>
    </row>
    <row r="97" spans="1:1" ht="15.75" customHeight="1" x14ac:dyDescent="0.3">
      <c r="A97" s="91"/>
    </row>
    <row r="98" spans="1:1" ht="15.75" customHeight="1" x14ac:dyDescent="0.3">
      <c r="A98" s="91"/>
    </row>
    <row r="99" spans="1:1" ht="15.75" customHeight="1" x14ac:dyDescent="0.3">
      <c r="A99" s="91"/>
    </row>
    <row r="100" spans="1:1" ht="15.75" customHeight="1" x14ac:dyDescent="0.3">
      <c r="A100" s="91"/>
    </row>
    <row r="101" spans="1:1" ht="15.75" customHeight="1" x14ac:dyDescent="0.3">
      <c r="A101" s="91"/>
    </row>
    <row r="102" spans="1:1" ht="15.75" customHeight="1" x14ac:dyDescent="0.3">
      <c r="A102" s="91"/>
    </row>
    <row r="103" spans="1:1" ht="15.75" customHeight="1" x14ac:dyDescent="0.3">
      <c r="A103" s="91"/>
    </row>
    <row r="104" spans="1:1" ht="15.75" customHeight="1" x14ac:dyDescent="0.3">
      <c r="A104" s="91"/>
    </row>
    <row r="105" spans="1:1" ht="15.75" customHeight="1" x14ac:dyDescent="0.3">
      <c r="A105" s="91"/>
    </row>
    <row r="106" spans="1:1" ht="15.75" customHeight="1" x14ac:dyDescent="0.3">
      <c r="A106" s="91"/>
    </row>
    <row r="107" spans="1:1" ht="15.75" customHeight="1" x14ac:dyDescent="0.3">
      <c r="A107" s="91"/>
    </row>
    <row r="108" spans="1:1" ht="15.75" customHeight="1" x14ac:dyDescent="0.3">
      <c r="A108" s="91"/>
    </row>
    <row r="109" spans="1:1" ht="15.75" customHeight="1" x14ac:dyDescent="0.3">
      <c r="A109" s="91"/>
    </row>
    <row r="110" spans="1:1" ht="15.75" customHeight="1" x14ac:dyDescent="0.3">
      <c r="A110" s="91"/>
    </row>
    <row r="111" spans="1:1" ht="15.75" customHeight="1" x14ac:dyDescent="0.3">
      <c r="A111" s="91"/>
    </row>
    <row r="112" spans="1:1" ht="15.75" customHeight="1" x14ac:dyDescent="0.3">
      <c r="A112" s="91"/>
    </row>
    <row r="113" spans="1:1" ht="15.75" customHeight="1" x14ac:dyDescent="0.3">
      <c r="A113" s="91"/>
    </row>
    <row r="114" spans="1:1" ht="15.75" customHeight="1" x14ac:dyDescent="0.3">
      <c r="A114" s="91"/>
    </row>
    <row r="115" spans="1:1" ht="15.75" customHeight="1" x14ac:dyDescent="0.3">
      <c r="A115" s="91"/>
    </row>
    <row r="116" spans="1:1" ht="15.75" customHeight="1" x14ac:dyDescent="0.3">
      <c r="A116" s="91"/>
    </row>
    <row r="117" spans="1:1" ht="15.75" customHeight="1" x14ac:dyDescent="0.3">
      <c r="A117" s="91"/>
    </row>
    <row r="118" spans="1:1" ht="15.75" customHeight="1" x14ac:dyDescent="0.3">
      <c r="A118" s="91"/>
    </row>
    <row r="119" spans="1:1" ht="15.75" customHeight="1" x14ac:dyDescent="0.3">
      <c r="A119" s="91"/>
    </row>
    <row r="120" spans="1:1" ht="15.75" customHeight="1" x14ac:dyDescent="0.3">
      <c r="A120" s="91"/>
    </row>
    <row r="121" spans="1:1" ht="15.75" customHeight="1" x14ac:dyDescent="0.3">
      <c r="A121" s="91"/>
    </row>
    <row r="122" spans="1:1" ht="15.75" customHeight="1" x14ac:dyDescent="0.3">
      <c r="A122" s="91"/>
    </row>
    <row r="123" spans="1:1" ht="15.75" customHeight="1" x14ac:dyDescent="0.3">
      <c r="A123" s="91"/>
    </row>
    <row r="124" spans="1:1" ht="15.75" customHeight="1" x14ac:dyDescent="0.3">
      <c r="A124" s="91"/>
    </row>
    <row r="125" spans="1:1" ht="15.75" customHeight="1" x14ac:dyDescent="0.3">
      <c r="A125" s="91"/>
    </row>
    <row r="126" spans="1:1" ht="15.75" customHeight="1" x14ac:dyDescent="0.3">
      <c r="A126" s="91"/>
    </row>
    <row r="127" spans="1:1" ht="15.75" customHeight="1" x14ac:dyDescent="0.3">
      <c r="A127" s="91"/>
    </row>
    <row r="128" spans="1:1" ht="15.75" customHeight="1" x14ac:dyDescent="0.3">
      <c r="A128" s="91"/>
    </row>
    <row r="129" spans="1:1" ht="15.75" customHeight="1" x14ac:dyDescent="0.3">
      <c r="A129" s="91"/>
    </row>
    <row r="130" spans="1:1" ht="15.75" customHeight="1" x14ac:dyDescent="0.3">
      <c r="A130" s="91"/>
    </row>
    <row r="131" spans="1:1" ht="15.75" customHeight="1" x14ac:dyDescent="0.3">
      <c r="A131" s="91"/>
    </row>
    <row r="132" spans="1:1" ht="15.75" customHeight="1" x14ac:dyDescent="0.3">
      <c r="A132" s="91"/>
    </row>
    <row r="133" spans="1:1" ht="15.75" customHeight="1" x14ac:dyDescent="0.3">
      <c r="A133" s="91"/>
    </row>
    <row r="134" spans="1:1" ht="15.75" customHeight="1" x14ac:dyDescent="0.3">
      <c r="A134" s="91"/>
    </row>
    <row r="135" spans="1:1" ht="15.75" customHeight="1" x14ac:dyDescent="0.3">
      <c r="A135" s="91"/>
    </row>
    <row r="136" spans="1:1" ht="15.75" customHeight="1" x14ac:dyDescent="0.3">
      <c r="A136" s="91"/>
    </row>
    <row r="137" spans="1:1" ht="15.75" customHeight="1" x14ac:dyDescent="0.3">
      <c r="A137" s="91"/>
    </row>
    <row r="138" spans="1:1" ht="15.75" customHeight="1" x14ac:dyDescent="0.3">
      <c r="A138" s="91"/>
    </row>
    <row r="139" spans="1:1" ht="15.75" customHeight="1" x14ac:dyDescent="0.3">
      <c r="A139" s="91"/>
    </row>
    <row r="140" spans="1:1" ht="15.75" customHeight="1" x14ac:dyDescent="0.3">
      <c r="A140" s="91"/>
    </row>
    <row r="141" spans="1:1" ht="15.75" customHeight="1" x14ac:dyDescent="0.3">
      <c r="A141" s="91"/>
    </row>
    <row r="142" spans="1:1" ht="15.75" customHeight="1" x14ac:dyDescent="0.3">
      <c r="A142" s="91"/>
    </row>
    <row r="143" spans="1:1" ht="15.75" customHeight="1" x14ac:dyDescent="0.3">
      <c r="A143" s="91"/>
    </row>
    <row r="144" spans="1:1" ht="15.75" customHeight="1" x14ac:dyDescent="0.3">
      <c r="A144" s="91"/>
    </row>
    <row r="145" spans="1:1" ht="15.75" customHeight="1" x14ac:dyDescent="0.3">
      <c r="A145" s="91"/>
    </row>
    <row r="146" spans="1:1" ht="15.75" customHeight="1" x14ac:dyDescent="0.3">
      <c r="A146" s="91"/>
    </row>
    <row r="147" spans="1:1" ht="15.75" customHeight="1" x14ac:dyDescent="0.3">
      <c r="A147" s="91"/>
    </row>
    <row r="148" spans="1:1" ht="15.75" customHeight="1" x14ac:dyDescent="0.3">
      <c r="A148" s="91"/>
    </row>
    <row r="149" spans="1:1" ht="15.75" customHeight="1" x14ac:dyDescent="0.3">
      <c r="A149" s="91"/>
    </row>
    <row r="150" spans="1:1" ht="15.75" customHeight="1" x14ac:dyDescent="0.3">
      <c r="A150" s="91"/>
    </row>
    <row r="151" spans="1:1" ht="15.75" customHeight="1" x14ac:dyDescent="0.3">
      <c r="A151" s="91"/>
    </row>
    <row r="152" spans="1:1" ht="15.75" customHeight="1" x14ac:dyDescent="0.3">
      <c r="A152" s="91"/>
    </row>
    <row r="153" spans="1:1" ht="15.75" customHeight="1" x14ac:dyDescent="0.3">
      <c r="A153" s="91"/>
    </row>
    <row r="154" spans="1:1" ht="15.75" customHeight="1" x14ac:dyDescent="0.3">
      <c r="A154" s="91"/>
    </row>
    <row r="155" spans="1:1" ht="15.75" customHeight="1" x14ac:dyDescent="0.3">
      <c r="A155" s="91"/>
    </row>
    <row r="156" spans="1:1" ht="15.75" customHeight="1" x14ac:dyDescent="0.3">
      <c r="A156" s="91"/>
    </row>
    <row r="157" spans="1:1" ht="15.75" customHeight="1" x14ac:dyDescent="0.3">
      <c r="A157" s="91"/>
    </row>
    <row r="158" spans="1:1" ht="15.75" customHeight="1" x14ac:dyDescent="0.3">
      <c r="A158" s="91"/>
    </row>
    <row r="159" spans="1:1" ht="15.75" customHeight="1" x14ac:dyDescent="0.3">
      <c r="A159" s="91"/>
    </row>
    <row r="160" spans="1:1" ht="15.75" customHeight="1" x14ac:dyDescent="0.3">
      <c r="A160" s="91"/>
    </row>
    <row r="161" spans="1:1" ht="15.75" customHeight="1" x14ac:dyDescent="0.3">
      <c r="A161" s="91"/>
    </row>
    <row r="162" spans="1:1" ht="15.75" customHeight="1" x14ac:dyDescent="0.3">
      <c r="A162" s="91"/>
    </row>
    <row r="163" spans="1:1" ht="15.75" customHeight="1" x14ac:dyDescent="0.3">
      <c r="A163" s="91"/>
    </row>
    <row r="164" spans="1:1" ht="15.75" customHeight="1" x14ac:dyDescent="0.3">
      <c r="A164" s="91"/>
    </row>
    <row r="165" spans="1:1" ht="15.75" customHeight="1" x14ac:dyDescent="0.3">
      <c r="A165" s="91"/>
    </row>
    <row r="166" spans="1:1" ht="15.75" customHeight="1" x14ac:dyDescent="0.3">
      <c r="A166" s="91"/>
    </row>
    <row r="167" spans="1:1" ht="15.75" customHeight="1" x14ac:dyDescent="0.3">
      <c r="A167" s="91"/>
    </row>
    <row r="168" spans="1:1" ht="15.75" customHeight="1" x14ac:dyDescent="0.3">
      <c r="A168" s="91"/>
    </row>
    <row r="169" spans="1:1" ht="15.75" customHeight="1" x14ac:dyDescent="0.3">
      <c r="A169" s="91"/>
    </row>
    <row r="170" spans="1:1" ht="15.75" customHeight="1" x14ac:dyDescent="0.3">
      <c r="A170" s="91"/>
    </row>
    <row r="171" spans="1:1" ht="15.75" customHeight="1" x14ac:dyDescent="0.3">
      <c r="A171" s="91"/>
    </row>
    <row r="172" spans="1:1" ht="15.75" customHeight="1" x14ac:dyDescent="0.3">
      <c r="A172" s="91"/>
    </row>
    <row r="173" spans="1:1" ht="15.75" customHeight="1" x14ac:dyDescent="0.3">
      <c r="A173" s="91"/>
    </row>
    <row r="174" spans="1:1" ht="15.75" customHeight="1" x14ac:dyDescent="0.3">
      <c r="A174" s="91"/>
    </row>
    <row r="175" spans="1:1" ht="15.75" customHeight="1" x14ac:dyDescent="0.3">
      <c r="A175" s="91"/>
    </row>
    <row r="176" spans="1:1" ht="15.75" customHeight="1" x14ac:dyDescent="0.3">
      <c r="A176" s="91"/>
    </row>
    <row r="177" spans="1:1" ht="15.75" customHeight="1" x14ac:dyDescent="0.3">
      <c r="A177" s="91"/>
    </row>
    <row r="178" spans="1:1" ht="15.75" customHeight="1" x14ac:dyDescent="0.3">
      <c r="A178" s="91"/>
    </row>
    <row r="179" spans="1:1" ht="15.75" customHeight="1" x14ac:dyDescent="0.3">
      <c r="A179" s="91"/>
    </row>
    <row r="180" spans="1:1" ht="15.75" customHeight="1" x14ac:dyDescent="0.3">
      <c r="A180" s="91"/>
    </row>
    <row r="181" spans="1:1" ht="15.75" customHeight="1" x14ac:dyDescent="0.3">
      <c r="A181" s="91"/>
    </row>
    <row r="182" spans="1:1" ht="15.75" customHeight="1" x14ac:dyDescent="0.3">
      <c r="A182" s="91"/>
    </row>
    <row r="183" spans="1:1" ht="15.75" customHeight="1" x14ac:dyDescent="0.3">
      <c r="A183" s="91"/>
    </row>
    <row r="184" spans="1:1" ht="15.75" customHeight="1" x14ac:dyDescent="0.3">
      <c r="A184" s="91"/>
    </row>
    <row r="185" spans="1:1" ht="15.75" customHeight="1" x14ac:dyDescent="0.3">
      <c r="A185" s="91"/>
    </row>
    <row r="186" spans="1:1" ht="15.75" customHeight="1" x14ac:dyDescent="0.3">
      <c r="A186" s="91"/>
    </row>
    <row r="187" spans="1:1" ht="15.75" customHeight="1" x14ac:dyDescent="0.3">
      <c r="A187" s="91"/>
    </row>
    <row r="188" spans="1:1" ht="15.75" customHeight="1" x14ac:dyDescent="0.3">
      <c r="A188" s="91"/>
    </row>
    <row r="189" spans="1:1" ht="15.75" customHeight="1" x14ac:dyDescent="0.3">
      <c r="A189" s="91"/>
    </row>
    <row r="190" spans="1:1" ht="15.75" customHeight="1" x14ac:dyDescent="0.3">
      <c r="A190" s="91"/>
    </row>
    <row r="191" spans="1:1" ht="15.75" customHeight="1" x14ac:dyDescent="0.3">
      <c r="A191" s="91"/>
    </row>
    <row r="192" spans="1:1" ht="15.75" customHeight="1" x14ac:dyDescent="0.3">
      <c r="A192" s="91"/>
    </row>
    <row r="193" spans="1:1" ht="15.75" customHeight="1" x14ac:dyDescent="0.3">
      <c r="A193" s="91"/>
    </row>
    <row r="194" spans="1:1" ht="15.75" customHeight="1" x14ac:dyDescent="0.3">
      <c r="A194" s="91"/>
    </row>
    <row r="195" spans="1:1" ht="15.75" customHeight="1" x14ac:dyDescent="0.3">
      <c r="A195" s="91"/>
    </row>
    <row r="196" spans="1:1" ht="15.75" customHeight="1" x14ac:dyDescent="0.3">
      <c r="A196" s="91"/>
    </row>
    <row r="197" spans="1:1" ht="15.75" customHeight="1" x14ac:dyDescent="0.3">
      <c r="A197" s="91"/>
    </row>
    <row r="198" spans="1:1" ht="15.75" customHeight="1" x14ac:dyDescent="0.3">
      <c r="A198" s="91"/>
    </row>
    <row r="199" spans="1:1" ht="15.75" customHeight="1" x14ac:dyDescent="0.3">
      <c r="A199" s="91"/>
    </row>
    <row r="200" spans="1:1" ht="15.75" customHeight="1" x14ac:dyDescent="0.3">
      <c r="A200" s="91"/>
    </row>
    <row r="201" spans="1:1" ht="15.75" customHeight="1" x14ac:dyDescent="0.3">
      <c r="A201" s="91"/>
    </row>
    <row r="202" spans="1:1" ht="15.75" customHeight="1" x14ac:dyDescent="0.3">
      <c r="A202" s="91"/>
    </row>
    <row r="203" spans="1:1" ht="15.75" customHeight="1" x14ac:dyDescent="0.3">
      <c r="A203" s="91"/>
    </row>
    <row r="204" spans="1:1" ht="15.75" customHeight="1" x14ac:dyDescent="0.3">
      <c r="A204" s="91"/>
    </row>
    <row r="205" spans="1:1" ht="15.75" customHeight="1" x14ac:dyDescent="0.3">
      <c r="A205" s="91"/>
    </row>
    <row r="206" spans="1:1" ht="15.75" customHeight="1" x14ac:dyDescent="0.3">
      <c r="A206" s="91"/>
    </row>
    <row r="207" spans="1:1" ht="15.75" customHeight="1" x14ac:dyDescent="0.3">
      <c r="A207" s="91"/>
    </row>
    <row r="208" spans="1:1" ht="15.75" customHeight="1" x14ac:dyDescent="0.3">
      <c r="A208" s="91"/>
    </row>
    <row r="209" spans="1:1" ht="15.75" customHeight="1" x14ac:dyDescent="0.3">
      <c r="A209" s="91"/>
    </row>
    <row r="210" spans="1:1" ht="15.75" customHeight="1" x14ac:dyDescent="0.3">
      <c r="A210" s="91"/>
    </row>
    <row r="211" spans="1:1" ht="15.75" customHeight="1" x14ac:dyDescent="0.3">
      <c r="A211" s="91"/>
    </row>
    <row r="212" spans="1:1" ht="15.75" customHeight="1" x14ac:dyDescent="0.3">
      <c r="A212" s="91"/>
    </row>
    <row r="213" spans="1:1" ht="15.75" customHeight="1" x14ac:dyDescent="0.3">
      <c r="A213" s="91"/>
    </row>
    <row r="214" spans="1:1" ht="15.75" customHeight="1" x14ac:dyDescent="0.3">
      <c r="A214" s="91"/>
    </row>
    <row r="215" spans="1:1" ht="15.75" customHeight="1" x14ac:dyDescent="0.3">
      <c r="A215" s="91"/>
    </row>
    <row r="216" spans="1:1" ht="15.75" customHeight="1" x14ac:dyDescent="0.3">
      <c r="A216" s="91"/>
    </row>
    <row r="217" spans="1:1" ht="15.75" customHeight="1" x14ac:dyDescent="0.3">
      <c r="A217" s="91"/>
    </row>
    <row r="218" spans="1:1" ht="15.75" customHeight="1" x14ac:dyDescent="0.3">
      <c r="A218" s="91"/>
    </row>
    <row r="219" spans="1:1" ht="15.75" customHeight="1" x14ac:dyDescent="0.3">
      <c r="A219" s="91"/>
    </row>
    <row r="220" spans="1:1" ht="15.75" customHeight="1" x14ac:dyDescent="0.3">
      <c r="A220" s="91"/>
    </row>
    <row r="221" spans="1:1" ht="15.75" customHeight="1" x14ac:dyDescent="0.3">
      <c r="A221" s="91"/>
    </row>
    <row r="222" spans="1:1" ht="15.75" customHeight="1" x14ac:dyDescent="0.3">
      <c r="A222" s="91"/>
    </row>
    <row r="223" spans="1:1" ht="15.75" customHeight="1" x14ac:dyDescent="0.3">
      <c r="A223" s="91"/>
    </row>
    <row r="224" spans="1:1" ht="15.75" customHeight="1" x14ac:dyDescent="0.3">
      <c r="A224" s="91"/>
    </row>
    <row r="225" spans="1:1" ht="15.75" customHeight="1" x14ac:dyDescent="0.3">
      <c r="A225" s="91"/>
    </row>
    <row r="226" spans="1:1" ht="15.75" customHeight="1" x14ac:dyDescent="0.3">
      <c r="A226" s="91"/>
    </row>
    <row r="227" spans="1:1" ht="15.75" customHeight="1" x14ac:dyDescent="0.3">
      <c r="A227" s="91"/>
    </row>
    <row r="228" spans="1:1" ht="15.75" customHeight="1" x14ac:dyDescent="0.3">
      <c r="A228" s="91"/>
    </row>
    <row r="229" spans="1:1" ht="15.75" customHeight="1" x14ac:dyDescent="0.3">
      <c r="A229" s="91"/>
    </row>
    <row r="230" spans="1:1" ht="15.75" customHeight="1" x14ac:dyDescent="0.3">
      <c r="A230" s="91"/>
    </row>
    <row r="231" spans="1:1" ht="15.75" customHeight="1" x14ac:dyDescent="0.3">
      <c r="A231" s="91"/>
    </row>
    <row r="232" spans="1:1" ht="15.75" customHeight="1" x14ac:dyDescent="0.3">
      <c r="A232" s="91"/>
    </row>
    <row r="233" spans="1:1" ht="15.75" customHeight="1" x14ac:dyDescent="0.3">
      <c r="A233" s="91"/>
    </row>
    <row r="234" spans="1:1" ht="15.75" customHeight="1" x14ac:dyDescent="0.3">
      <c r="A234" s="91"/>
    </row>
    <row r="235" spans="1:1" ht="15.75" customHeight="1" x14ac:dyDescent="0.3">
      <c r="A235" s="91"/>
    </row>
    <row r="236" spans="1:1" ht="15.75" customHeight="1" x14ac:dyDescent="0.3">
      <c r="A236" s="91"/>
    </row>
    <row r="237" spans="1:1" ht="15.75" customHeight="1" x14ac:dyDescent="0.3">
      <c r="A237" s="91"/>
    </row>
    <row r="238" spans="1:1" ht="15.75" customHeight="1" x14ac:dyDescent="0.3">
      <c r="A238" s="91"/>
    </row>
    <row r="239" spans="1:1" ht="15.75" customHeight="1" x14ac:dyDescent="0.3">
      <c r="A239" s="91"/>
    </row>
    <row r="240" spans="1:1" ht="15.75" customHeight="1" x14ac:dyDescent="0.3">
      <c r="A240" s="91"/>
    </row>
    <row r="241" spans="1:1" ht="15.75" customHeight="1" x14ac:dyDescent="0.3">
      <c r="A241" s="91"/>
    </row>
    <row r="242" spans="1:1" ht="15.75" customHeight="1" x14ac:dyDescent="0.3">
      <c r="A242" s="91"/>
    </row>
    <row r="243" spans="1:1" ht="15.75" customHeight="1" x14ac:dyDescent="0.3">
      <c r="A243" s="91"/>
    </row>
    <row r="244" spans="1:1" ht="15.75" customHeight="1" x14ac:dyDescent="0.3">
      <c r="A244" s="91"/>
    </row>
    <row r="245" spans="1:1" ht="15.75" customHeight="1" x14ac:dyDescent="0.3">
      <c r="A245" s="91"/>
    </row>
    <row r="246" spans="1:1" ht="15.75" customHeight="1" x14ac:dyDescent="0.3">
      <c r="A246" s="91"/>
    </row>
    <row r="247" spans="1:1" ht="15.75" customHeight="1" x14ac:dyDescent="0.3">
      <c r="A247" s="91"/>
    </row>
    <row r="248" spans="1:1" ht="15.75" customHeight="1" x14ac:dyDescent="0.3">
      <c r="A248" s="91"/>
    </row>
    <row r="249" spans="1:1" ht="15.75" customHeight="1" x14ac:dyDescent="0.3">
      <c r="A249" s="91"/>
    </row>
    <row r="250" spans="1:1" ht="15.75" customHeight="1" x14ac:dyDescent="0.3">
      <c r="A250" s="91"/>
    </row>
    <row r="251" spans="1:1" ht="15.75" customHeight="1" x14ac:dyDescent="0.3">
      <c r="A251" s="91"/>
    </row>
    <row r="252" spans="1:1" ht="15.75" customHeight="1" x14ac:dyDescent="0.3">
      <c r="A252" s="91"/>
    </row>
    <row r="253" spans="1:1" ht="15.75" customHeight="1" x14ac:dyDescent="0.3">
      <c r="A253" s="91"/>
    </row>
    <row r="254" spans="1:1" ht="15.75" customHeight="1" x14ac:dyDescent="0.3">
      <c r="A254" s="91"/>
    </row>
    <row r="255" spans="1:1" ht="15.75" customHeight="1" x14ac:dyDescent="0.3">
      <c r="A255" s="91"/>
    </row>
    <row r="256" spans="1:1" ht="15.75" customHeight="1" x14ac:dyDescent="0.3">
      <c r="A256" s="91"/>
    </row>
    <row r="257" spans="1:1" ht="15.75" customHeight="1" x14ac:dyDescent="0.3">
      <c r="A257" s="91"/>
    </row>
    <row r="258" spans="1:1" ht="15.75" customHeight="1" x14ac:dyDescent="0.3">
      <c r="A258" s="91"/>
    </row>
    <row r="259" spans="1:1" ht="15.75" customHeight="1" x14ac:dyDescent="0.3">
      <c r="A259" s="91"/>
    </row>
    <row r="260" spans="1:1" ht="15.75" customHeight="1" x14ac:dyDescent="0.3">
      <c r="A260" s="91"/>
    </row>
    <row r="261" spans="1:1" ht="15.75" customHeight="1" x14ac:dyDescent="0.3">
      <c r="A261" s="91"/>
    </row>
    <row r="262" spans="1:1" ht="15.75" customHeight="1" x14ac:dyDescent="0.3">
      <c r="A262" s="91"/>
    </row>
    <row r="263" spans="1:1" ht="15.75" customHeight="1" x14ac:dyDescent="0.3">
      <c r="A263" s="91"/>
    </row>
    <row r="264" spans="1:1" ht="15.75" customHeight="1" x14ac:dyDescent="0.3">
      <c r="A264" s="91"/>
    </row>
    <row r="265" spans="1:1" ht="15.75" customHeight="1" x14ac:dyDescent="0.3">
      <c r="A265" s="91"/>
    </row>
    <row r="266" spans="1:1" ht="15.75" customHeight="1" x14ac:dyDescent="0.3">
      <c r="A266" s="91"/>
    </row>
    <row r="267" spans="1:1" ht="15.75" customHeight="1" x14ac:dyDescent="0.3">
      <c r="A267" s="91"/>
    </row>
    <row r="268" spans="1:1" ht="15.75" customHeight="1" x14ac:dyDescent="0.3">
      <c r="A268" s="91"/>
    </row>
    <row r="269" spans="1:1" ht="15.75" customHeight="1" x14ac:dyDescent="0.3">
      <c r="A269" s="91"/>
    </row>
    <row r="270" spans="1:1" ht="15.75" customHeight="1" x14ac:dyDescent="0.3">
      <c r="A270" s="91"/>
    </row>
    <row r="271" spans="1:1" ht="15.75" customHeight="1" x14ac:dyDescent="0.3">
      <c r="A271" s="91"/>
    </row>
    <row r="272" spans="1:1" ht="15.75" customHeight="1" x14ac:dyDescent="0.3">
      <c r="A272" s="91"/>
    </row>
    <row r="273" spans="1:1" ht="15.75" customHeight="1" x14ac:dyDescent="0.3">
      <c r="A273" s="91"/>
    </row>
    <row r="274" spans="1:1" ht="15.75" customHeight="1" x14ac:dyDescent="0.3">
      <c r="A274" s="91"/>
    </row>
    <row r="275" spans="1:1" ht="15.75" customHeight="1" x14ac:dyDescent="0.3">
      <c r="A275" s="91"/>
    </row>
    <row r="276" spans="1:1" ht="15.75" customHeight="1" x14ac:dyDescent="0.3">
      <c r="A276" s="91"/>
    </row>
    <row r="277" spans="1:1" ht="15.75" customHeight="1" x14ac:dyDescent="0.3">
      <c r="A277" s="91"/>
    </row>
    <row r="278" spans="1:1" ht="15.75" customHeight="1" x14ac:dyDescent="0.3">
      <c r="A278" s="91"/>
    </row>
    <row r="279" spans="1:1" ht="15.75" customHeight="1" x14ac:dyDescent="0.3">
      <c r="A279" s="91"/>
    </row>
    <row r="280" spans="1:1" ht="15.75" customHeight="1" x14ac:dyDescent="0.3">
      <c r="A280" s="91"/>
    </row>
    <row r="281" spans="1:1" ht="15.75" customHeight="1" x14ac:dyDescent="0.3">
      <c r="A281" s="91"/>
    </row>
    <row r="282" spans="1:1" ht="15.75" customHeight="1" x14ac:dyDescent="0.3">
      <c r="A282" s="91"/>
    </row>
    <row r="283" spans="1:1" ht="15.75" customHeight="1" x14ac:dyDescent="0.3">
      <c r="A283" s="91"/>
    </row>
    <row r="284" spans="1:1" ht="15.75" customHeight="1" x14ac:dyDescent="0.3">
      <c r="A284" s="91"/>
    </row>
    <row r="285" spans="1:1" ht="15.75" customHeight="1" x14ac:dyDescent="0.3">
      <c r="A285" s="91"/>
    </row>
    <row r="286" spans="1:1" ht="15.75" customHeight="1" x14ac:dyDescent="0.3">
      <c r="A286" s="91"/>
    </row>
    <row r="287" spans="1:1" ht="15.75" customHeight="1" x14ac:dyDescent="0.3">
      <c r="A287" s="91"/>
    </row>
    <row r="288" spans="1:1" ht="15.75" customHeight="1" x14ac:dyDescent="0.3">
      <c r="A288" s="91"/>
    </row>
    <row r="289" spans="1:1" ht="15.75" customHeight="1" x14ac:dyDescent="0.3">
      <c r="A289" s="91"/>
    </row>
    <row r="290" spans="1:1" ht="15.75" customHeight="1" x14ac:dyDescent="0.3">
      <c r="A290" s="91"/>
    </row>
    <row r="291" spans="1:1" ht="15.75" customHeight="1" x14ac:dyDescent="0.3">
      <c r="A291" s="91"/>
    </row>
    <row r="292" spans="1:1" ht="15.75" customHeight="1" x14ac:dyDescent="0.3">
      <c r="A292" s="91"/>
    </row>
    <row r="293" spans="1:1" ht="15.75" customHeight="1" x14ac:dyDescent="0.3">
      <c r="A293" s="91"/>
    </row>
    <row r="294" spans="1:1" ht="15.75" customHeight="1" x14ac:dyDescent="0.3">
      <c r="A294" s="91"/>
    </row>
    <row r="295" spans="1:1" ht="15.75" customHeight="1" x14ac:dyDescent="0.3">
      <c r="A295" s="91"/>
    </row>
    <row r="296" spans="1:1" ht="15.75" customHeight="1" x14ac:dyDescent="0.3">
      <c r="A296" s="91"/>
    </row>
    <row r="297" spans="1:1" ht="15.75" customHeight="1" x14ac:dyDescent="0.3">
      <c r="A297" s="91"/>
    </row>
    <row r="298" spans="1:1" ht="15.75" customHeight="1" x14ac:dyDescent="0.3">
      <c r="A298" s="91"/>
    </row>
    <row r="299" spans="1:1" ht="15.75" customHeight="1" x14ac:dyDescent="0.3">
      <c r="A299" s="91"/>
    </row>
    <row r="300" spans="1:1" ht="15.75" customHeight="1" x14ac:dyDescent="0.3">
      <c r="A300" s="91"/>
    </row>
    <row r="301" spans="1:1" ht="15.75" customHeight="1" x14ac:dyDescent="0.3">
      <c r="A301" s="91"/>
    </row>
    <row r="302" spans="1:1" ht="15.75" customHeight="1" x14ac:dyDescent="0.3">
      <c r="A302" s="91"/>
    </row>
    <row r="303" spans="1:1" ht="15.75" customHeight="1" x14ac:dyDescent="0.3">
      <c r="A303" s="91"/>
    </row>
    <row r="304" spans="1:1" ht="15.75" customHeight="1" x14ac:dyDescent="0.3">
      <c r="A304" s="91"/>
    </row>
    <row r="305" spans="1:1" ht="15.75" customHeight="1" x14ac:dyDescent="0.3">
      <c r="A305" s="91"/>
    </row>
    <row r="306" spans="1:1" ht="15.75" customHeight="1" x14ac:dyDescent="0.3">
      <c r="A306" s="91"/>
    </row>
    <row r="307" spans="1:1" ht="15.75" customHeight="1" x14ac:dyDescent="0.3">
      <c r="A307" s="91"/>
    </row>
    <row r="308" spans="1:1" ht="15.75" customHeight="1" x14ac:dyDescent="0.3">
      <c r="A308" s="91"/>
    </row>
    <row r="309" spans="1:1" ht="15.75" customHeight="1" x14ac:dyDescent="0.3">
      <c r="A309" s="91"/>
    </row>
    <row r="310" spans="1:1" ht="15.75" customHeight="1" x14ac:dyDescent="0.3">
      <c r="A310" s="91"/>
    </row>
    <row r="311" spans="1:1" ht="15.75" customHeight="1" x14ac:dyDescent="0.3">
      <c r="A311" s="91"/>
    </row>
    <row r="312" spans="1:1" ht="15.75" customHeight="1" x14ac:dyDescent="0.3">
      <c r="A312" s="91"/>
    </row>
    <row r="313" spans="1:1" ht="15.75" customHeight="1" x14ac:dyDescent="0.3">
      <c r="A313" s="91"/>
    </row>
    <row r="314" spans="1:1" ht="15.75" customHeight="1" x14ac:dyDescent="0.3">
      <c r="A314" s="91"/>
    </row>
    <row r="315" spans="1:1" ht="15.75" customHeight="1" x14ac:dyDescent="0.3">
      <c r="A315" s="91"/>
    </row>
    <row r="316" spans="1:1" ht="15.75" customHeight="1" x14ac:dyDescent="0.3">
      <c r="A316" s="91"/>
    </row>
    <row r="317" spans="1:1" ht="15.75" customHeight="1" x14ac:dyDescent="0.3">
      <c r="A317" s="91"/>
    </row>
    <row r="318" spans="1:1" ht="15.75" customHeight="1" x14ac:dyDescent="0.3">
      <c r="A318" s="91"/>
    </row>
    <row r="319" spans="1:1" ht="15.75" customHeight="1" x14ac:dyDescent="0.3">
      <c r="A319" s="91"/>
    </row>
    <row r="320" spans="1:1" ht="15.75" customHeight="1" x14ac:dyDescent="0.3">
      <c r="A320" s="91"/>
    </row>
    <row r="321" spans="1:1" ht="15.75" customHeight="1" x14ac:dyDescent="0.3">
      <c r="A321" s="91"/>
    </row>
    <row r="322" spans="1:1" ht="15.75" customHeight="1" x14ac:dyDescent="0.3">
      <c r="A322" s="91"/>
    </row>
    <row r="323" spans="1:1" ht="15.75" customHeight="1" x14ac:dyDescent="0.3">
      <c r="A323" s="91"/>
    </row>
    <row r="324" spans="1:1" ht="15.75" customHeight="1" x14ac:dyDescent="0.3">
      <c r="A324" s="91"/>
    </row>
    <row r="325" spans="1:1" ht="15.75" customHeight="1" x14ac:dyDescent="0.3">
      <c r="A325" s="91"/>
    </row>
    <row r="326" spans="1:1" ht="15.75" customHeight="1" x14ac:dyDescent="0.3">
      <c r="A326" s="91"/>
    </row>
    <row r="327" spans="1:1" ht="15.75" customHeight="1" x14ac:dyDescent="0.3">
      <c r="A327" s="91"/>
    </row>
    <row r="328" spans="1:1" ht="15.75" customHeight="1" x14ac:dyDescent="0.3">
      <c r="A328" s="91"/>
    </row>
    <row r="329" spans="1:1" ht="15.75" customHeight="1" x14ac:dyDescent="0.3">
      <c r="A329" s="91"/>
    </row>
    <row r="330" spans="1:1" ht="15.75" customHeight="1" x14ac:dyDescent="0.3">
      <c r="A330" s="91"/>
    </row>
    <row r="331" spans="1:1" ht="15.75" customHeight="1" x14ac:dyDescent="0.3">
      <c r="A331" s="91"/>
    </row>
    <row r="332" spans="1:1" ht="15.75" customHeight="1" x14ac:dyDescent="0.3">
      <c r="A332" s="91"/>
    </row>
    <row r="333" spans="1:1" ht="15.75" customHeight="1" x14ac:dyDescent="0.3">
      <c r="A333" s="91"/>
    </row>
    <row r="334" spans="1:1" ht="15.75" customHeight="1" x14ac:dyDescent="0.3">
      <c r="A334" s="91"/>
    </row>
    <row r="335" spans="1:1" ht="15.75" customHeight="1" x14ac:dyDescent="0.3">
      <c r="A335" s="91"/>
    </row>
    <row r="336" spans="1:1" ht="15.75" customHeight="1" x14ac:dyDescent="0.3">
      <c r="A336" s="91"/>
    </row>
    <row r="337" spans="1:1" ht="15.75" customHeight="1" x14ac:dyDescent="0.3">
      <c r="A337" s="91"/>
    </row>
    <row r="338" spans="1:1" ht="15.75" customHeight="1" x14ac:dyDescent="0.3">
      <c r="A338" s="91"/>
    </row>
    <row r="339" spans="1:1" ht="15.75" customHeight="1" x14ac:dyDescent="0.3">
      <c r="A339" s="91"/>
    </row>
    <row r="340" spans="1:1" ht="15.75" customHeight="1" x14ac:dyDescent="0.3">
      <c r="A340" s="91"/>
    </row>
    <row r="341" spans="1:1" ht="15.75" customHeight="1" x14ac:dyDescent="0.3">
      <c r="A341" s="91"/>
    </row>
    <row r="342" spans="1:1" ht="15.75" customHeight="1" x14ac:dyDescent="0.3">
      <c r="A342" s="91"/>
    </row>
    <row r="343" spans="1:1" ht="15.75" customHeight="1" x14ac:dyDescent="0.3">
      <c r="A343" s="91"/>
    </row>
    <row r="344" spans="1:1" ht="15.75" customHeight="1" x14ac:dyDescent="0.3">
      <c r="A344" s="91"/>
    </row>
    <row r="345" spans="1:1" ht="15.75" customHeight="1" x14ac:dyDescent="0.3">
      <c r="A345" s="91"/>
    </row>
    <row r="346" spans="1:1" ht="15.75" customHeight="1" x14ac:dyDescent="0.3">
      <c r="A346" s="91"/>
    </row>
    <row r="347" spans="1:1" ht="15.75" customHeight="1" x14ac:dyDescent="0.3">
      <c r="A347" s="91"/>
    </row>
    <row r="348" spans="1:1" ht="15.75" customHeight="1" x14ac:dyDescent="0.3">
      <c r="A348" s="91"/>
    </row>
    <row r="349" spans="1:1" ht="15.75" customHeight="1" x14ac:dyDescent="0.3">
      <c r="A349" s="91"/>
    </row>
    <row r="350" spans="1:1" ht="15.75" customHeight="1" x14ac:dyDescent="0.3">
      <c r="A350" s="91"/>
    </row>
    <row r="351" spans="1:1" ht="15.75" customHeight="1" x14ac:dyDescent="0.3">
      <c r="A351" s="91"/>
    </row>
    <row r="352" spans="1:1" ht="15.75" customHeight="1" x14ac:dyDescent="0.3">
      <c r="A352" s="91"/>
    </row>
    <row r="353" spans="1:1" ht="15.75" customHeight="1" x14ac:dyDescent="0.3">
      <c r="A353" s="91"/>
    </row>
    <row r="354" spans="1:1" ht="15.75" customHeight="1" x14ac:dyDescent="0.3">
      <c r="A354" s="91"/>
    </row>
    <row r="355" spans="1:1" ht="15.75" customHeight="1" x14ac:dyDescent="0.3">
      <c r="A355" s="91"/>
    </row>
    <row r="356" spans="1:1" ht="15.75" customHeight="1" x14ac:dyDescent="0.3">
      <c r="A356" s="91"/>
    </row>
    <row r="357" spans="1:1" ht="15.75" customHeight="1" x14ac:dyDescent="0.3">
      <c r="A357" s="91"/>
    </row>
    <row r="358" spans="1:1" ht="15.75" customHeight="1" x14ac:dyDescent="0.3">
      <c r="A358" s="91"/>
    </row>
    <row r="359" spans="1:1" ht="15.75" customHeight="1" x14ac:dyDescent="0.3">
      <c r="A359" s="91"/>
    </row>
    <row r="360" spans="1:1" ht="15.75" customHeight="1" x14ac:dyDescent="0.3">
      <c r="A360" s="91"/>
    </row>
    <row r="361" spans="1:1" ht="15.75" customHeight="1" x14ac:dyDescent="0.3">
      <c r="A361" s="91"/>
    </row>
    <row r="362" spans="1:1" ht="15.75" customHeight="1" x14ac:dyDescent="0.3">
      <c r="A362" s="91"/>
    </row>
    <row r="363" spans="1:1" ht="15.75" customHeight="1" x14ac:dyDescent="0.3">
      <c r="A363" s="91"/>
    </row>
    <row r="364" spans="1:1" ht="15.75" customHeight="1" x14ac:dyDescent="0.3">
      <c r="A364" s="91"/>
    </row>
    <row r="365" spans="1:1" ht="15.75" customHeight="1" x14ac:dyDescent="0.3">
      <c r="A365" s="91"/>
    </row>
    <row r="366" spans="1:1" ht="15.75" customHeight="1" x14ac:dyDescent="0.3">
      <c r="A366" s="91"/>
    </row>
    <row r="367" spans="1:1" ht="15.75" customHeight="1" x14ac:dyDescent="0.3">
      <c r="A367" s="91"/>
    </row>
    <row r="368" spans="1:1" ht="15.75" customHeight="1" x14ac:dyDescent="0.3">
      <c r="A368" s="91"/>
    </row>
    <row r="369" spans="1:1" ht="15.75" customHeight="1" x14ac:dyDescent="0.3">
      <c r="A369" s="91"/>
    </row>
    <row r="370" spans="1:1" ht="15.75" customHeight="1" x14ac:dyDescent="0.3">
      <c r="A370" s="91"/>
    </row>
    <row r="371" spans="1:1" ht="15.75" customHeight="1" x14ac:dyDescent="0.3">
      <c r="A371" s="91"/>
    </row>
    <row r="372" spans="1:1" ht="15.75" customHeight="1" x14ac:dyDescent="0.3">
      <c r="A372" s="91"/>
    </row>
    <row r="373" spans="1:1" ht="15.75" customHeight="1" x14ac:dyDescent="0.3">
      <c r="A373" s="91"/>
    </row>
    <row r="374" spans="1:1" ht="15.75" customHeight="1" x14ac:dyDescent="0.3">
      <c r="A374" s="91"/>
    </row>
    <row r="375" spans="1:1" ht="15.75" customHeight="1" x14ac:dyDescent="0.3">
      <c r="A375" s="91"/>
    </row>
    <row r="376" spans="1:1" ht="15.75" customHeight="1" x14ac:dyDescent="0.3">
      <c r="A376" s="91"/>
    </row>
    <row r="377" spans="1:1" ht="15.75" customHeight="1" x14ac:dyDescent="0.3">
      <c r="A377" s="91"/>
    </row>
    <row r="378" spans="1:1" ht="15.75" customHeight="1" x14ac:dyDescent="0.3">
      <c r="A378" s="91"/>
    </row>
    <row r="379" spans="1:1" ht="15.75" customHeight="1" x14ac:dyDescent="0.3">
      <c r="A379" s="91"/>
    </row>
    <row r="380" spans="1:1" ht="15.75" customHeight="1" x14ac:dyDescent="0.3">
      <c r="A380" s="91"/>
    </row>
    <row r="381" spans="1:1" ht="15.75" customHeight="1" x14ac:dyDescent="0.3">
      <c r="A381" s="91"/>
    </row>
    <row r="382" spans="1:1" ht="15.75" customHeight="1" x14ac:dyDescent="0.3">
      <c r="A382" s="91"/>
    </row>
    <row r="383" spans="1:1" ht="15.75" customHeight="1" x14ac:dyDescent="0.3">
      <c r="A383" s="91"/>
    </row>
    <row r="384" spans="1:1" ht="15.75" customHeight="1" x14ac:dyDescent="0.3">
      <c r="A384" s="91"/>
    </row>
    <row r="385" spans="1:1" ht="15.75" customHeight="1" x14ac:dyDescent="0.3">
      <c r="A385" s="91"/>
    </row>
    <row r="386" spans="1:1" ht="15.75" customHeight="1" x14ac:dyDescent="0.3">
      <c r="A386" s="91"/>
    </row>
    <row r="387" spans="1:1" ht="15.75" customHeight="1" x14ac:dyDescent="0.3">
      <c r="A387" s="91"/>
    </row>
    <row r="388" spans="1:1" ht="15.75" customHeight="1" x14ac:dyDescent="0.3">
      <c r="A388" s="91"/>
    </row>
    <row r="389" spans="1:1" ht="15.75" customHeight="1" x14ac:dyDescent="0.3">
      <c r="A389" s="91"/>
    </row>
    <row r="390" spans="1:1" ht="15.75" customHeight="1" x14ac:dyDescent="0.3">
      <c r="A390" s="91"/>
    </row>
    <row r="391" spans="1:1" ht="15.75" customHeight="1" x14ac:dyDescent="0.3">
      <c r="A391" s="91"/>
    </row>
    <row r="392" spans="1:1" ht="15.75" customHeight="1" x14ac:dyDescent="0.3">
      <c r="A392" s="91"/>
    </row>
    <row r="393" spans="1:1" ht="15.75" customHeight="1" x14ac:dyDescent="0.3">
      <c r="A393" s="91"/>
    </row>
    <row r="394" spans="1:1" ht="15.75" customHeight="1" x14ac:dyDescent="0.3">
      <c r="A394" s="91"/>
    </row>
    <row r="395" spans="1:1" ht="15.75" customHeight="1" x14ac:dyDescent="0.3">
      <c r="A395" s="91"/>
    </row>
    <row r="396" spans="1:1" ht="15.75" customHeight="1" x14ac:dyDescent="0.3">
      <c r="A396" s="91"/>
    </row>
    <row r="397" spans="1:1" ht="15.75" customHeight="1" x14ac:dyDescent="0.3">
      <c r="A397" s="91"/>
    </row>
    <row r="398" spans="1:1" ht="15.75" customHeight="1" x14ac:dyDescent="0.3">
      <c r="A398" s="91"/>
    </row>
    <row r="399" spans="1:1" ht="15.75" customHeight="1" x14ac:dyDescent="0.3">
      <c r="A399" s="91"/>
    </row>
    <row r="400" spans="1:1" ht="15.75" customHeight="1" x14ac:dyDescent="0.3">
      <c r="A400" s="91"/>
    </row>
    <row r="401" spans="1:1" ht="15.75" customHeight="1" x14ac:dyDescent="0.3">
      <c r="A401" s="91"/>
    </row>
    <row r="402" spans="1:1" ht="15.75" customHeight="1" x14ac:dyDescent="0.3">
      <c r="A402" s="91"/>
    </row>
    <row r="403" spans="1:1" ht="15.75" customHeight="1" x14ac:dyDescent="0.3">
      <c r="A403" s="91"/>
    </row>
    <row r="404" spans="1:1" ht="15.75" customHeight="1" x14ac:dyDescent="0.3">
      <c r="A404" s="91"/>
    </row>
    <row r="405" spans="1:1" ht="15.75" customHeight="1" x14ac:dyDescent="0.3">
      <c r="A405" s="91"/>
    </row>
    <row r="406" spans="1:1" ht="15.75" customHeight="1" x14ac:dyDescent="0.3">
      <c r="A406" s="91"/>
    </row>
    <row r="407" spans="1:1" ht="15.75" customHeight="1" x14ac:dyDescent="0.3">
      <c r="A407" s="91"/>
    </row>
    <row r="408" spans="1:1" ht="15.75" customHeight="1" x14ac:dyDescent="0.3">
      <c r="A408" s="91"/>
    </row>
    <row r="409" spans="1:1" ht="15.75" customHeight="1" x14ac:dyDescent="0.3">
      <c r="A409" s="91"/>
    </row>
    <row r="410" spans="1:1" ht="15.75" customHeight="1" x14ac:dyDescent="0.3">
      <c r="A410" s="91"/>
    </row>
    <row r="411" spans="1:1" ht="15.75" customHeight="1" x14ac:dyDescent="0.3">
      <c r="A411" s="91"/>
    </row>
    <row r="412" spans="1:1" ht="15.75" customHeight="1" x14ac:dyDescent="0.3">
      <c r="A412" s="91"/>
    </row>
    <row r="413" spans="1:1" ht="15.75" customHeight="1" x14ac:dyDescent="0.3">
      <c r="A413" s="91"/>
    </row>
    <row r="414" spans="1:1" ht="15.75" customHeight="1" x14ac:dyDescent="0.3">
      <c r="A414" s="91"/>
    </row>
    <row r="415" spans="1:1" ht="15.75" customHeight="1" x14ac:dyDescent="0.3">
      <c r="A415" s="91"/>
    </row>
    <row r="416" spans="1:1" ht="15.75" customHeight="1" x14ac:dyDescent="0.3">
      <c r="A416" s="91"/>
    </row>
    <row r="417" spans="1:1" ht="15.75" customHeight="1" x14ac:dyDescent="0.3">
      <c r="A417" s="91"/>
    </row>
    <row r="418" spans="1:1" ht="15.75" customHeight="1" x14ac:dyDescent="0.3">
      <c r="A418" s="91"/>
    </row>
    <row r="419" spans="1:1" ht="15.75" customHeight="1" x14ac:dyDescent="0.3">
      <c r="A419" s="91"/>
    </row>
    <row r="420" spans="1:1" ht="15.75" customHeight="1" x14ac:dyDescent="0.3">
      <c r="A420" s="91"/>
    </row>
    <row r="421" spans="1:1" ht="15.75" customHeight="1" x14ac:dyDescent="0.3">
      <c r="A421" s="91"/>
    </row>
    <row r="422" spans="1:1" ht="15.75" customHeight="1" x14ac:dyDescent="0.3">
      <c r="A422" s="91"/>
    </row>
    <row r="423" spans="1:1" ht="15.75" customHeight="1" x14ac:dyDescent="0.3">
      <c r="A423" s="91"/>
    </row>
    <row r="424" spans="1:1" ht="15.75" customHeight="1" x14ac:dyDescent="0.3">
      <c r="A424" s="91"/>
    </row>
    <row r="425" spans="1:1" ht="15.75" customHeight="1" x14ac:dyDescent="0.3">
      <c r="A425" s="91"/>
    </row>
    <row r="426" spans="1:1" ht="15.75" customHeight="1" x14ac:dyDescent="0.3">
      <c r="A426" s="91"/>
    </row>
    <row r="427" spans="1:1" ht="15.75" customHeight="1" x14ac:dyDescent="0.3">
      <c r="A427" s="91"/>
    </row>
    <row r="428" spans="1:1" ht="15.75" customHeight="1" x14ac:dyDescent="0.3">
      <c r="A428" s="91"/>
    </row>
    <row r="429" spans="1:1" ht="15.75" customHeight="1" x14ac:dyDescent="0.3">
      <c r="A429" s="91"/>
    </row>
    <row r="430" spans="1:1" ht="15.75" customHeight="1" x14ac:dyDescent="0.3">
      <c r="A430" s="91"/>
    </row>
    <row r="431" spans="1:1" ht="15.75" customHeight="1" x14ac:dyDescent="0.3">
      <c r="A431" s="91"/>
    </row>
    <row r="432" spans="1:1" ht="15.75" customHeight="1" x14ac:dyDescent="0.3">
      <c r="A432" s="91"/>
    </row>
    <row r="433" spans="1:1" ht="15.75" customHeight="1" x14ac:dyDescent="0.3">
      <c r="A433" s="91"/>
    </row>
    <row r="434" spans="1:1" ht="15.75" customHeight="1" x14ac:dyDescent="0.3">
      <c r="A434" s="91"/>
    </row>
    <row r="435" spans="1:1" ht="15.75" customHeight="1" x14ac:dyDescent="0.3">
      <c r="A435" s="91"/>
    </row>
    <row r="436" spans="1:1" ht="15.75" customHeight="1" x14ac:dyDescent="0.3">
      <c r="A436" s="91"/>
    </row>
    <row r="437" spans="1:1" ht="15.75" customHeight="1" x14ac:dyDescent="0.3">
      <c r="A437" s="91"/>
    </row>
    <row r="438" spans="1:1" ht="15.75" customHeight="1" x14ac:dyDescent="0.3">
      <c r="A438" s="91"/>
    </row>
    <row r="439" spans="1:1" ht="15.75" customHeight="1" x14ac:dyDescent="0.3">
      <c r="A439" s="91"/>
    </row>
    <row r="440" spans="1:1" ht="15.75" customHeight="1" x14ac:dyDescent="0.3">
      <c r="A440" s="91"/>
    </row>
    <row r="441" spans="1:1" ht="15.75" customHeight="1" x14ac:dyDescent="0.3">
      <c r="A441" s="91"/>
    </row>
    <row r="442" spans="1:1" ht="15.75" customHeight="1" x14ac:dyDescent="0.3">
      <c r="A442" s="91"/>
    </row>
    <row r="443" spans="1:1" ht="15.75" customHeight="1" x14ac:dyDescent="0.3">
      <c r="A443" s="91"/>
    </row>
    <row r="444" spans="1:1" ht="15.75" customHeight="1" x14ac:dyDescent="0.3">
      <c r="A444" s="91"/>
    </row>
    <row r="445" spans="1:1" ht="15.75" customHeight="1" x14ac:dyDescent="0.3">
      <c r="A445" s="91"/>
    </row>
    <row r="446" spans="1:1" ht="15.75" customHeight="1" x14ac:dyDescent="0.3">
      <c r="A446" s="91"/>
    </row>
    <row r="447" spans="1:1" ht="15.75" customHeight="1" x14ac:dyDescent="0.3">
      <c r="A447" s="91"/>
    </row>
    <row r="448" spans="1:1" ht="15.75" customHeight="1" x14ac:dyDescent="0.3">
      <c r="A448" s="91"/>
    </row>
    <row r="449" spans="1:1" ht="15.75" customHeight="1" x14ac:dyDescent="0.3">
      <c r="A449" s="91"/>
    </row>
    <row r="450" spans="1:1" ht="15.75" customHeight="1" x14ac:dyDescent="0.3">
      <c r="A450" s="91"/>
    </row>
    <row r="451" spans="1:1" ht="15.75" customHeight="1" x14ac:dyDescent="0.3">
      <c r="A451" s="91"/>
    </row>
    <row r="452" spans="1:1" ht="15.75" customHeight="1" x14ac:dyDescent="0.3">
      <c r="A452" s="91"/>
    </row>
    <row r="453" spans="1:1" ht="15.75" customHeight="1" x14ac:dyDescent="0.3">
      <c r="A453" s="91"/>
    </row>
    <row r="454" spans="1:1" ht="15.75" customHeight="1" x14ac:dyDescent="0.3">
      <c r="A454" s="91"/>
    </row>
    <row r="455" spans="1:1" ht="15.75" customHeight="1" x14ac:dyDescent="0.3">
      <c r="A455" s="91"/>
    </row>
    <row r="456" spans="1:1" ht="15.75" customHeight="1" x14ac:dyDescent="0.3">
      <c r="A456" s="91"/>
    </row>
    <row r="457" spans="1:1" ht="15.75" customHeight="1" x14ac:dyDescent="0.3">
      <c r="A457" s="91"/>
    </row>
    <row r="458" spans="1:1" ht="15.75" customHeight="1" x14ac:dyDescent="0.3">
      <c r="A458" s="91"/>
    </row>
    <row r="459" spans="1:1" ht="15.75" customHeight="1" x14ac:dyDescent="0.3">
      <c r="A459" s="91"/>
    </row>
    <row r="460" spans="1:1" ht="15.75" customHeight="1" x14ac:dyDescent="0.3">
      <c r="A460" s="91"/>
    </row>
    <row r="461" spans="1:1" ht="15.75" customHeight="1" x14ac:dyDescent="0.3">
      <c r="A461" s="91"/>
    </row>
    <row r="462" spans="1:1" ht="15.75" customHeight="1" x14ac:dyDescent="0.3">
      <c r="A462" s="91"/>
    </row>
    <row r="463" spans="1:1" ht="15.75" customHeight="1" x14ac:dyDescent="0.3">
      <c r="A463" s="91"/>
    </row>
    <row r="464" spans="1:1" ht="15.75" customHeight="1" x14ac:dyDescent="0.3">
      <c r="A464" s="91"/>
    </row>
    <row r="465" spans="1:1" ht="15.75" customHeight="1" x14ac:dyDescent="0.3">
      <c r="A465" s="91"/>
    </row>
    <row r="466" spans="1:1" ht="15.75" customHeight="1" x14ac:dyDescent="0.3">
      <c r="A466" s="91"/>
    </row>
    <row r="467" spans="1:1" ht="15.75" customHeight="1" x14ac:dyDescent="0.3">
      <c r="A467" s="91"/>
    </row>
    <row r="468" spans="1:1" ht="15.75" customHeight="1" x14ac:dyDescent="0.3">
      <c r="A468" s="91"/>
    </row>
    <row r="469" spans="1:1" ht="15.75" customHeight="1" x14ac:dyDescent="0.3">
      <c r="A469" s="91"/>
    </row>
    <row r="470" spans="1:1" ht="15.75" customHeight="1" x14ac:dyDescent="0.3">
      <c r="A470" s="91"/>
    </row>
    <row r="471" spans="1:1" ht="15.75" customHeight="1" x14ac:dyDescent="0.3">
      <c r="A471" s="91"/>
    </row>
    <row r="472" spans="1:1" ht="15.75" customHeight="1" x14ac:dyDescent="0.3">
      <c r="A472" s="91"/>
    </row>
    <row r="473" spans="1:1" ht="15.75" customHeight="1" x14ac:dyDescent="0.3">
      <c r="A473" s="91"/>
    </row>
    <row r="474" spans="1:1" ht="15.75" customHeight="1" x14ac:dyDescent="0.3">
      <c r="A474" s="91"/>
    </row>
    <row r="475" spans="1:1" ht="15.75" customHeight="1" x14ac:dyDescent="0.3">
      <c r="A475" s="91"/>
    </row>
    <row r="476" spans="1:1" ht="15.75" customHeight="1" x14ac:dyDescent="0.3">
      <c r="A476" s="91"/>
    </row>
    <row r="477" spans="1:1" ht="15.75" customHeight="1" x14ac:dyDescent="0.3">
      <c r="A477" s="91"/>
    </row>
    <row r="478" spans="1:1" ht="15.75" customHeight="1" x14ac:dyDescent="0.3">
      <c r="A478" s="91"/>
    </row>
    <row r="479" spans="1:1" ht="15.75" customHeight="1" x14ac:dyDescent="0.3">
      <c r="A479" s="91"/>
    </row>
    <row r="480" spans="1:1" ht="15.75" customHeight="1" x14ac:dyDescent="0.3">
      <c r="A480" s="91"/>
    </row>
    <row r="481" spans="1:1" ht="15.75" customHeight="1" x14ac:dyDescent="0.3">
      <c r="A481" s="91"/>
    </row>
    <row r="482" spans="1:1" ht="15.75" customHeight="1" x14ac:dyDescent="0.3">
      <c r="A482" s="91"/>
    </row>
    <row r="483" spans="1:1" ht="15.75" customHeight="1" x14ac:dyDescent="0.3">
      <c r="A483" s="91"/>
    </row>
    <row r="484" spans="1:1" ht="15.75" customHeight="1" x14ac:dyDescent="0.3">
      <c r="A484" s="91"/>
    </row>
    <row r="485" spans="1:1" ht="15.75" customHeight="1" x14ac:dyDescent="0.3">
      <c r="A485" s="91"/>
    </row>
    <row r="486" spans="1:1" ht="15.75" customHeight="1" x14ac:dyDescent="0.3">
      <c r="A486" s="91"/>
    </row>
    <row r="487" spans="1:1" ht="15.75" customHeight="1" x14ac:dyDescent="0.3">
      <c r="A487" s="91"/>
    </row>
    <row r="488" spans="1:1" ht="15.75" customHeight="1" x14ac:dyDescent="0.3">
      <c r="A488" s="91"/>
    </row>
    <row r="489" spans="1:1" ht="15.75" customHeight="1" x14ac:dyDescent="0.3">
      <c r="A489" s="91"/>
    </row>
    <row r="490" spans="1:1" ht="15.75" customHeight="1" x14ac:dyDescent="0.3">
      <c r="A490" s="91"/>
    </row>
    <row r="491" spans="1:1" ht="15.75" customHeight="1" x14ac:dyDescent="0.3">
      <c r="A491" s="91"/>
    </row>
    <row r="492" spans="1:1" ht="15.75" customHeight="1" x14ac:dyDescent="0.3">
      <c r="A492" s="91"/>
    </row>
    <row r="493" spans="1:1" ht="15.75" customHeight="1" x14ac:dyDescent="0.3">
      <c r="A493" s="91"/>
    </row>
    <row r="494" spans="1:1" ht="15.75" customHeight="1" x14ac:dyDescent="0.3">
      <c r="A494" s="91"/>
    </row>
    <row r="495" spans="1:1" ht="15.75" customHeight="1" x14ac:dyDescent="0.3">
      <c r="A495" s="91"/>
    </row>
    <row r="496" spans="1:1" ht="15.75" customHeight="1" x14ac:dyDescent="0.3">
      <c r="A496" s="91"/>
    </row>
    <row r="497" spans="1:1" ht="15.75" customHeight="1" x14ac:dyDescent="0.3">
      <c r="A497" s="91"/>
    </row>
    <row r="498" spans="1:1" ht="15.75" customHeight="1" x14ac:dyDescent="0.3">
      <c r="A498" s="91"/>
    </row>
    <row r="499" spans="1:1" ht="15.75" customHeight="1" x14ac:dyDescent="0.3">
      <c r="A499" s="91"/>
    </row>
    <row r="500" spans="1:1" ht="15.75" customHeight="1" x14ac:dyDescent="0.3">
      <c r="A500" s="91"/>
    </row>
    <row r="501" spans="1:1" ht="15.75" customHeight="1" x14ac:dyDescent="0.3">
      <c r="A501" s="91"/>
    </row>
    <row r="502" spans="1:1" ht="15.75" customHeight="1" x14ac:dyDescent="0.3">
      <c r="A502" s="91"/>
    </row>
    <row r="503" spans="1:1" ht="15.75" customHeight="1" x14ac:dyDescent="0.3">
      <c r="A503" s="91"/>
    </row>
    <row r="504" spans="1:1" ht="15.75" customHeight="1" x14ac:dyDescent="0.3">
      <c r="A504" s="91"/>
    </row>
    <row r="505" spans="1:1" ht="15.75" customHeight="1" x14ac:dyDescent="0.3">
      <c r="A505" s="91"/>
    </row>
    <row r="506" spans="1:1" ht="15.75" customHeight="1" x14ac:dyDescent="0.3">
      <c r="A506" s="91"/>
    </row>
    <row r="507" spans="1:1" ht="15.75" customHeight="1" x14ac:dyDescent="0.3">
      <c r="A507" s="91"/>
    </row>
    <row r="508" spans="1:1" ht="15.75" customHeight="1" x14ac:dyDescent="0.3">
      <c r="A508" s="91"/>
    </row>
    <row r="509" spans="1:1" ht="15.75" customHeight="1" x14ac:dyDescent="0.3">
      <c r="A509" s="91"/>
    </row>
    <row r="510" spans="1:1" ht="15.75" customHeight="1" x14ac:dyDescent="0.3">
      <c r="A510" s="91"/>
    </row>
    <row r="511" spans="1:1" ht="15.75" customHeight="1" x14ac:dyDescent="0.3">
      <c r="A511" s="91"/>
    </row>
    <row r="512" spans="1:1" ht="15.75" customHeight="1" x14ac:dyDescent="0.3">
      <c r="A512" s="91"/>
    </row>
    <row r="513" spans="1:1" ht="15.75" customHeight="1" x14ac:dyDescent="0.3">
      <c r="A513" s="91"/>
    </row>
    <row r="514" spans="1:1" ht="15.75" customHeight="1" x14ac:dyDescent="0.3">
      <c r="A514" s="91"/>
    </row>
    <row r="515" spans="1:1" ht="15.75" customHeight="1" x14ac:dyDescent="0.3">
      <c r="A515" s="91"/>
    </row>
    <row r="516" spans="1:1" ht="15.75" customHeight="1" x14ac:dyDescent="0.3">
      <c r="A516" s="91"/>
    </row>
    <row r="517" spans="1:1" ht="15.75" customHeight="1" x14ac:dyDescent="0.3">
      <c r="A517" s="91"/>
    </row>
    <row r="518" spans="1:1" ht="15.75" customHeight="1" x14ac:dyDescent="0.3">
      <c r="A518" s="91"/>
    </row>
    <row r="519" spans="1:1" ht="15.75" customHeight="1" x14ac:dyDescent="0.3">
      <c r="A519" s="91"/>
    </row>
    <row r="520" spans="1:1" ht="15.75" customHeight="1" x14ac:dyDescent="0.3">
      <c r="A520" s="91"/>
    </row>
    <row r="521" spans="1:1" ht="15.75" customHeight="1" x14ac:dyDescent="0.3">
      <c r="A521" s="91"/>
    </row>
    <row r="522" spans="1:1" ht="15.75" customHeight="1" x14ac:dyDescent="0.3">
      <c r="A522" s="91"/>
    </row>
    <row r="523" spans="1:1" ht="15.75" customHeight="1" x14ac:dyDescent="0.3">
      <c r="A523" s="91"/>
    </row>
    <row r="524" spans="1:1" ht="15.75" customHeight="1" x14ac:dyDescent="0.3">
      <c r="A524" s="91"/>
    </row>
    <row r="525" spans="1:1" ht="15.75" customHeight="1" x14ac:dyDescent="0.3">
      <c r="A525" s="91"/>
    </row>
    <row r="526" spans="1:1" ht="15.75" customHeight="1" x14ac:dyDescent="0.3">
      <c r="A526" s="91"/>
    </row>
    <row r="527" spans="1:1" ht="15.75" customHeight="1" x14ac:dyDescent="0.3">
      <c r="A527" s="91"/>
    </row>
    <row r="528" spans="1:1" ht="15.75" customHeight="1" x14ac:dyDescent="0.3">
      <c r="A528" s="91"/>
    </row>
    <row r="529" spans="1:1" ht="15.75" customHeight="1" x14ac:dyDescent="0.3">
      <c r="A529" s="91"/>
    </row>
    <row r="530" spans="1:1" ht="15.75" customHeight="1" x14ac:dyDescent="0.3">
      <c r="A530" s="91"/>
    </row>
    <row r="531" spans="1:1" ht="15.75" customHeight="1" x14ac:dyDescent="0.3">
      <c r="A531" s="91"/>
    </row>
    <row r="532" spans="1:1" ht="15.75" customHeight="1" x14ac:dyDescent="0.3">
      <c r="A532" s="91"/>
    </row>
    <row r="533" spans="1:1" ht="15.75" customHeight="1" x14ac:dyDescent="0.3">
      <c r="A533" s="91"/>
    </row>
    <row r="534" spans="1:1" ht="15.75" customHeight="1" x14ac:dyDescent="0.3">
      <c r="A534" s="91"/>
    </row>
    <row r="535" spans="1:1" ht="15.75" customHeight="1" x14ac:dyDescent="0.3">
      <c r="A535" s="91"/>
    </row>
    <row r="536" spans="1:1" ht="15.75" customHeight="1" x14ac:dyDescent="0.3">
      <c r="A536" s="91"/>
    </row>
    <row r="537" spans="1:1" ht="15.75" customHeight="1" x14ac:dyDescent="0.3">
      <c r="A537" s="91"/>
    </row>
    <row r="538" spans="1:1" ht="15.75" customHeight="1" x14ac:dyDescent="0.3">
      <c r="A538" s="91"/>
    </row>
    <row r="539" spans="1:1" ht="15.75" customHeight="1" x14ac:dyDescent="0.3">
      <c r="A539" s="91"/>
    </row>
    <row r="540" spans="1:1" ht="15.75" customHeight="1" x14ac:dyDescent="0.3">
      <c r="A540" s="91"/>
    </row>
    <row r="541" spans="1:1" ht="15.75" customHeight="1" x14ac:dyDescent="0.3">
      <c r="A541" s="91"/>
    </row>
    <row r="542" spans="1:1" ht="15.75" customHeight="1" x14ac:dyDescent="0.3">
      <c r="A542" s="91"/>
    </row>
    <row r="543" spans="1:1" ht="15.75" customHeight="1" x14ac:dyDescent="0.3">
      <c r="A543" s="91"/>
    </row>
    <row r="544" spans="1:1" ht="15.75" customHeight="1" x14ac:dyDescent="0.3">
      <c r="A544" s="91"/>
    </row>
    <row r="545" spans="1:1" ht="15.75" customHeight="1" x14ac:dyDescent="0.3">
      <c r="A545" s="91"/>
    </row>
    <row r="546" spans="1:1" ht="15.75" customHeight="1" x14ac:dyDescent="0.3">
      <c r="A546" s="91"/>
    </row>
    <row r="547" spans="1:1" ht="15.75" customHeight="1" x14ac:dyDescent="0.3">
      <c r="A547" s="91"/>
    </row>
    <row r="548" spans="1:1" ht="15.75" customHeight="1" x14ac:dyDescent="0.3">
      <c r="A548" s="91"/>
    </row>
    <row r="549" spans="1:1" ht="15.75" customHeight="1" x14ac:dyDescent="0.3">
      <c r="A549" s="91"/>
    </row>
    <row r="550" spans="1:1" ht="15.75" customHeight="1" x14ac:dyDescent="0.3">
      <c r="A550" s="91"/>
    </row>
    <row r="551" spans="1:1" ht="15.75" customHeight="1" x14ac:dyDescent="0.3">
      <c r="A551" s="91"/>
    </row>
    <row r="552" spans="1:1" ht="15.75" customHeight="1" x14ac:dyDescent="0.3">
      <c r="A552" s="91"/>
    </row>
    <row r="553" spans="1:1" ht="15.75" customHeight="1" x14ac:dyDescent="0.3">
      <c r="A553" s="91"/>
    </row>
    <row r="554" spans="1:1" ht="15.75" customHeight="1" x14ac:dyDescent="0.3">
      <c r="A554" s="91"/>
    </row>
    <row r="555" spans="1:1" ht="15.75" customHeight="1" x14ac:dyDescent="0.3">
      <c r="A555" s="91"/>
    </row>
    <row r="556" spans="1:1" ht="15.75" customHeight="1" x14ac:dyDescent="0.3">
      <c r="A556" s="91"/>
    </row>
    <row r="557" spans="1:1" ht="15.75" customHeight="1" x14ac:dyDescent="0.3">
      <c r="A557" s="91"/>
    </row>
    <row r="558" spans="1:1" ht="15.75" customHeight="1" x14ac:dyDescent="0.3">
      <c r="A558" s="91"/>
    </row>
    <row r="559" spans="1:1" ht="15.75" customHeight="1" x14ac:dyDescent="0.3">
      <c r="A559" s="91"/>
    </row>
    <row r="560" spans="1:1" ht="15.75" customHeight="1" x14ac:dyDescent="0.3">
      <c r="A560" s="91"/>
    </row>
    <row r="561" spans="1:1" ht="15.75" customHeight="1" x14ac:dyDescent="0.3">
      <c r="A561" s="91"/>
    </row>
    <row r="562" spans="1:1" ht="15.75" customHeight="1" x14ac:dyDescent="0.3">
      <c r="A562" s="91"/>
    </row>
    <row r="563" spans="1:1" ht="15.75" customHeight="1" x14ac:dyDescent="0.3">
      <c r="A563" s="91"/>
    </row>
    <row r="564" spans="1:1" ht="15.75" customHeight="1" x14ac:dyDescent="0.3">
      <c r="A564" s="91"/>
    </row>
    <row r="565" spans="1:1" ht="15.75" customHeight="1" x14ac:dyDescent="0.3">
      <c r="A565" s="91"/>
    </row>
    <row r="566" spans="1:1" ht="15.75" customHeight="1" x14ac:dyDescent="0.3">
      <c r="A566" s="91"/>
    </row>
    <row r="567" spans="1:1" ht="15.75" customHeight="1" x14ac:dyDescent="0.3">
      <c r="A567" s="91"/>
    </row>
    <row r="568" spans="1:1" ht="15.75" customHeight="1" x14ac:dyDescent="0.3">
      <c r="A568" s="91"/>
    </row>
    <row r="569" spans="1:1" ht="15.75" customHeight="1" x14ac:dyDescent="0.3">
      <c r="A569" s="91"/>
    </row>
    <row r="570" spans="1:1" ht="15.75" customHeight="1" x14ac:dyDescent="0.3">
      <c r="A570" s="91"/>
    </row>
    <row r="571" spans="1:1" ht="15.75" customHeight="1" x14ac:dyDescent="0.3">
      <c r="A571" s="91"/>
    </row>
    <row r="572" spans="1:1" ht="15.75" customHeight="1" x14ac:dyDescent="0.3">
      <c r="A572" s="91"/>
    </row>
    <row r="573" spans="1:1" ht="15.75" customHeight="1" x14ac:dyDescent="0.3">
      <c r="A573" s="91"/>
    </row>
    <row r="574" spans="1:1" ht="15.75" customHeight="1" x14ac:dyDescent="0.3">
      <c r="A574" s="91"/>
    </row>
    <row r="575" spans="1:1" ht="15.75" customHeight="1" x14ac:dyDescent="0.3">
      <c r="A575" s="91"/>
    </row>
    <row r="576" spans="1:1" ht="15.75" customHeight="1" x14ac:dyDescent="0.3">
      <c r="A576" s="91"/>
    </row>
    <row r="577" spans="1:1" ht="15.75" customHeight="1" x14ac:dyDescent="0.3">
      <c r="A577" s="91"/>
    </row>
    <row r="578" spans="1:1" ht="15.75" customHeight="1" x14ac:dyDescent="0.3">
      <c r="A578" s="91"/>
    </row>
    <row r="579" spans="1:1" ht="15.75" customHeight="1" x14ac:dyDescent="0.3">
      <c r="A579" s="91"/>
    </row>
    <row r="580" spans="1:1" ht="15.75" customHeight="1" x14ac:dyDescent="0.3">
      <c r="A580" s="91"/>
    </row>
    <row r="581" spans="1:1" ht="15.75" customHeight="1" x14ac:dyDescent="0.3">
      <c r="A581" s="91"/>
    </row>
    <row r="582" spans="1:1" ht="15.75" customHeight="1" x14ac:dyDescent="0.3">
      <c r="A582" s="91"/>
    </row>
    <row r="583" spans="1:1" ht="15.75" customHeight="1" x14ac:dyDescent="0.3">
      <c r="A583" s="91"/>
    </row>
    <row r="584" spans="1:1" ht="15.75" customHeight="1" x14ac:dyDescent="0.3">
      <c r="A584" s="91"/>
    </row>
    <row r="585" spans="1:1" ht="15.75" customHeight="1" x14ac:dyDescent="0.3">
      <c r="A585" s="91"/>
    </row>
    <row r="586" spans="1:1" ht="15.75" customHeight="1" x14ac:dyDescent="0.3">
      <c r="A586" s="91"/>
    </row>
    <row r="587" spans="1:1" ht="15.75" customHeight="1" x14ac:dyDescent="0.3">
      <c r="A587" s="91"/>
    </row>
    <row r="588" spans="1:1" ht="15.75" customHeight="1" x14ac:dyDescent="0.3">
      <c r="A588" s="91"/>
    </row>
    <row r="589" spans="1:1" ht="15.75" customHeight="1" x14ac:dyDescent="0.3">
      <c r="A589" s="91"/>
    </row>
    <row r="590" spans="1:1" ht="15.75" customHeight="1" x14ac:dyDescent="0.3">
      <c r="A590" s="91"/>
    </row>
    <row r="591" spans="1:1" ht="15.75" customHeight="1" x14ac:dyDescent="0.3">
      <c r="A591" s="91"/>
    </row>
    <row r="592" spans="1:1" ht="15.75" customHeight="1" x14ac:dyDescent="0.3">
      <c r="A592" s="91"/>
    </row>
    <row r="593" spans="1:1" ht="15.75" customHeight="1" x14ac:dyDescent="0.3">
      <c r="A593" s="91"/>
    </row>
    <row r="594" spans="1:1" ht="15.75" customHeight="1" x14ac:dyDescent="0.3">
      <c r="A594" s="91"/>
    </row>
    <row r="595" spans="1:1" ht="15.75" customHeight="1" x14ac:dyDescent="0.3">
      <c r="A595" s="91"/>
    </row>
    <row r="596" spans="1:1" ht="15.75" customHeight="1" x14ac:dyDescent="0.3">
      <c r="A596" s="91"/>
    </row>
    <row r="597" spans="1:1" ht="15.75" customHeight="1" x14ac:dyDescent="0.3">
      <c r="A597" s="91"/>
    </row>
    <row r="598" spans="1:1" ht="15.75" customHeight="1" x14ac:dyDescent="0.3">
      <c r="A598" s="91"/>
    </row>
    <row r="599" spans="1:1" ht="15.75" customHeight="1" x14ac:dyDescent="0.3">
      <c r="A599" s="91"/>
    </row>
    <row r="600" spans="1:1" ht="15.75" customHeight="1" x14ac:dyDescent="0.3">
      <c r="A600" s="91"/>
    </row>
    <row r="601" spans="1:1" ht="15.75" customHeight="1" x14ac:dyDescent="0.3">
      <c r="A601" s="91"/>
    </row>
    <row r="602" spans="1:1" ht="15.75" customHeight="1" x14ac:dyDescent="0.3">
      <c r="A602" s="91"/>
    </row>
    <row r="603" spans="1:1" ht="15.75" customHeight="1" x14ac:dyDescent="0.3">
      <c r="A603" s="91"/>
    </row>
    <row r="604" spans="1:1" ht="15.75" customHeight="1" x14ac:dyDescent="0.3">
      <c r="A604" s="91"/>
    </row>
    <row r="605" spans="1:1" ht="15.75" customHeight="1" x14ac:dyDescent="0.3">
      <c r="A605" s="91"/>
    </row>
    <row r="606" spans="1:1" ht="15.75" customHeight="1" x14ac:dyDescent="0.3">
      <c r="A606" s="91"/>
    </row>
    <row r="607" spans="1:1" ht="15.75" customHeight="1" x14ac:dyDescent="0.3">
      <c r="A607" s="91"/>
    </row>
    <row r="608" spans="1:1" ht="15.75" customHeight="1" x14ac:dyDescent="0.3">
      <c r="A608" s="91"/>
    </row>
    <row r="609" spans="1:1" ht="15.75" customHeight="1" x14ac:dyDescent="0.3">
      <c r="A609" s="91"/>
    </row>
    <row r="610" spans="1:1" ht="15.75" customHeight="1" x14ac:dyDescent="0.3">
      <c r="A610" s="91"/>
    </row>
    <row r="611" spans="1:1" ht="15.75" customHeight="1" x14ac:dyDescent="0.3">
      <c r="A611" s="91"/>
    </row>
    <row r="612" spans="1:1" ht="15.75" customHeight="1" x14ac:dyDescent="0.3">
      <c r="A612" s="91"/>
    </row>
    <row r="613" spans="1:1" ht="15.75" customHeight="1" x14ac:dyDescent="0.3">
      <c r="A613" s="91"/>
    </row>
    <row r="614" spans="1:1" ht="15.75" customHeight="1" x14ac:dyDescent="0.3">
      <c r="A614" s="91"/>
    </row>
    <row r="615" spans="1:1" ht="15.75" customHeight="1" x14ac:dyDescent="0.3">
      <c r="A615" s="91"/>
    </row>
    <row r="616" spans="1:1" ht="15.75" customHeight="1" x14ac:dyDescent="0.3">
      <c r="A616" s="91"/>
    </row>
    <row r="617" spans="1:1" ht="15.75" customHeight="1" x14ac:dyDescent="0.3">
      <c r="A617" s="91"/>
    </row>
    <row r="618" spans="1:1" ht="15.75" customHeight="1" x14ac:dyDescent="0.3">
      <c r="A618" s="91"/>
    </row>
    <row r="619" spans="1:1" ht="15.75" customHeight="1" x14ac:dyDescent="0.3">
      <c r="A619" s="91"/>
    </row>
    <row r="620" spans="1:1" ht="15.75" customHeight="1" x14ac:dyDescent="0.3">
      <c r="A620" s="91"/>
    </row>
    <row r="621" spans="1:1" ht="15.75" customHeight="1" x14ac:dyDescent="0.3">
      <c r="A621" s="91"/>
    </row>
    <row r="622" spans="1:1" ht="15.75" customHeight="1" x14ac:dyDescent="0.3">
      <c r="A622" s="91"/>
    </row>
    <row r="623" spans="1:1" ht="15.75" customHeight="1" x14ac:dyDescent="0.3">
      <c r="A623" s="91"/>
    </row>
    <row r="624" spans="1:1" ht="15.75" customHeight="1" x14ac:dyDescent="0.3">
      <c r="A624" s="91"/>
    </row>
    <row r="625" spans="1:1" ht="15.75" customHeight="1" x14ac:dyDescent="0.3">
      <c r="A625" s="91"/>
    </row>
    <row r="626" spans="1:1" ht="15.75" customHeight="1" x14ac:dyDescent="0.3">
      <c r="A626" s="91"/>
    </row>
    <row r="627" spans="1:1" ht="15.75" customHeight="1" x14ac:dyDescent="0.3">
      <c r="A627" s="91"/>
    </row>
    <row r="628" spans="1:1" ht="15.75" customHeight="1" x14ac:dyDescent="0.3">
      <c r="A628" s="91"/>
    </row>
    <row r="629" spans="1:1" ht="15.75" customHeight="1" x14ac:dyDescent="0.3">
      <c r="A629" s="91"/>
    </row>
    <row r="630" spans="1:1" ht="15.75" customHeight="1" x14ac:dyDescent="0.3">
      <c r="A630" s="91"/>
    </row>
    <row r="631" spans="1:1" ht="15.75" customHeight="1" x14ac:dyDescent="0.3">
      <c r="A631" s="91"/>
    </row>
    <row r="632" spans="1:1" ht="15.75" customHeight="1" x14ac:dyDescent="0.3">
      <c r="A632" s="91"/>
    </row>
    <row r="633" spans="1:1" ht="15.75" customHeight="1" x14ac:dyDescent="0.3">
      <c r="A633" s="91"/>
    </row>
    <row r="634" spans="1:1" ht="15.75" customHeight="1" x14ac:dyDescent="0.3">
      <c r="A634" s="91"/>
    </row>
    <row r="635" spans="1:1" ht="15.75" customHeight="1" x14ac:dyDescent="0.3">
      <c r="A635" s="91"/>
    </row>
    <row r="636" spans="1:1" ht="15.75" customHeight="1" x14ac:dyDescent="0.3">
      <c r="A636" s="91"/>
    </row>
    <row r="637" spans="1:1" ht="15.75" customHeight="1" x14ac:dyDescent="0.3">
      <c r="A637" s="91"/>
    </row>
    <row r="638" spans="1:1" ht="15.75" customHeight="1" x14ac:dyDescent="0.3">
      <c r="A638" s="91"/>
    </row>
    <row r="639" spans="1:1" ht="15.75" customHeight="1" x14ac:dyDescent="0.3">
      <c r="A639" s="91"/>
    </row>
    <row r="640" spans="1:1" ht="15.75" customHeight="1" x14ac:dyDescent="0.3">
      <c r="A640" s="91"/>
    </row>
    <row r="641" spans="1:1" ht="15.75" customHeight="1" x14ac:dyDescent="0.3">
      <c r="A641" s="91"/>
    </row>
    <row r="642" spans="1:1" ht="15.75" customHeight="1" x14ac:dyDescent="0.3">
      <c r="A642" s="91"/>
    </row>
    <row r="643" spans="1:1" ht="15.75" customHeight="1" x14ac:dyDescent="0.3">
      <c r="A643" s="91"/>
    </row>
    <row r="644" spans="1:1" ht="15.75" customHeight="1" x14ac:dyDescent="0.3">
      <c r="A644" s="91"/>
    </row>
    <row r="645" spans="1:1" ht="15.75" customHeight="1" x14ac:dyDescent="0.3">
      <c r="A645" s="91"/>
    </row>
    <row r="646" spans="1:1" ht="15.75" customHeight="1" x14ac:dyDescent="0.3">
      <c r="A646" s="91"/>
    </row>
    <row r="647" spans="1:1" ht="15.75" customHeight="1" x14ac:dyDescent="0.3">
      <c r="A647" s="91"/>
    </row>
    <row r="648" spans="1:1" ht="15.75" customHeight="1" x14ac:dyDescent="0.3">
      <c r="A648" s="91"/>
    </row>
    <row r="649" spans="1:1" ht="15.75" customHeight="1" x14ac:dyDescent="0.3">
      <c r="A649" s="91"/>
    </row>
    <row r="650" spans="1:1" ht="15.75" customHeight="1" x14ac:dyDescent="0.3">
      <c r="A650" s="91"/>
    </row>
    <row r="651" spans="1:1" ht="15.75" customHeight="1" x14ac:dyDescent="0.3">
      <c r="A651" s="91"/>
    </row>
    <row r="652" spans="1:1" ht="15.75" customHeight="1" x14ac:dyDescent="0.3">
      <c r="A652" s="91"/>
    </row>
    <row r="653" spans="1:1" ht="15.75" customHeight="1" x14ac:dyDescent="0.3">
      <c r="A653" s="91"/>
    </row>
    <row r="654" spans="1:1" ht="15.75" customHeight="1" x14ac:dyDescent="0.3">
      <c r="A654" s="91"/>
    </row>
    <row r="655" spans="1:1" ht="15.75" customHeight="1" x14ac:dyDescent="0.3">
      <c r="A655" s="91"/>
    </row>
    <row r="656" spans="1:1" ht="15.75" customHeight="1" x14ac:dyDescent="0.3">
      <c r="A656" s="91"/>
    </row>
    <row r="657" spans="1:1" ht="15.75" customHeight="1" x14ac:dyDescent="0.3">
      <c r="A657" s="91"/>
    </row>
    <row r="658" spans="1:1" ht="15.75" customHeight="1" x14ac:dyDescent="0.3">
      <c r="A658" s="91"/>
    </row>
    <row r="659" spans="1:1" ht="15.75" customHeight="1" x14ac:dyDescent="0.3">
      <c r="A659" s="91"/>
    </row>
    <row r="660" spans="1:1" ht="15.75" customHeight="1" x14ac:dyDescent="0.3">
      <c r="A660" s="91"/>
    </row>
    <row r="661" spans="1:1" ht="15.75" customHeight="1" x14ac:dyDescent="0.3">
      <c r="A661" s="91"/>
    </row>
    <row r="662" spans="1:1" ht="15.75" customHeight="1" x14ac:dyDescent="0.3">
      <c r="A662" s="91"/>
    </row>
    <row r="663" spans="1:1" ht="15.75" customHeight="1" x14ac:dyDescent="0.3">
      <c r="A663" s="91"/>
    </row>
    <row r="664" spans="1:1" ht="15.75" customHeight="1" x14ac:dyDescent="0.3">
      <c r="A664" s="91"/>
    </row>
    <row r="665" spans="1:1" ht="15.75" customHeight="1" x14ac:dyDescent="0.3">
      <c r="A665" s="91"/>
    </row>
    <row r="666" spans="1:1" ht="15.75" customHeight="1" x14ac:dyDescent="0.3">
      <c r="A666" s="91"/>
    </row>
    <row r="667" spans="1:1" ht="15.75" customHeight="1" x14ac:dyDescent="0.3">
      <c r="A667" s="91"/>
    </row>
    <row r="668" spans="1:1" ht="15.75" customHeight="1" x14ac:dyDescent="0.3">
      <c r="A668" s="91"/>
    </row>
    <row r="669" spans="1:1" ht="15.75" customHeight="1" x14ac:dyDescent="0.3">
      <c r="A669" s="91"/>
    </row>
    <row r="670" spans="1:1" ht="15.75" customHeight="1" x14ac:dyDescent="0.3">
      <c r="A670" s="91"/>
    </row>
    <row r="671" spans="1:1" ht="15.75" customHeight="1" x14ac:dyDescent="0.3">
      <c r="A671" s="91"/>
    </row>
    <row r="672" spans="1:1" ht="15.75" customHeight="1" x14ac:dyDescent="0.3">
      <c r="A672" s="91"/>
    </row>
    <row r="673" spans="1:1" ht="15.75" customHeight="1" x14ac:dyDescent="0.3">
      <c r="A673" s="91"/>
    </row>
    <row r="674" spans="1:1" ht="15.75" customHeight="1" x14ac:dyDescent="0.3">
      <c r="A674" s="91"/>
    </row>
    <row r="675" spans="1:1" ht="15.75" customHeight="1" x14ac:dyDescent="0.3">
      <c r="A675" s="91"/>
    </row>
    <row r="676" spans="1:1" ht="15.75" customHeight="1" x14ac:dyDescent="0.3">
      <c r="A676" s="91"/>
    </row>
    <row r="677" spans="1:1" ht="15.75" customHeight="1" x14ac:dyDescent="0.3">
      <c r="A677" s="91"/>
    </row>
    <row r="678" spans="1:1" ht="15.75" customHeight="1" x14ac:dyDescent="0.3">
      <c r="A678" s="91"/>
    </row>
    <row r="679" spans="1:1" ht="15.75" customHeight="1" x14ac:dyDescent="0.3">
      <c r="A679" s="91"/>
    </row>
    <row r="680" spans="1:1" ht="15.75" customHeight="1" x14ac:dyDescent="0.3">
      <c r="A680" s="91"/>
    </row>
    <row r="681" spans="1:1" ht="15.75" customHeight="1" x14ac:dyDescent="0.3">
      <c r="A681" s="91"/>
    </row>
    <row r="682" spans="1:1" ht="15.75" customHeight="1" x14ac:dyDescent="0.3">
      <c r="A682" s="91"/>
    </row>
    <row r="683" spans="1:1" ht="15.75" customHeight="1" x14ac:dyDescent="0.3">
      <c r="A683" s="91"/>
    </row>
    <row r="684" spans="1:1" ht="15.75" customHeight="1" x14ac:dyDescent="0.3">
      <c r="A684" s="91"/>
    </row>
    <row r="685" spans="1:1" ht="15.75" customHeight="1" x14ac:dyDescent="0.3">
      <c r="A685" s="91"/>
    </row>
    <row r="686" spans="1:1" ht="15.75" customHeight="1" x14ac:dyDescent="0.3">
      <c r="A686" s="91"/>
    </row>
    <row r="687" spans="1:1" ht="15.75" customHeight="1" x14ac:dyDescent="0.3">
      <c r="A687" s="91"/>
    </row>
    <row r="688" spans="1:1" ht="15.75" customHeight="1" x14ac:dyDescent="0.3">
      <c r="A688" s="91"/>
    </row>
    <row r="689" spans="1:1" ht="15.75" customHeight="1" x14ac:dyDescent="0.3">
      <c r="A689" s="91"/>
    </row>
    <row r="690" spans="1:1" ht="15.75" customHeight="1" x14ac:dyDescent="0.3">
      <c r="A690" s="91"/>
    </row>
    <row r="691" spans="1:1" ht="15.75" customHeight="1" x14ac:dyDescent="0.3">
      <c r="A691" s="91"/>
    </row>
    <row r="692" spans="1:1" ht="15.75" customHeight="1" x14ac:dyDescent="0.3">
      <c r="A692" s="91"/>
    </row>
    <row r="693" spans="1:1" ht="15.75" customHeight="1" x14ac:dyDescent="0.3">
      <c r="A693" s="91"/>
    </row>
    <row r="694" spans="1:1" ht="15.75" customHeight="1" x14ac:dyDescent="0.3">
      <c r="A694" s="91"/>
    </row>
    <row r="695" spans="1:1" ht="15.75" customHeight="1" x14ac:dyDescent="0.3">
      <c r="A695" s="91"/>
    </row>
    <row r="696" spans="1:1" ht="15.75" customHeight="1" x14ac:dyDescent="0.3">
      <c r="A696" s="91"/>
    </row>
    <row r="697" spans="1:1" ht="15.75" customHeight="1" x14ac:dyDescent="0.3">
      <c r="A697" s="91"/>
    </row>
    <row r="698" spans="1:1" ht="15.75" customHeight="1" x14ac:dyDescent="0.3">
      <c r="A698" s="91"/>
    </row>
    <row r="699" spans="1:1" ht="15.75" customHeight="1" x14ac:dyDescent="0.3">
      <c r="A699" s="91"/>
    </row>
    <row r="700" spans="1:1" ht="15.75" customHeight="1" x14ac:dyDescent="0.3">
      <c r="A700" s="91"/>
    </row>
    <row r="701" spans="1:1" ht="15.75" customHeight="1" x14ac:dyDescent="0.3">
      <c r="A701" s="91"/>
    </row>
    <row r="702" spans="1:1" ht="15.75" customHeight="1" x14ac:dyDescent="0.3">
      <c r="A702" s="91"/>
    </row>
    <row r="703" spans="1:1" ht="15.75" customHeight="1" x14ac:dyDescent="0.3">
      <c r="A703" s="91"/>
    </row>
    <row r="704" spans="1:1" ht="15.75" customHeight="1" x14ac:dyDescent="0.3">
      <c r="A704" s="91"/>
    </row>
    <row r="705" spans="1:1" ht="15.75" customHeight="1" x14ac:dyDescent="0.3">
      <c r="A705" s="91"/>
    </row>
    <row r="706" spans="1:1" ht="15.75" customHeight="1" x14ac:dyDescent="0.3">
      <c r="A706" s="91"/>
    </row>
    <row r="707" spans="1:1" ht="15.75" customHeight="1" x14ac:dyDescent="0.3">
      <c r="A707" s="91"/>
    </row>
    <row r="708" spans="1:1" ht="15.75" customHeight="1" x14ac:dyDescent="0.3">
      <c r="A708" s="91"/>
    </row>
    <row r="709" spans="1:1" ht="15.75" customHeight="1" x14ac:dyDescent="0.3">
      <c r="A709" s="91"/>
    </row>
    <row r="710" spans="1:1" ht="15.75" customHeight="1" x14ac:dyDescent="0.3">
      <c r="A710" s="91"/>
    </row>
    <row r="711" spans="1:1" ht="15.75" customHeight="1" x14ac:dyDescent="0.3">
      <c r="A711" s="91"/>
    </row>
    <row r="712" spans="1:1" ht="15.75" customHeight="1" x14ac:dyDescent="0.3">
      <c r="A712" s="91"/>
    </row>
    <row r="713" spans="1:1" ht="15.75" customHeight="1" x14ac:dyDescent="0.3">
      <c r="A713" s="91"/>
    </row>
    <row r="714" spans="1:1" ht="15.75" customHeight="1" x14ac:dyDescent="0.3">
      <c r="A714" s="91"/>
    </row>
    <row r="715" spans="1:1" ht="15.75" customHeight="1" x14ac:dyDescent="0.3">
      <c r="A715" s="91"/>
    </row>
    <row r="716" spans="1:1" ht="15.75" customHeight="1" x14ac:dyDescent="0.3">
      <c r="A716" s="91"/>
    </row>
    <row r="717" spans="1:1" ht="15.75" customHeight="1" x14ac:dyDescent="0.3">
      <c r="A717" s="91"/>
    </row>
    <row r="718" spans="1:1" ht="15.75" customHeight="1" x14ac:dyDescent="0.3">
      <c r="A718" s="91"/>
    </row>
    <row r="719" spans="1:1" ht="15.75" customHeight="1" x14ac:dyDescent="0.3">
      <c r="A719" s="91"/>
    </row>
    <row r="720" spans="1:1" ht="15.75" customHeight="1" x14ac:dyDescent="0.3">
      <c r="A720" s="91"/>
    </row>
    <row r="721" spans="1:1" ht="15.75" customHeight="1" x14ac:dyDescent="0.3">
      <c r="A721" s="91"/>
    </row>
    <row r="722" spans="1:1" ht="15.75" customHeight="1" x14ac:dyDescent="0.3">
      <c r="A722" s="91"/>
    </row>
    <row r="723" spans="1:1" ht="15.75" customHeight="1" x14ac:dyDescent="0.3">
      <c r="A723" s="91"/>
    </row>
    <row r="724" spans="1:1" ht="15.75" customHeight="1" x14ac:dyDescent="0.3">
      <c r="A724" s="91"/>
    </row>
    <row r="725" spans="1:1" ht="15.75" customHeight="1" x14ac:dyDescent="0.3">
      <c r="A725" s="91"/>
    </row>
    <row r="726" spans="1:1" ht="15.75" customHeight="1" x14ac:dyDescent="0.3">
      <c r="A726" s="91"/>
    </row>
    <row r="727" spans="1:1" ht="15.75" customHeight="1" x14ac:dyDescent="0.3">
      <c r="A727" s="91"/>
    </row>
    <row r="728" spans="1:1" ht="15.75" customHeight="1" x14ac:dyDescent="0.3">
      <c r="A728" s="91"/>
    </row>
    <row r="729" spans="1:1" ht="15.75" customHeight="1" x14ac:dyDescent="0.3">
      <c r="A729" s="91"/>
    </row>
    <row r="730" spans="1:1" ht="15.75" customHeight="1" x14ac:dyDescent="0.3">
      <c r="A730" s="91"/>
    </row>
    <row r="731" spans="1:1" ht="15.75" customHeight="1" x14ac:dyDescent="0.3">
      <c r="A731" s="91"/>
    </row>
    <row r="732" spans="1:1" ht="15.75" customHeight="1" x14ac:dyDescent="0.3">
      <c r="A732" s="91"/>
    </row>
    <row r="733" spans="1:1" ht="15.75" customHeight="1" x14ac:dyDescent="0.3">
      <c r="A733" s="91"/>
    </row>
    <row r="734" spans="1:1" ht="15.75" customHeight="1" x14ac:dyDescent="0.3">
      <c r="A734" s="91"/>
    </row>
    <row r="735" spans="1:1" ht="15.75" customHeight="1" x14ac:dyDescent="0.3">
      <c r="A735" s="91"/>
    </row>
    <row r="736" spans="1:1" ht="15.75" customHeight="1" x14ac:dyDescent="0.3">
      <c r="A736" s="91"/>
    </row>
    <row r="737" spans="1:1" ht="15.75" customHeight="1" x14ac:dyDescent="0.3">
      <c r="A737" s="91"/>
    </row>
    <row r="738" spans="1:1" ht="15.75" customHeight="1" x14ac:dyDescent="0.3">
      <c r="A738" s="91"/>
    </row>
    <row r="739" spans="1:1" ht="15.75" customHeight="1" x14ac:dyDescent="0.3">
      <c r="A739" s="91"/>
    </row>
    <row r="740" spans="1:1" ht="15.75" customHeight="1" x14ac:dyDescent="0.3">
      <c r="A740" s="91"/>
    </row>
    <row r="741" spans="1:1" ht="15.75" customHeight="1" x14ac:dyDescent="0.3">
      <c r="A741" s="91"/>
    </row>
    <row r="742" spans="1:1" ht="15.75" customHeight="1" x14ac:dyDescent="0.3">
      <c r="A742" s="91"/>
    </row>
    <row r="743" spans="1:1" ht="15.75" customHeight="1" x14ac:dyDescent="0.3">
      <c r="A743" s="91"/>
    </row>
    <row r="744" spans="1:1" ht="15.75" customHeight="1" x14ac:dyDescent="0.3">
      <c r="A744" s="91"/>
    </row>
    <row r="745" spans="1:1" ht="15.75" customHeight="1" x14ac:dyDescent="0.3">
      <c r="A745" s="91"/>
    </row>
    <row r="746" spans="1:1" ht="15.75" customHeight="1" x14ac:dyDescent="0.3">
      <c r="A746" s="91"/>
    </row>
    <row r="747" spans="1:1" ht="15.75" customHeight="1" x14ac:dyDescent="0.3">
      <c r="A747" s="91"/>
    </row>
    <row r="748" spans="1:1" ht="15.75" customHeight="1" x14ac:dyDescent="0.3">
      <c r="A748" s="91"/>
    </row>
    <row r="749" spans="1:1" ht="15.75" customHeight="1" x14ac:dyDescent="0.3">
      <c r="A749" s="91"/>
    </row>
    <row r="750" spans="1:1" ht="15.75" customHeight="1" x14ac:dyDescent="0.3">
      <c r="A750" s="91"/>
    </row>
    <row r="751" spans="1:1" ht="15.75" customHeight="1" x14ac:dyDescent="0.3">
      <c r="A751" s="91"/>
    </row>
    <row r="752" spans="1:1" ht="15.75" customHeight="1" x14ac:dyDescent="0.3">
      <c r="A752" s="91"/>
    </row>
    <row r="753" spans="1:1" ht="15.75" customHeight="1" x14ac:dyDescent="0.3">
      <c r="A753" s="91"/>
    </row>
    <row r="754" spans="1:1" ht="15.75" customHeight="1" x14ac:dyDescent="0.3">
      <c r="A754" s="91"/>
    </row>
    <row r="755" spans="1:1" ht="15.75" customHeight="1" x14ac:dyDescent="0.3">
      <c r="A755" s="91"/>
    </row>
    <row r="756" spans="1:1" ht="15.75" customHeight="1" x14ac:dyDescent="0.3">
      <c r="A756" s="91"/>
    </row>
    <row r="757" spans="1:1" ht="15.75" customHeight="1" x14ac:dyDescent="0.3">
      <c r="A757" s="91"/>
    </row>
    <row r="758" spans="1:1" ht="15.75" customHeight="1" x14ac:dyDescent="0.3">
      <c r="A758" s="91"/>
    </row>
    <row r="759" spans="1:1" ht="15.75" customHeight="1" x14ac:dyDescent="0.3">
      <c r="A759" s="91"/>
    </row>
    <row r="760" spans="1:1" ht="15.75" customHeight="1" x14ac:dyDescent="0.3">
      <c r="A760" s="91"/>
    </row>
    <row r="761" spans="1:1" ht="15.75" customHeight="1" x14ac:dyDescent="0.3">
      <c r="A761" s="91"/>
    </row>
    <row r="762" spans="1:1" ht="15.75" customHeight="1" x14ac:dyDescent="0.3">
      <c r="A762" s="91"/>
    </row>
    <row r="763" spans="1:1" ht="15.75" customHeight="1" x14ac:dyDescent="0.3">
      <c r="A763" s="91"/>
    </row>
    <row r="764" spans="1:1" ht="15.75" customHeight="1" x14ac:dyDescent="0.3">
      <c r="A764" s="91"/>
    </row>
    <row r="765" spans="1:1" ht="15.75" customHeight="1" x14ac:dyDescent="0.3">
      <c r="A765" s="91"/>
    </row>
    <row r="766" spans="1:1" ht="15.75" customHeight="1" x14ac:dyDescent="0.3">
      <c r="A766" s="91"/>
    </row>
    <row r="767" spans="1:1" ht="15.75" customHeight="1" x14ac:dyDescent="0.3">
      <c r="A767" s="91"/>
    </row>
    <row r="768" spans="1:1" ht="15.75" customHeight="1" x14ac:dyDescent="0.3">
      <c r="A768" s="91"/>
    </row>
    <row r="769" spans="1:1" ht="15.75" customHeight="1" x14ac:dyDescent="0.3">
      <c r="A769" s="91"/>
    </row>
    <row r="770" spans="1:1" ht="15.75" customHeight="1" x14ac:dyDescent="0.3">
      <c r="A770" s="91"/>
    </row>
    <row r="771" spans="1:1" ht="15.75" customHeight="1" x14ac:dyDescent="0.3">
      <c r="A771" s="91"/>
    </row>
    <row r="772" spans="1:1" ht="15.75" customHeight="1" x14ac:dyDescent="0.3">
      <c r="A772" s="91"/>
    </row>
    <row r="773" spans="1:1" ht="15.75" customHeight="1" x14ac:dyDescent="0.3">
      <c r="A773" s="91"/>
    </row>
    <row r="774" spans="1:1" ht="15.75" customHeight="1" x14ac:dyDescent="0.3">
      <c r="A774" s="91"/>
    </row>
    <row r="775" spans="1:1" ht="15.75" customHeight="1" x14ac:dyDescent="0.3">
      <c r="A775" s="91"/>
    </row>
    <row r="776" spans="1:1" ht="15.75" customHeight="1" x14ac:dyDescent="0.3">
      <c r="A776" s="91"/>
    </row>
    <row r="777" spans="1:1" ht="15.75" customHeight="1" x14ac:dyDescent="0.3">
      <c r="A777" s="91"/>
    </row>
    <row r="778" spans="1:1" ht="15.75" customHeight="1" x14ac:dyDescent="0.3">
      <c r="A778" s="91"/>
    </row>
    <row r="779" spans="1:1" ht="15.75" customHeight="1" x14ac:dyDescent="0.3">
      <c r="A779" s="91"/>
    </row>
    <row r="780" spans="1:1" ht="15.75" customHeight="1" x14ac:dyDescent="0.3">
      <c r="A780" s="91"/>
    </row>
    <row r="781" spans="1:1" ht="15.75" customHeight="1" x14ac:dyDescent="0.3">
      <c r="A781" s="91"/>
    </row>
    <row r="782" spans="1:1" ht="15.75" customHeight="1" x14ac:dyDescent="0.3">
      <c r="A782" s="91"/>
    </row>
    <row r="783" spans="1:1" ht="15.75" customHeight="1" x14ac:dyDescent="0.3">
      <c r="A783" s="91"/>
    </row>
    <row r="784" spans="1:1" ht="15.75" customHeight="1" x14ac:dyDescent="0.3">
      <c r="A784" s="91"/>
    </row>
    <row r="785" spans="1:1" ht="15.75" customHeight="1" x14ac:dyDescent="0.3">
      <c r="A785" s="91"/>
    </row>
    <row r="786" spans="1:1" ht="15.75" customHeight="1" x14ac:dyDescent="0.3">
      <c r="A786" s="91"/>
    </row>
    <row r="787" spans="1:1" ht="15.75" customHeight="1" x14ac:dyDescent="0.3">
      <c r="A787" s="91"/>
    </row>
    <row r="788" spans="1:1" ht="15.75" customHeight="1" x14ac:dyDescent="0.3">
      <c r="A788" s="91"/>
    </row>
    <row r="789" spans="1:1" ht="15.75" customHeight="1" x14ac:dyDescent="0.3">
      <c r="A789" s="91"/>
    </row>
    <row r="790" spans="1:1" ht="15.75" customHeight="1" x14ac:dyDescent="0.3">
      <c r="A790" s="91"/>
    </row>
    <row r="791" spans="1:1" ht="15.75" customHeight="1" x14ac:dyDescent="0.3">
      <c r="A791" s="91"/>
    </row>
    <row r="792" spans="1:1" ht="15.75" customHeight="1" x14ac:dyDescent="0.3">
      <c r="A792" s="91"/>
    </row>
    <row r="793" spans="1:1" ht="15.75" customHeight="1" x14ac:dyDescent="0.3">
      <c r="A793" s="91"/>
    </row>
    <row r="794" spans="1:1" ht="15.75" customHeight="1" x14ac:dyDescent="0.3">
      <c r="A794" s="91"/>
    </row>
    <row r="795" spans="1:1" ht="15.75" customHeight="1" x14ac:dyDescent="0.3">
      <c r="A795" s="91"/>
    </row>
    <row r="796" spans="1:1" ht="15.75" customHeight="1" x14ac:dyDescent="0.3">
      <c r="A796" s="91"/>
    </row>
    <row r="797" spans="1:1" ht="15.75" customHeight="1" x14ac:dyDescent="0.3">
      <c r="A797" s="91"/>
    </row>
    <row r="798" spans="1:1" ht="15.75" customHeight="1" x14ac:dyDescent="0.3">
      <c r="A798" s="91"/>
    </row>
    <row r="799" spans="1:1" ht="15.75" customHeight="1" x14ac:dyDescent="0.3">
      <c r="A799" s="91"/>
    </row>
    <row r="800" spans="1:1" ht="15.75" customHeight="1" x14ac:dyDescent="0.3">
      <c r="A800" s="91"/>
    </row>
    <row r="801" spans="1:1" ht="15.75" customHeight="1" x14ac:dyDescent="0.3">
      <c r="A801" s="91"/>
    </row>
    <row r="802" spans="1:1" ht="15.75" customHeight="1" x14ac:dyDescent="0.3">
      <c r="A802" s="91"/>
    </row>
    <row r="803" spans="1:1" ht="15.75" customHeight="1" x14ac:dyDescent="0.3">
      <c r="A803" s="91"/>
    </row>
    <row r="804" spans="1:1" ht="15.75" customHeight="1" x14ac:dyDescent="0.3">
      <c r="A804" s="91"/>
    </row>
    <row r="805" spans="1:1" ht="15.75" customHeight="1" x14ac:dyDescent="0.3">
      <c r="A805" s="91"/>
    </row>
    <row r="806" spans="1:1" ht="15.75" customHeight="1" x14ac:dyDescent="0.3">
      <c r="A806" s="91"/>
    </row>
    <row r="807" spans="1:1" ht="15.75" customHeight="1" x14ac:dyDescent="0.3">
      <c r="A807" s="91"/>
    </row>
    <row r="808" spans="1:1" ht="15.75" customHeight="1" x14ac:dyDescent="0.3">
      <c r="A808" s="91"/>
    </row>
    <row r="809" spans="1:1" ht="15.75" customHeight="1" x14ac:dyDescent="0.3">
      <c r="A809" s="91"/>
    </row>
    <row r="810" spans="1:1" ht="15.75" customHeight="1" x14ac:dyDescent="0.3">
      <c r="A810" s="91"/>
    </row>
    <row r="811" spans="1:1" ht="15.75" customHeight="1" x14ac:dyDescent="0.3">
      <c r="A811" s="91"/>
    </row>
    <row r="812" spans="1:1" ht="15.75" customHeight="1" x14ac:dyDescent="0.3">
      <c r="A812" s="91"/>
    </row>
    <row r="813" spans="1:1" ht="15.75" customHeight="1" x14ac:dyDescent="0.3">
      <c r="A813" s="91"/>
    </row>
    <row r="814" spans="1:1" ht="15.75" customHeight="1" x14ac:dyDescent="0.3">
      <c r="A814" s="91"/>
    </row>
    <row r="815" spans="1:1" ht="15.75" customHeight="1" x14ac:dyDescent="0.3">
      <c r="A815" s="91"/>
    </row>
    <row r="816" spans="1:1" ht="15.75" customHeight="1" x14ac:dyDescent="0.3">
      <c r="A816" s="91"/>
    </row>
    <row r="817" spans="1:1" ht="15.75" customHeight="1" x14ac:dyDescent="0.3">
      <c r="A817" s="91"/>
    </row>
    <row r="818" spans="1:1" ht="15.75" customHeight="1" x14ac:dyDescent="0.3">
      <c r="A818" s="91"/>
    </row>
    <row r="819" spans="1:1" ht="15.75" customHeight="1" x14ac:dyDescent="0.3">
      <c r="A819" s="91"/>
    </row>
    <row r="820" spans="1:1" ht="15.75" customHeight="1" x14ac:dyDescent="0.3">
      <c r="A820" s="91"/>
    </row>
    <row r="821" spans="1:1" ht="15.75" customHeight="1" x14ac:dyDescent="0.3">
      <c r="A821" s="91"/>
    </row>
    <row r="822" spans="1:1" ht="15.75" customHeight="1" x14ac:dyDescent="0.3">
      <c r="A822" s="91"/>
    </row>
    <row r="823" spans="1:1" ht="15.75" customHeight="1" x14ac:dyDescent="0.3">
      <c r="A823" s="91"/>
    </row>
    <row r="824" spans="1:1" ht="15.75" customHeight="1" x14ac:dyDescent="0.3">
      <c r="A824" s="91"/>
    </row>
    <row r="825" spans="1:1" ht="15.75" customHeight="1" x14ac:dyDescent="0.3">
      <c r="A825" s="91"/>
    </row>
    <row r="826" spans="1:1" ht="15.75" customHeight="1" x14ac:dyDescent="0.3">
      <c r="A826" s="91"/>
    </row>
    <row r="827" spans="1:1" ht="15.75" customHeight="1" x14ac:dyDescent="0.3">
      <c r="A827" s="91"/>
    </row>
    <row r="828" spans="1:1" ht="15.75" customHeight="1" x14ac:dyDescent="0.3">
      <c r="A828" s="91"/>
    </row>
    <row r="829" spans="1:1" ht="15.75" customHeight="1" x14ac:dyDescent="0.3">
      <c r="A829" s="91"/>
    </row>
    <row r="830" spans="1:1" ht="15.75" customHeight="1" x14ac:dyDescent="0.3">
      <c r="A830" s="91"/>
    </row>
    <row r="831" spans="1:1" ht="15.75" customHeight="1" x14ac:dyDescent="0.3">
      <c r="A831" s="91"/>
    </row>
    <row r="832" spans="1:1" ht="15.75" customHeight="1" x14ac:dyDescent="0.3">
      <c r="A832" s="91"/>
    </row>
    <row r="833" spans="1:1" ht="15.75" customHeight="1" x14ac:dyDescent="0.3">
      <c r="A833" s="91"/>
    </row>
    <row r="834" spans="1:1" ht="15.75" customHeight="1" x14ac:dyDescent="0.3">
      <c r="A834" s="91"/>
    </row>
    <row r="835" spans="1:1" ht="15.75" customHeight="1" x14ac:dyDescent="0.3">
      <c r="A835" s="91"/>
    </row>
    <row r="836" spans="1:1" ht="15.75" customHeight="1" x14ac:dyDescent="0.3">
      <c r="A836" s="91"/>
    </row>
    <row r="837" spans="1:1" ht="15.75" customHeight="1" x14ac:dyDescent="0.3">
      <c r="A837" s="91"/>
    </row>
    <row r="838" spans="1:1" ht="15.75" customHeight="1" x14ac:dyDescent="0.3">
      <c r="A838" s="91"/>
    </row>
    <row r="839" spans="1:1" ht="15.75" customHeight="1" x14ac:dyDescent="0.3">
      <c r="A839" s="91"/>
    </row>
    <row r="840" spans="1:1" ht="15.75" customHeight="1" x14ac:dyDescent="0.3">
      <c r="A840" s="91"/>
    </row>
    <row r="841" spans="1:1" ht="15.75" customHeight="1" x14ac:dyDescent="0.3">
      <c r="A841" s="91"/>
    </row>
    <row r="842" spans="1:1" ht="15.75" customHeight="1" x14ac:dyDescent="0.3">
      <c r="A842" s="91"/>
    </row>
    <row r="843" spans="1:1" ht="15.75" customHeight="1" x14ac:dyDescent="0.3">
      <c r="A843" s="91"/>
    </row>
    <row r="844" spans="1:1" ht="15.75" customHeight="1" x14ac:dyDescent="0.3">
      <c r="A844" s="91"/>
    </row>
    <row r="845" spans="1:1" ht="15.75" customHeight="1" x14ac:dyDescent="0.3">
      <c r="A845" s="91"/>
    </row>
    <row r="846" spans="1:1" ht="15.75" customHeight="1" x14ac:dyDescent="0.3">
      <c r="A846" s="91"/>
    </row>
    <row r="847" spans="1:1" ht="15.75" customHeight="1" x14ac:dyDescent="0.3">
      <c r="A847" s="91"/>
    </row>
    <row r="848" spans="1:1" ht="15.75" customHeight="1" x14ac:dyDescent="0.3">
      <c r="A848" s="91"/>
    </row>
    <row r="849" spans="1:1" ht="15.75" customHeight="1" x14ac:dyDescent="0.3">
      <c r="A849" s="91"/>
    </row>
    <row r="850" spans="1:1" ht="15.75" customHeight="1" x14ac:dyDescent="0.3">
      <c r="A850" s="91"/>
    </row>
    <row r="851" spans="1:1" ht="15.75" customHeight="1" x14ac:dyDescent="0.3">
      <c r="A851" s="91"/>
    </row>
    <row r="852" spans="1:1" ht="15.75" customHeight="1" x14ac:dyDescent="0.3">
      <c r="A852" s="91"/>
    </row>
    <row r="853" spans="1:1" ht="15.75" customHeight="1" x14ac:dyDescent="0.3">
      <c r="A853" s="91"/>
    </row>
    <row r="854" spans="1:1" ht="15.75" customHeight="1" x14ac:dyDescent="0.3">
      <c r="A854" s="91"/>
    </row>
    <row r="855" spans="1:1" ht="15.75" customHeight="1" x14ac:dyDescent="0.3">
      <c r="A855" s="91"/>
    </row>
    <row r="856" spans="1:1" ht="15.75" customHeight="1" x14ac:dyDescent="0.3">
      <c r="A856" s="91"/>
    </row>
    <row r="857" spans="1:1" ht="15.75" customHeight="1" x14ac:dyDescent="0.3">
      <c r="A857" s="91"/>
    </row>
    <row r="858" spans="1:1" ht="15.75" customHeight="1" x14ac:dyDescent="0.3">
      <c r="A858" s="91"/>
    </row>
    <row r="859" spans="1:1" ht="15.75" customHeight="1" x14ac:dyDescent="0.3">
      <c r="A859" s="91"/>
    </row>
    <row r="860" spans="1:1" ht="15.75" customHeight="1" x14ac:dyDescent="0.3">
      <c r="A860" s="91"/>
    </row>
    <row r="861" spans="1:1" ht="15.75" customHeight="1" x14ac:dyDescent="0.3">
      <c r="A861" s="91"/>
    </row>
    <row r="862" spans="1:1" ht="15.75" customHeight="1" x14ac:dyDescent="0.3">
      <c r="A862" s="91"/>
    </row>
    <row r="863" spans="1:1" ht="15.75" customHeight="1" x14ac:dyDescent="0.3">
      <c r="A863" s="91"/>
    </row>
    <row r="864" spans="1:1" ht="15.75" customHeight="1" x14ac:dyDescent="0.3">
      <c r="A864" s="91"/>
    </row>
    <row r="865" spans="1:1" ht="15.75" customHeight="1" x14ac:dyDescent="0.3">
      <c r="A865" s="91"/>
    </row>
    <row r="866" spans="1:1" ht="15.75" customHeight="1" x14ac:dyDescent="0.3">
      <c r="A866" s="91"/>
    </row>
    <row r="867" spans="1:1" ht="15.75" customHeight="1" x14ac:dyDescent="0.3">
      <c r="A867" s="91"/>
    </row>
    <row r="868" spans="1:1" ht="15.75" customHeight="1" x14ac:dyDescent="0.3">
      <c r="A868" s="91"/>
    </row>
    <row r="869" spans="1:1" ht="15.75" customHeight="1" x14ac:dyDescent="0.3">
      <c r="A869" s="91"/>
    </row>
    <row r="870" spans="1:1" ht="15.75" customHeight="1" x14ac:dyDescent="0.3">
      <c r="A870" s="91"/>
    </row>
    <row r="871" spans="1:1" ht="15.75" customHeight="1" x14ac:dyDescent="0.3">
      <c r="A871" s="91"/>
    </row>
    <row r="872" spans="1:1" ht="15.75" customHeight="1" x14ac:dyDescent="0.3">
      <c r="A872" s="91"/>
    </row>
    <row r="873" spans="1:1" ht="15.75" customHeight="1" x14ac:dyDescent="0.3">
      <c r="A873" s="91"/>
    </row>
    <row r="874" spans="1:1" ht="15.75" customHeight="1" x14ac:dyDescent="0.3">
      <c r="A874" s="91"/>
    </row>
    <row r="875" spans="1:1" ht="15.75" customHeight="1" x14ac:dyDescent="0.3">
      <c r="A875" s="91"/>
    </row>
    <row r="876" spans="1:1" ht="15.75" customHeight="1" x14ac:dyDescent="0.3">
      <c r="A876" s="91"/>
    </row>
    <row r="877" spans="1:1" ht="15.75" customHeight="1" x14ac:dyDescent="0.3">
      <c r="A877" s="91"/>
    </row>
    <row r="878" spans="1:1" ht="15.75" customHeight="1" x14ac:dyDescent="0.3">
      <c r="A878" s="91"/>
    </row>
    <row r="879" spans="1:1" ht="15.75" customHeight="1" x14ac:dyDescent="0.3">
      <c r="A879" s="91"/>
    </row>
    <row r="880" spans="1:1" ht="15.75" customHeight="1" x14ac:dyDescent="0.3">
      <c r="A880" s="91"/>
    </row>
    <row r="881" spans="1:1" ht="15.75" customHeight="1" x14ac:dyDescent="0.3">
      <c r="A881" s="91"/>
    </row>
    <row r="882" spans="1:1" ht="15.75" customHeight="1" x14ac:dyDescent="0.3">
      <c r="A882" s="91"/>
    </row>
    <row r="883" spans="1:1" ht="15.75" customHeight="1" x14ac:dyDescent="0.3">
      <c r="A883" s="91"/>
    </row>
    <row r="884" spans="1:1" ht="15.75" customHeight="1" x14ac:dyDescent="0.3">
      <c r="A884" s="91"/>
    </row>
    <row r="885" spans="1:1" ht="15.75" customHeight="1" x14ac:dyDescent="0.3">
      <c r="A885" s="91"/>
    </row>
    <row r="886" spans="1:1" ht="15.75" customHeight="1" x14ac:dyDescent="0.3">
      <c r="A886" s="91"/>
    </row>
    <row r="887" spans="1:1" ht="15.75" customHeight="1" x14ac:dyDescent="0.3">
      <c r="A887" s="91"/>
    </row>
    <row r="888" spans="1:1" ht="15.75" customHeight="1" x14ac:dyDescent="0.3">
      <c r="A888" s="91"/>
    </row>
    <row r="889" spans="1:1" ht="15.75" customHeight="1" x14ac:dyDescent="0.3">
      <c r="A889" s="91"/>
    </row>
    <row r="890" spans="1:1" ht="15.75" customHeight="1" x14ac:dyDescent="0.3">
      <c r="A890" s="91"/>
    </row>
    <row r="891" spans="1:1" ht="15.75" customHeight="1" x14ac:dyDescent="0.3">
      <c r="A891" s="91"/>
    </row>
    <row r="892" spans="1:1" ht="15.75" customHeight="1" x14ac:dyDescent="0.3">
      <c r="A892" s="91"/>
    </row>
    <row r="893" spans="1:1" ht="15.75" customHeight="1" x14ac:dyDescent="0.3">
      <c r="A893" s="91"/>
    </row>
    <row r="894" spans="1:1" ht="15.75" customHeight="1" x14ac:dyDescent="0.3">
      <c r="A894" s="91"/>
    </row>
    <row r="895" spans="1:1" ht="15.75" customHeight="1" x14ac:dyDescent="0.3">
      <c r="A895" s="91"/>
    </row>
    <row r="896" spans="1:1" ht="15.75" customHeight="1" x14ac:dyDescent="0.3">
      <c r="A896" s="91"/>
    </row>
    <row r="897" spans="1:1" ht="15.75" customHeight="1" x14ac:dyDescent="0.3">
      <c r="A897" s="91"/>
    </row>
    <row r="898" spans="1:1" ht="15.75" customHeight="1" x14ac:dyDescent="0.3">
      <c r="A898" s="91"/>
    </row>
    <row r="899" spans="1:1" ht="15.75" customHeight="1" x14ac:dyDescent="0.3">
      <c r="A899" s="91"/>
    </row>
    <row r="900" spans="1:1" ht="15.75" customHeight="1" x14ac:dyDescent="0.3">
      <c r="A900" s="91"/>
    </row>
    <row r="901" spans="1:1" ht="15.75" customHeight="1" x14ac:dyDescent="0.3">
      <c r="A901" s="91"/>
    </row>
    <row r="902" spans="1:1" ht="15.75" customHeight="1" x14ac:dyDescent="0.3">
      <c r="A902" s="91"/>
    </row>
    <row r="903" spans="1:1" ht="15.75" customHeight="1" x14ac:dyDescent="0.3">
      <c r="A903" s="91"/>
    </row>
    <row r="904" spans="1:1" ht="15.75" customHeight="1" x14ac:dyDescent="0.3">
      <c r="A904" s="91"/>
    </row>
    <row r="905" spans="1:1" ht="15.75" customHeight="1" x14ac:dyDescent="0.3">
      <c r="A905" s="91"/>
    </row>
    <row r="906" spans="1:1" ht="15.75" customHeight="1" x14ac:dyDescent="0.3">
      <c r="A906" s="91"/>
    </row>
    <row r="907" spans="1:1" ht="15.75" customHeight="1" x14ac:dyDescent="0.3">
      <c r="A907" s="91"/>
    </row>
    <row r="908" spans="1:1" ht="15.75" customHeight="1" x14ac:dyDescent="0.3">
      <c r="A908" s="91"/>
    </row>
    <row r="909" spans="1:1" ht="15.75" customHeight="1" x14ac:dyDescent="0.3">
      <c r="A909" s="91"/>
    </row>
    <row r="910" spans="1:1" ht="15.75" customHeight="1" x14ac:dyDescent="0.3">
      <c r="A910" s="91"/>
    </row>
    <row r="911" spans="1:1" ht="15.75" customHeight="1" x14ac:dyDescent="0.3">
      <c r="A911" s="91"/>
    </row>
    <row r="912" spans="1:1" ht="15.75" customHeight="1" x14ac:dyDescent="0.3">
      <c r="A912" s="91"/>
    </row>
    <row r="913" spans="1:1" ht="15.75" customHeight="1" x14ac:dyDescent="0.3">
      <c r="A913" s="91"/>
    </row>
    <row r="914" spans="1:1" ht="15.75" customHeight="1" x14ac:dyDescent="0.3">
      <c r="A914" s="91"/>
    </row>
    <row r="915" spans="1:1" ht="15.75" customHeight="1" x14ac:dyDescent="0.3">
      <c r="A915" s="91"/>
    </row>
    <row r="916" spans="1:1" ht="15.75" customHeight="1" x14ac:dyDescent="0.3">
      <c r="A916" s="91"/>
    </row>
    <row r="917" spans="1:1" ht="15.75" customHeight="1" x14ac:dyDescent="0.3">
      <c r="A917" s="91"/>
    </row>
    <row r="918" spans="1:1" ht="15.75" customHeight="1" x14ac:dyDescent="0.3">
      <c r="A918" s="91"/>
    </row>
    <row r="919" spans="1:1" ht="15.75" customHeight="1" x14ac:dyDescent="0.3">
      <c r="A919" s="91"/>
    </row>
    <row r="920" spans="1:1" ht="15.75" customHeight="1" x14ac:dyDescent="0.3">
      <c r="A920" s="91"/>
    </row>
    <row r="921" spans="1:1" ht="15.75" customHeight="1" x14ac:dyDescent="0.3">
      <c r="A921" s="91"/>
    </row>
    <row r="922" spans="1:1" ht="15.75" customHeight="1" x14ac:dyDescent="0.3">
      <c r="A922" s="91"/>
    </row>
    <row r="923" spans="1:1" ht="15.75" customHeight="1" x14ac:dyDescent="0.3">
      <c r="A923" s="91"/>
    </row>
    <row r="924" spans="1:1" ht="15.75" customHeight="1" x14ac:dyDescent="0.3">
      <c r="A924" s="91"/>
    </row>
    <row r="925" spans="1:1" ht="15.75" customHeight="1" x14ac:dyDescent="0.3">
      <c r="A925" s="91"/>
    </row>
    <row r="926" spans="1:1" ht="15.75" customHeight="1" x14ac:dyDescent="0.3">
      <c r="A926" s="91"/>
    </row>
    <row r="927" spans="1:1" ht="15.75" customHeight="1" x14ac:dyDescent="0.3">
      <c r="A927" s="91"/>
    </row>
    <row r="928" spans="1:1" ht="15.75" customHeight="1" x14ac:dyDescent="0.3">
      <c r="A928" s="91"/>
    </row>
    <row r="929" spans="1:1" ht="15.75" customHeight="1" x14ac:dyDescent="0.3">
      <c r="A929" s="91"/>
    </row>
    <row r="930" spans="1:1" ht="15.75" customHeight="1" x14ac:dyDescent="0.3">
      <c r="A930" s="91"/>
    </row>
    <row r="931" spans="1:1" ht="15.75" customHeight="1" x14ac:dyDescent="0.3">
      <c r="A931" s="91"/>
    </row>
    <row r="932" spans="1:1" ht="15.75" customHeight="1" x14ac:dyDescent="0.3">
      <c r="A932" s="91"/>
    </row>
    <row r="933" spans="1:1" ht="15.75" customHeight="1" x14ac:dyDescent="0.3">
      <c r="A933" s="91"/>
    </row>
    <row r="934" spans="1:1" ht="15.75" customHeight="1" x14ac:dyDescent="0.3">
      <c r="A934" s="91"/>
    </row>
    <row r="935" spans="1:1" ht="15.75" customHeight="1" x14ac:dyDescent="0.3">
      <c r="A935" s="91"/>
    </row>
    <row r="936" spans="1:1" ht="15.75" customHeight="1" x14ac:dyDescent="0.3">
      <c r="A936" s="91"/>
    </row>
    <row r="937" spans="1:1" ht="15.75" customHeight="1" x14ac:dyDescent="0.3">
      <c r="A937" s="91"/>
    </row>
    <row r="938" spans="1:1" ht="15.75" customHeight="1" x14ac:dyDescent="0.3">
      <c r="A938" s="91"/>
    </row>
    <row r="939" spans="1:1" ht="15.75" customHeight="1" x14ac:dyDescent="0.3">
      <c r="A939" s="91"/>
    </row>
    <row r="940" spans="1:1" ht="15.75" customHeight="1" x14ac:dyDescent="0.3">
      <c r="A940" s="91"/>
    </row>
    <row r="941" spans="1:1" ht="15.75" customHeight="1" x14ac:dyDescent="0.3">
      <c r="A941" s="91"/>
    </row>
    <row r="942" spans="1:1" ht="15.75" customHeight="1" x14ac:dyDescent="0.3">
      <c r="A942" s="91"/>
    </row>
    <row r="943" spans="1:1" ht="15.75" customHeight="1" x14ac:dyDescent="0.3">
      <c r="A943" s="91"/>
    </row>
    <row r="944" spans="1:1" ht="15.75" customHeight="1" x14ac:dyDescent="0.3">
      <c r="A944" s="91"/>
    </row>
    <row r="945" spans="1:1" ht="15.75" customHeight="1" x14ac:dyDescent="0.3">
      <c r="A945" s="91"/>
    </row>
    <row r="946" spans="1:1" ht="15.75" customHeight="1" x14ac:dyDescent="0.3">
      <c r="A946" s="91"/>
    </row>
    <row r="947" spans="1:1" ht="15.75" customHeight="1" x14ac:dyDescent="0.3">
      <c r="A947" s="91"/>
    </row>
    <row r="948" spans="1:1" ht="15.75" customHeight="1" x14ac:dyDescent="0.3">
      <c r="A948" s="91"/>
    </row>
    <row r="949" spans="1:1" ht="15.75" customHeight="1" x14ac:dyDescent="0.3">
      <c r="A949" s="91"/>
    </row>
    <row r="950" spans="1:1" ht="15.75" customHeight="1" x14ac:dyDescent="0.3">
      <c r="A950" s="91"/>
    </row>
    <row r="951" spans="1:1" ht="15.75" customHeight="1" x14ac:dyDescent="0.3">
      <c r="A951" s="91"/>
    </row>
    <row r="952" spans="1:1" ht="15.75" customHeight="1" x14ac:dyDescent="0.3">
      <c r="A952" s="91"/>
    </row>
    <row r="953" spans="1:1" ht="15.75" customHeight="1" x14ac:dyDescent="0.3">
      <c r="A953" s="91"/>
    </row>
    <row r="954" spans="1:1" ht="15.75" customHeight="1" x14ac:dyDescent="0.3">
      <c r="A954" s="91"/>
    </row>
    <row r="955" spans="1:1" ht="15.75" customHeight="1" x14ac:dyDescent="0.3">
      <c r="A955" s="91"/>
    </row>
    <row r="956" spans="1:1" ht="15.75" customHeight="1" x14ac:dyDescent="0.3">
      <c r="A956" s="91"/>
    </row>
    <row r="957" spans="1:1" ht="15.75" customHeight="1" x14ac:dyDescent="0.3">
      <c r="A957" s="91"/>
    </row>
    <row r="958" spans="1:1" ht="15.75" customHeight="1" x14ac:dyDescent="0.3">
      <c r="A958" s="91"/>
    </row>
    <row r="959" spans="1:1" ht="15.75" customHeight="1" x14ac:dyDescent="0.3">
      <c r="A959" s="91"/>
    </row>
    <row r="960" spans="1:1" ht="15.75" customHeight="1" x14ac:dyDescent="0.3">
      <c r="A960" s="91"/>
    </row>
    <row r="961" spans="1:1" ht="15.75" customHeight="1" x14ac:dyDescent="0.3">
      <c r="A961" s="91"/>
    </row>
    <row r="962" spans="1:1" ht="15.75" customHeight="1" x14ac:dyDescent="0.3">
      <c r="A962" s="91"/>
    </row>
    <row r="963" spans="1:1" ht="15.75" customHeight="1" x14ac:dyDescent="0.3">
      <c r="A963" s="91"/>
    </row>
    <row r="964" spans="1:1" ht="15.75" customHeight="1" x14ac:dyDescent="0.3">
      <c r="A964" s="91"/>
    </row>
    <row r="965" spans="1:1" ht="15.75" customHeight="1" x14ac:dyDescent="0.3">
      <c r="A965" s="91"/>
    </row>
    <row r="966" spans="1:1" ht="15.75" customHeight="1" x14ac:dyDescent="0.3">
      <c r="A966" s="91"/>
    </row>
    <row r="967" spans="1:1" ht="15.75" customHeight="1" x14ac:dyDescent="0.3">
      <c r="A967" s="91"/>
    </row>
    <row r="968" spans="1:1" ht="15.75" customHeight="1" x14ac:dyDescent="0.3">
      <c r="A968" s="91"/>
    </row>
    <row r="969" spans="1:1" ht="15.75" customHeight="1" x14ac:dyDescent="0.3">
      <c r="A969" s="91"/>
    </row>
    <row r="970" spans="1:1" ht="15.75" customHeight="1" x14ac:dyDescent="0.3">
      <c r="A970" s="91"/>
    </row>
    <row r="971" spans="1:1" ht="15.75" customHeight="1" x14ac:dyDescent="0.3">
      <c r="A971" s="91"/>
    </row>
    <row r="972" spans="1:1" ht="15.75" customHeight="1" x14ac:dyDescent="0.3">
      <c r="A972" s="91"/>
    </row>
    <row r="973" spans="1:1" ht="15.75" customHeight="1" x14ac:dyDescent="0.3">
      <c r="A973" s="91"/>
    </row>
    <row r="974" spans="1:1" ht="15.75" customHeight="1" x14ac:dyDescent="0.3">
      <c r="A974" s="91"/>
    </row>
    <row r="975" spans="1:1" ht="15.75" customHeight="1" x14ac:dyDescent="0.3">
      <c r="A975" s="91"/>
    </row>
    <row r="976" spans="1:1" ht="15.75" customHeight="1" x14ac:dyDescent="0.3">
      <c r="A976" s="91"/>
    </row>
    <row r="977" spans="1:1" ht="15.75" customHeight="1" x14ac:dyDescent="0.3">
      <c r="A977" s="91"/>
    </row>
    <row r="978" spans="1:1" ht="15.75" customHeight="1" x14ac:dyDescent="0.3">
      <c r="A978" s="91"/>
    </row>
    <row r="979" spans="1:1" ht="15.75" customHeight="1" x14ac:dyDescent="0.3">
      <c r="A979" s="91"/>
    </row>
    <row r="980" spans="1:1" ht="15.75" customHeight="1" x14ac:dyDescent="0.3">
      <c r="A980" s="91"/>
    </row>
    <row r="981" spans="1:1" ht="15.75" customHeight="1" x14ac:dyDescent="0.3">
      <c r="A981" s="91"/>
    </row>
    <row r="982" spans="1:1" ht="15.75" customHeight="1" x14ac:dyDescent="0.3">
      <c r="A982" s="91"/>
    </row>
    <row r="983" spans="1:1" ht="15.75" customHeight="1" x14ac:dyDescent="0.3">
      <c r="A983" s="91"/>
    </row>
    <row r="984" spans="1:1" ht="15.75" customHeight="1" x14ac:dyDescent="0.3">
      <c r="A984" s="91"/>
    </row>
    <row r="985" spans="1:1" ht="15.75" customHeight="1" x14ac:dyDescent="0.3">
      <c r="A985" s="91"/>
    </row>
    <row r="986" spans="1:1" ht="15.75" customHeight="1" x14ac:dyDescent="0.3">
      <c r="A986" s="91"/>
    </row>
    <row r="987" spans="1:1" ht="15.75" customHeight="1" x14ac:dyDescent="0.3">
      <c r="A987" s="91"/>
    </row>
    <row r="988" spans="1:1" ht="15.75" customHeight="1" x14ac:dyDescent="0.3">
      <c r="A988" s="91"/>
    </row>
    <row r="989" spans="1:1" ht="15.75" customHeight="1" x14ac:dyDescent="0.3">
      <c r="A989" s="91"/>
    </row>
    <row r="990" spans="1:1" ht="15.75" customHeight="1" x14ac:dyDescent="0.3">
      <c r="A990" s="91"/>
    </row>
    <row r="991" spans="1:1" ht="15.75" customHeight="1" x14ac:dyDescent="0.3">
      <c r="A991" s="91"/>
    </row>
    <row r="992" spans="1:1" ht="15.75" customHeight="1" x14ac:dyDescent="0.3">
      <c r="A992" s="91"/>
    </row>
    <row r="993" spans="1:1" ht="15.75" customHeight="1" x14ac:dyDescent="0.3">
      <c r="A993" s="91"/>
    </row>
    <row r="994" spans="1:1" ht="15.75" customHeight="1" x14ac:dyDescent="0.3">
      <c r="A994" s="91"/>
    </row>
    <row r="995" spans="1:1" ht="15.75" customHeight="1" x14ac:dyDescent="0.3">
      <c r="A995" s="91"/>
    </row>
    <row r="996" spans="1:1" ht="15.75" customHeight="1" x14ac:dyDescent="0.3">
      <c r="A996" s="91"/>
    </row>
    <row r="997" spans="1:1" ht="15.75" customHeight="1" x14ac:dyDescent="0.3">
      <c r="A997" s="91"/>
    </row>
    <row r="998" spans="1:1" ht="15.75" customHeight="1" x14ac:dyDescent="0.3">
      <c r="A998" s="91"/>
    </row>
    <row r="999" spans="1:1" ht="15.75" customHeight="1" x14ac:dyDescent="0.3">
      <c r="A999" s="91"/>
    </row>
    <row r="1000" spans="1:1" ht="15.75" customHeight="1" x14ac:dyDescent="0.3">
      <c r="A1000" s="91"/>
    </row>
  </sheetData>
  <mergeCells count="1">
    <mergeCell ref="C2:L2"/>
  </mergeCells>
  <pageMargins left="0.7" right="0.7" top="0.75" bottom="0.75" header="0" footer="0"/>
  <pageSetup paperSize="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/>
  </sheetViews>
  <sheetFormatPr baseColWidth="10" defaultColWidth="14.44140625" defaultRowHeight="15" customHeight="1" x14ac:dyDescent="0.3"/>
  <cols>
    <col min="1" max="1" width="10.6640625" customWidth="1"/>
    <col min="2" max="2" width="15.5546875" customWidth="1"/>
    <col min="3" max="3" width="18.109375" customWidth="1"/>
    <col min="4" max="4" width="16" customWidth="1"/>
    <col min="5" max="5" width="17.109375" customWidth="1"/>
    <col min="6" max="6" width="17.88671875" customWidth="1"/>
    <col min="7" max="7" width="10.6640625" customWidth="1"/>
    <col min="8" max="8" width="13" customWidth="1"/>
    <col min="9" max="26" width="10.6640625" customWidth="1"/>
  </cols>
  <sheetData>
    <row r="1" spans="1:26" ht="30" customHeight="1" x14ac:dyDescent="0.3">
      <c r="A1" s="209" t="s">
        <v>127</v>
      </c>
      <c r="B1" s="202"/>
      <c r="C1" s="202"/>
      <c r="D1" s="202"/>
      <c r="E1" s="202"/>
      <c r="F1" s="203"/>
    </row>
    <row r="2" spans="1:26" ht="15" customHeight="1" x14ac:dyDescent="0.3">
      <c r="A2" s="210" t="s">
        <v>128</v>
      </c>
      <c r="B2" s="205"/>
      <c r="C2" s="205"/>
      <c r="D2" s="205"/>
      <c r="E2" s="206"/>
      <c r="F2" s="92">
        <v>21</v>
      </c>
      <c r="G2" s="93"/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  <c r="Y2" s="93"/>
      <c r="Z2" s="93"/>
    </row>
    <row r="3" spans="1:26" ht="28.8" x14ac:dyDescent="0.3">
      <c r="A3" s="210" t="s">
        <v>129</v>
      </c>
      <c r="B3" s="206"/>
      <c r="C3" s="94" t="s">
        <v>51</v>
      </c>
      <c r="D3" s="94" t="s">
        <v>21</v>
      </c>
      <c r="E3" s="94" t="s">
        <v>22</v>
      </c>
      <c r="F3" s="92" t="s">
        <v>130</v>
      </c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</row>
    <row r="4" spans="1:26" ht="14.4" x14ac:dyDescent="0.3">
      <c r="A4" s="211"/>
      <c r="B4" s="95">
        <v>5000</v>
      </c>
      <c r="C4" s="87">
        <f>'W7 DIESEL 120K'!C27</f>
        <v>95.039999999999992</v>
      </c>
      <c r="D4" s="87">
        <f>'W7 DIESEL 120K'!C20</f>
        <v>33.56</v>
      </c>
      <c r="E4" s="87">
        <f>'W7 DIESEL 120K'!C21</f>
        <v>19.399999999999999</v>
      </c>
      <c r="F4" s="96">
        <f t="shared" ref="F4:F27" si="0">SUM(C4:E4)</f>
        <v>148</v>
      </c>
    </row>
    <row r="5" spans="1:26" ht="14.4" x14ac:dyDescent="0.3">
      <c r="A5" s="212"/>
      <c r="B5" s="95">
        <v>10000</v>
      </c>
      <c r="C5" s="87">
        <f>'W7 DIESEL 120K'!D27</f>
        <v>40.98</v>
      </c>
      <c r="D5" s="87">
        <f>'W7 DIESEL 120K'!D20</f>
        <v>115.97000000000001</v>
      </c>
      <c r="E5" s="87">
        <f>'W7 DIESEL 120K'!D21</f>
        <v>157</v>
      </c>
      <c r="F5" s="96">
        <f t="shared" si="0"/>
        <v>313.95000000000005</v>
      </c>
    </row>
    <row r="6" spans="1:26" ht="14.4" x14ac:dyDescent="0.3">
      <c r="A6" s="212"/>
      <c r="B6" s="95">
        <v>15000</v>
      </c>
      <c r="C6" s="87">
        <v>40.98</v>
      </c>
      <c r="D6" s="87">
        <v>33.56</v>
      </c>
      <c r="E6" s="87">
        <v>14.11</v>
      </c>
      <c r="F6" s="96">
        <f t="shared" si="0"/>
        <v>88.649999999999991</v>
      </c>
    </row>
    <row r="7" spans="1:26" ht="14.4" x14ac:dyDescent="0.3">
      <c r="A7" s="212"/>
      <c r="B7" s="95">
        <v>20000</v>
      </c>
      <c r="C7" s="87">
        <f>'W7 DIESEL 120K'!E27</f>
        <v>52.98</v>
      </c>
      <c r="D7" s="87">
        <f>'W7 DIESEL 120K'!E20</f>
        <v>68.600000000000009</v>
      </c>
      <c r="E7" s="87">
        <f>'W7 DIESEL 120K'!E21</f>
        <v>181.69</v>
      </c>
      <c r="F7" s="96">
        <f t="shared" si="0"/>
        <v>303.27</v>
      </c>
    </row>
    <row r="8" spans="1:26" ht="14.4" x14ac:dyDescent="0.3">
      <c r="A8" s="212"/>
      <c r="B8" s="95">
        <v>25000</v>
      </c>
      <c r="C8" s="87">
        <v>40.98</v>
      </c>
      <c r="D8" s="87">
        <v>33.56</v>
      </c>
      <c r="E8" s="87">
        <v>14.11</v>
      </c>
      <c r="F8" s="96">
        <f t="shared" si="0"/>
        <v>88.649999999999991</v>
      </c>
    </row>
    <row r="9" spans="1:26" ht="14.4" x14ac:dyDescent="0.3">
      <c r="A9" s="212"/>
      <c r="B9" s="95">
        <v>30000</v>
      </c>
      <c r="C9" s="87">
        <f>'W7 DIESEL 120K'!F27</f>
        <v>48.309999999999995</v>
      </c>
      <c r="D9" s="87">
        <f>'W7 DIESEL 120K'!F20</f>
        <v>115.97000000000001</v>
      </c>
      <c r="E9" s="87">
        <f>'W7 DIESEL 120K'!F21</f>
        <v>175.34</v>
      </c>
      <c r="F9" s="96">
        <f t="shared" si="0"/>
        <v>339.62</v>
      </c>
    </row>
    <row r="10" spans="1:26" ht="14.4" x14ac:dyDescent="0.3">
      <c r="A10" s="212"/>
      <c r="B10" s="95">
        <v>35000</v>
      </c>
      <c r="C10" s="87">
        <v>40.98</v>
      </c>
      <c r="D10" s="87">
        <v>33.56</v>
      </c>
      <c r="E10" s="87">
        <v>14.11</v>
      </c>
      <c r="F10" s="96">
        <f t="shared" si="0"/>
        <v>88.649999999999991</v>
      </c>
    </row>
    <row r="11" spans="1:26" ht="14.4" x14ac:dyDescent="0.3">
      <c r="A11" s="212"/>
      <c r="B11" s="95">
        <v>40000</v>
      </c>
      <c r="C11" s="87">
        <f>'W7 DIESEL 120K'!G27</f>
        <v>67.97999999999999</v>
      </c>
      <c r="D11" s="87">
        <f>'W7 DIESEL 120K'!G20</f>
        <v>68.600000000000009</v>
      </c>
      <c r="E11" s="87">
        <f>'W7 DIESEL 120K'!G21</f>
        <v>213.44</v>
      </c>
      <c r="F11" s="96">
        <f t="shared" si="0"/>
        <v>350.02</v>
      </c>
    </row>
    <row r="12" spans="1:26" ht="14.4" x14ac:dyDescent="0.3">
      <c r="A12" s="212"/>
      <c r="B12" s="95">
        <v>45000</v>
      </c>
      <c r="C12" s="87">
        <v>40.98</v>
      </c>
      <c r="D12" s="87">
        <v>33.56</v>
      </c>
      <c r="E12" s="87">
        <v>14.11</v>
      </c>
      <c r="F12" s="96">
        <f t="shared" si="0"/>
        <v>88.649999999999991</v>
      </c>
    </row>
    <row r="13" spans="1:26" ht="14.4" x14ac:dyDescent="0.3">
      <c r="A13" s="212"/>
      <c r="B13" s="95">
        <v>50000</v>
      </c>
      <c r="C13" s="87">
        <f>'W7 DIESEL 120K'!H27</f>
        <v>95.039999999999992</v>
      </c>
      <c r="D13" s="87">
        <f>'W7 DIESEL 120K'!H20</f>
        <v>115.97000000000001</v>
      </c>
      <c r="E13" s="87">
        <f>'W7 DIESEL 120K'!H21</f>
        <v>169.34</v>
      </c>
      <c r="F13" s="96">
        <f t="shared" si="0"/>
        <v>380.35</v>
      </c>
    </row>
    <row r="14" spans="1:26" ht="14.4" x14ac:dyDescent="0.3">
      <c r="A14" s="212"/>
      <c r="B14" s="95">
        <v>55000</v>
      </c>
      <c r="C14" s="87">
        <v>40.98</v>
      </c>
      <c r="D14" s="87">
        <v>33.56</v>
      </c>
      <c r="E14" s="87">
        <v>14.11</v>
      </c>
      <c r="F14" s="96">
        <f t="shared" si="0"/>
        <v>88.649999999999991</v>
      </c>
    </row>
    <row r="15" spans="1:26" ht="14.4" x14ac:dyDescent="0.3">
      <c r="A15" s="212"/>
      <c r="B15" s="95">
        <v>60000</v>
      </c>
      <c r="C15" s="87">
        <f>'W7 DIESEL 120K'!I27</f>
        <v>60.309999999999995</v>
      </c>
      <c r="D15" s="87">
        <f>'W7 DIESEL 120K'!I20</f>
        <v>68.600000000000009</v>
      </c>
      <c r="E15" s="87">
        <f>'W7 DIESEL 120K'!I21</f>
        <v>196.51</v>
      </c>
      <c r="F15" s="96">
        <f t="shared" si="0"/>
        <v>325.41999999999996</v>
      </c>
    </row>
    <row r="16" spans="1:26" ht="14.4" x14ac:dyDescent="0.3">
      <c r="A16" s="212"/>
      <c r="B16" s="95">
        <v>65000</v>
      </c>
      <c r="C16" s="87">
        <v>40.98</v>
      </c>
      <c r="D16" s="87">
        <v>33.56</v>
      </c>
      <c r="E16" s="87">
        <v>14.11</v>
      </c>
      <c r="F16" s="96">
        <f t="shared" si="0"/>
        <v>88.649999999999991</v>
      </c>
    </row>
    <row r="17" spans="1:26" ht="14.4" x14ac:dyDescent="0.3">
      <c r="A17" s="212"/>
      <c r="B17" s="95">
        <v>70000</v>
      </c>
      <c r="C17" s="87">
        <f>'W7 DIESEL 120K'!J27</f>
        <v>40.98</v>
      </c>
      <c r="D17" s="87">
        <f>'W7 DIESEL 120K'!J20</f>
        <v>115.97000000000001</v>
      </c>
      <c r="E17" s="87">
        <f>'W7 DIESEL 120K'!J21</f>
        <v>148.18</v>
      </c>
      <c r="F17" s="96">
        <f t="shared" si="0"/>
        <v>305.13</v>
      </c>
    </row>
    <row r="18" spans="1:26" ht="14.4" x14ac:dyDescent="0.3">
      <c r="A18" s="212"/>
      <c r="B18" s="95">
        <v>75000</v>
      </c>
      <c r="C18" s="87">
        <v>40.98</v>
      </c>
      <c r="D18" s="87">
        <v>33.56</v>
      </c>
      <c r="E18" s="87">
        <v>14.11</v>
      </c>
      <c r="F18" s="96">
        <f t="shared" si="0"/>
        <v>88.649999999999991</v>
      </c>
    </row>
    <row r="19" spans="1:26" ht="14.4" x14ac:dyDescent="0.3">
      <c r="A19" s="212"/>
      <c r="B19" s="95">
        <v>80000</v>
      </c>
      <c r="C19" s="87">
        <f>'W7 DIESEL 120K'!K27</f>
        <v>0</v>
      </c>
      <c r="D19" s="87">
        <f>'W7 DIESEL 120K'!K20</f>
        <v>0</v>
      </c>
      <c r="E19" s="87">
        <f>'W7 DIESEL 120K'!K21</f>
        <v>0</v>
      </c>
      <c r="F19" s="96">
        <f t="shared" si="0"/>
        <v>0</v>
      </c>
    </row>
    <row r="20" spans="1:26" ht="14.4" x14ac:dyDescent="0.3">
      <c r="A20" s="212"/>
      <c r="B20" s="95">
        <v>85000</v>
      </c>
      <c r="C20" s="87">
        <v>40.98</v>
      </c>
      <c r="D20" s="87">
        <v>33.56</v>
      </c>
      <c r="E20" s="87">
        <v>14.11</v>
      </c>
      <c r="F20" s="96">
        <f t="shared" si="0"/>
        <v>88.649999999999991</v>
      </c>
    </row>
    <row r="21" spans="1:26" ht="15.75" customHeight="1" x14ac:dyDescent="0.3">
      <c r="A21" s="212"/>
      <c r="B21" s="95">
        <v>90000</v>
      </c>
      <c r="C21" s="87">
        <f>'W7 DIESEL 120K'!L27</f>
        <v>0</v>
      </c>
      <c r="D21" s="87">
        <f>'W7 DIESEL 120K'!L20</f>
        <v>0</v>
      </c>
      <c r="E21" s="87">
        <f>'W7 DIESEL 120K'!L21</f>
        <v>0</v>
      </c>
      <c r="F21" s="96">
        <f t="shared" si="0"/>
        <v>0</v>
      </c>
    </row>
    <row r="22" spans="1:26" ht="15.75" customHeight="1" x14ac:dyDescent="0.3">
      <c r="A22" s="212"/>
      <c r="B22" s="95">
        <v>95000</v>
      </c>
      <c r="C22" s="87">
        <v>40.98</v>
      </c>
      <c r="D22" s="87">
        <v>33.56</v>
      </c>
      <c r="E22" s="87">
        <v>14.11</v>
      </c>
      <c r="F22" s="96">
        <f t="shared" si="0"/>
        <v>88.649999999999991</v>
      </c>
    </row>
    <row r="23" spans="1:26" ht="15.75" customHeight="1" x14ac:dyDescent="0.3">
      <c r="A23" s="212"/>
      <c r="B23" s="95">
        <v>100000</v>
      </c>
      <c r="C23" s="87">
        <f>'W7 DIESEL 120K'!M27</f>
        <v>0</v>
      </c>
      <c r="D23" s="87">
        <f>'W7 DIESEL 120K'!M20</f>
        <v>0</v>
      </c>
      <c r="E23" s="87">
        <f>'W7 DIESEL 120K'!M21</f>
        <v>0</v>
      </c>
      <c r="F23" s="96">
        <f t="shared" si="0"/>
        <v>0</v>
      </c>
    </row>
    <row r="24" spans="1:26" ht="15.75" customHeight="1" x14ac:dyDescent="0.3">
      <c r="A24" s="212"/>
      <c r="B24" s="95">
        <v>105000</v>
      </c>
      <c r="C24" s="87">
        <v>40.98</v>
      </c>
      <c r="D24" s="87">
        <v>33.56</v>
      </c>
      <c r="E24" s="87">
        <v>14.11</v>
      </c>
      <c r="F24" s="96">
        <f t="shared" si="0"/>
        <v>88.649999999999991</v>
      </c>
    </row>
    <row r="25" spans="1:26" ht="15.75" customHeight="1" x14ac:dyDescent="0.3">
      <c r="A25" s="212"/>
      <c r="B25" s="95">
        <v>110000</v>
      </c>
      <c r="C25" s="87">
        <f>'W7 DIESEL 120K'!N27</f>
        <v>0</v>
      </c>
      <c r="D25" s="87">
        <f>'W7 DIESEL 120K'!N20</f>
        <v>0</v>
      </c>
      <c r="E25" s="87">
        <f>'W7 DIESEL 120K'!N21</f>
        <v>0</v>
      </c>
      <c r="F25" s="96">
        <f t="shared" si="0"/>
        <v>0</v>
      </c>
    </row>
    <row r="26" spans="1:26" ht="15.75" customHeight="1" x14ac:dyDescent="0.3">
      <c r="A26" s="212"/>
      <c r="B26" s="95">
        <v>115000</v>
      </c>
      <c r="C26" s="87">
        <v>40.98</v>
      </c>
      <c r="D26" s="87">
        <v>33.56</v>
      </c>
      <c r="E26" s="87">
        <v>14.11</v>
      </c>
      <c r="F26" s="96">
        <f t="shared" si="0"/>
        <v>88.649999999999991</v>
      </c>
    </row>
    <row r="27" spans="1:26" ht="15.75" customHeight="1" x14ac:dyDescent="0.3">
      <c r="A27" s="212"/>
      <c r="B27" s="95">
        <v>120000</v>
      </c>
      <c r="C27" s="87">
        <f>'W7 DIESEL 120K'!O27</f>
        <v>0</v>
      </c>
      <c r="D27" s="87">
        <f>'W7 DIESEL 120K'!O20</f>
        <v>0</v>
      </c>
      <c r="E27" s="87">
        <f>'W7 DIESEL 120K'!O21</f>
        <v>0</v>
      </c>
      <c r="F27" s="96">
        <f t="shared" si="0"/>
        <v>0</v>
      </c>
    </row>
    <row r="28" spans="1:26" ht="15.75" customHeight="1" x14ac:dyDescent="0.3">
      <c r="A28" s="212"/>
      <c r="B28" s="94" t="s">
        <v>131</v>
      </c>
      <c r="C28" s="97">
        <f t="shared" ref="C28:F28" si="1">SUM(C4:C27)</f>
        <v>952.40000000000009</v>
      </c>
      <c r="D28" s="97">
        <f t="shared" si="1"/>
        <v>1072.3999999999999</v>
      </c>
      <c r="E28" s="97">
        <f t="shared" si="1"/>
        <v>1416.1099999999994</v>
      </c>
      <c r="F28" s="98">
        <f t="shared" si="1"/>
        <v>3440.9100000000008</v>
      </c>
      <c r="G28" s="93"/>
      <c r="H28" s="99"/>
      <c r="I28" s="93"/>
      <c r="J28" s="93"/>
      <c r="K28" s="93"/>
      <c r="L28" s="93"/>
      <c r="M28" s="93"/>
      <c r="N28" s="93"/>
      <c r="O28" s="93"/>
      <c r="P28" s="93"/>
      <c r="Q28" s="93"/>
      <c r="R28" s="93"/>
      <c r="S28" s="93"/>
      <c r="T28" s="93"/>
      <c r="U28" s="93"/>
      <c r="V28" s="93"/>
      <c r="W28" s="93"/>
      <c r="X28" s="93"/>
      <c r="Y28" s="93"/>
      <c r="Z28" s="93"/>
    </row>
    <row r="29" spans="1:26" ht="50.25" customHeight="1" x14ac:dyDescent="0.3">
      <c r="A29" s="213"/>
      <c r="B29" s="94" t="s">
        <v>132</v>
      </c>
      <c r="C29" s="97">
        <f t="shared" ref="C29:E29" si="2">C28*$F$2</f>
        <v>20000.400000000001</v>
      </c>
      <c r="D29" s="97">
        <f t="shared" si="2"/>
        <v>22520.399999999998</v>
      </c>
      <c r="E29" s="97">
        <f t="shared" si="2"/>
        <v>29738.309999999987</v>
      </c>
      <c r="F29" s="98">
        <f t="shared" ref="F29:F33" si="3">SUM(C29:E29)</f>
        <v>72259.109999999986</v>
      </c>
      <c r="G29" s="100"/>
      <c r="H29" s="101"/>
      <c r="I29" s="100"/>
      <c r="J29" s="100"/>
      <c r="K29" s="100"/>
      <c r="L29" s="100"/>
      <c r="M29" s="100"/>
      <c r="N29" s="100"/>
      <c r="O29" s="100"/>
      <c r="P29" s="100"/>
      <c r="Q29" s="100"/>
      <c r="R29" s="100"/>
      <c r="S29" s="100"/>
      <c r="T29" s="100"/>
      <c r="U29" s="100"/>
      <c r="V29" s="100"/>
      <c r="W29" s="100"/>
      <c r="X29" s="100"/>
      <c r="Y29" s="100"/>
      <c r="Z29" s="100"/>
    </row>
    <row r="30" spans="1:26" ht="63.75" customHeight="1" x14ac:dyDescent="0.3">
      <c r="A30" s="210" t="s">
        <v>133</v>
      </c>
      <c r="B30" s="206"/>
      <c r="C30" s="97">
        <f t="shared" ref="C30:E30" si="4">C29*0.3</f>
        <v>6000.12</v>
      </c>
      <c r="D30" s="97">
        <f t="shared" si="4"/>
        <v>6756.119999999999</v>
      </c>
      <c r="E30" s="97">
        <f t="shared" si="4"/>
        <v>8921.4929999999949</v>
      </c>
      <c r="F30" s="98">
        <f t="shared" si="3"/>
        <v>21677.732999999993</v>
      </c>
      <c r="G30" s="100"/>
      <c r="H30" s="101"/>
      <c r="I30" s="100"/>
      <c r="J30" s="100"/>
      <c r="K30" s="100"/>
      <c r="L30" s="100"/>
      <c r="M30" s="100"/>
      <c r="N30" s="100"/>
      <c r="O30" s="100"/>
      <c r="P30" s="100"/>
      <c r="Q30" s="100"/>
      <c r="R30" s="100"/>
      <c r="S30" s="100"/>
      <c r="T30" s="100"/>
      <c r="U30" s="100"/>
      <c r="V30" s="100"/>
      <c r="W30" s="100"/>
      <c r="X30" s="100"/>
      <c r="Y30" s="100"/>
      <c r="Z30" s="100"/>
    </row>
    <row r="31" spans="1:26" ht="45" customHeight="1" x14ac:dyDescent="0.3">
      <c r="A31" s="207" t="s">
        <v>27</v>
      </c>
      <c r="B31" s="208"/>
      <c r="C31" s="102">
        <f t="shared" ref="C31:E31" si="5">C29+C30</f>
        <v>26000.52</v>
      </c>
      <c r="D31" s="102">
        <f t="shared" si="5"/>
        <v>29276.519999999997</v>
      </c>
      <c r="E31" s="102">
        <f t="shared" si="5"/>
        <v>38659.802999999985</v>
      </c>
      <c r="F31" s="103">
        <f t="shared" si="3"/>
        <v>93936.842999999979</v>
      </c>
      <c r="G31" s="100"/>
      <c r="H31" s="101"/>
      <c r="I31" s="100"/>
      <c r="J31" s="100"/>
      <c r="K31" s="100"/>
      <c r="L31" s="100"/>
      <c r="M31" s="100"/>
      <c r="N31" s="100"/>
      <c r="O31" s="100"/>
      <c r="P31" s="100"/>
      <c r="Q31" s="100"/>
      <c r="R31" s="100"/>
      <c r="S31" s="100"/>
      <c r="T31" s="100"/>
      <c r="U31" s="100"/>
      <c r="V31" s="100"/>
      <c r="W31" s="100"/>
      <c r="X31" s="100"/>
      <c r="Y31" s="100"/>
      <c r="Z31" s="100"/>
    </row>
    <row r="32" spans="1:26" ht="15.75" customHeight="1" x14ac:dyDescent="0.3">
      <c r="A32" s="104"/>
      <c r="B32" s="105" t="s">
        <v>71</v>
      </c>
      <c r="C32" s="106">
        <f t="shared" ref="C32:E32" si="6">C31*0.12</f>
        <v>3120.0623999999998</v>
      </c>
      <c r="D32" s="106">
        <f t="shared" si="6"/>
        <v>3513.1823999999997</v>
      </c>
      <c r="E32" s="106">
        <f t="shared" si="6"/>
        <v>4639.1763599999977</v>
      </c>
      <c r="F32" s="107">
        <f t="shared" si="3"/>
        <v>11272.421159999998</v>
      </c>
    </row>
    <row r="33" spans="1:6" ht="15.75" customHeight="1" x14ac:dyDescent="0.3">
      <c r="A33" s="108"/>
      <c r="B33" s="109" t="s">
        <v>27</v>
      </c>
      <c r="C33" s="110">
        <f t="shared" ref="C33:E33" si="7">SUM(C31:C32)</f>
        <v>29120.582399999999</v>
      </c>
      <c r="D33" s="110">
        <f t="shared" si="7"/>
        <v>32789.702399999995</v>
      </c>
      <c r="E33" s="110">
        <f t="shared" si="7"/>
        <v>43298.979359999983</v>
      </c>
      <c r="F33" s="111">
        <f t="shared" si="3"/>
        <v>105209.26415999998</v>
      </c>
    </row>
    <row r="34" spans="1:6" ht="15.75" customHeight="1" x14ac:dyDescent="0.3"/>
    <row r="35" spans="1:6" ht="15.75" customHeight="1" x14ac:dyDescent="0.3"/>
    <row r="36" spans="1:6" ht="15.75" customHeight="1" x14ac:dyDescent="0.3"/>
    <row r="37" spans="1:6" ht="15.75" customHeight="1" x14ac:dyDescent="0.3"/>
    <row r="38" spans="1:6" ht="15.75" customHeight="1" x14ac:dyDescent="0.3"/>
    <row r="39" spans="1:6" ht="15.75" customHeight="1" x14ac:dyDescent="0.3"/>
    <row r="40" spans="1:6" ht="15.75" customHeight="1" x14ac:dyDescent="0.3"/>
    <row r="41" spans="1:6" ht="15.75" customHeight="1" x14ac:dyDescent="0.3"/>
    <row r="42" spans="1:6" ht="15.75" customHeight="1" x14ac:dyDescent="0.3"/>
    <row r="43" spans="1:6" ht="15.75" customHeight="1" x14ac:dyDescent="0.3"/>
    <row r="44" spans="1:6" ht="15.75" customHeight="1" x14ac:dyDescent="0.3"/>
    <row r="45" spans="1:6" ht="15.75" customHeight="1" x14ac:dyDescent="0.3"/>
    <row r="46" spans="1:6" ht="15.75" customHeight="1" x14ac:dyDescent="0.3"/>
    <row r="47" spans="1:6" ht="15.75" customHeight="1" x14ac:dyDescent="0.3"/>
    <row r="48" spans="1:6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6">
    <mergeCell ref="A31:B31"/>
    <mergeCell ref="A1:F1"/>
    <mergeCell ref="A2:E2"/>
    <mergeCell ref="A3:B3"/>
    <mergeCell ref="A4:A29"/>
    <mergeCell ref="A30:B30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workbookViewId="0"/>
  </sheetViews>
  <sheetFormatPr baseColWidth="10" defaultColWidth="14.44140625" defaultRowHeight="15" customHeight="1" x14ac:dyDescent="0.3"/>
  <cols>
    <col min="1" max="3" width="10.6640625" customWidth="1"/>
    <col min="4" max="4" width="72.5546875" customWidth="1"/>
    <col min="5" max="5" width="13.5546875" customWidth="1"/>
    <col min="6" max="7" width="10.6640625" customWidth="1"/>
    <col min="8" max="8" width="14.109375" customWidth="1"/>
    <col min="9" max="26" width="10.6640625" customWidth="1"/>
  </cols>
  <sheetData>
    <row r="1" spans="1:26" ht="14.4" x14ac:dyDescent="0.3">
      <c r="B1" s="204" t="s">
        <v>134</v>
      </c>
      <c r="C1" s="205"/>
      <c r="D1" s="205"/>
      <c r="E1" s="205"/>
      <c r="F1" s="205"/>
      <c r="G1" s="205"/>
      <c r="H1" s="206"/>
    </row>
    <row r="2" spans="1:26" ht="28.8" x14ac:dyDescent="0.3">
      <c r="A2" s="93"/>
      <c r="B2" s="94" t="s">
        <v>63</v>
      </c>
      <c r="C2" s="94" t="s">
        <v>135</v>
      </c>
      <c r="D2" s="74" t="s">
        <v>136</v>
      </c>
      <c r="E2" s="94" t="s">
        <v>137</v>
      </c>
      <c r="F2" s="94" t="s">
        <v>138</v>
      </c>
      <c r="G2" s="94" t="s">
        <v>139</v>
      </c>
      <c r="H2" s="94" t="s">
        <v>140</v>
      </c>
      <c r="I2" s="93"/>
      <c r="J2" s="93"/>
      <c r="K2" s="93"/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  <c r="Y2" s="93"/>
      <c r="Z2" s="93"/>
    </row>
    <row r="3" spans="1:26" ht="14.4" x14ac:dyDescent="0.3">
      <c r="B3" s="112">
        <v>1</v>
      </c>
      <c r="C3" s="113"/>
      <c r="D3" s="113" t="s">
        <v>141</v>
      </c>
      <c r="E3" s="112">
        <v>18</v>
      </c>
      <c r="F3" s="112" t="s">
        <v>138</v>
      </c>
      <c r="G3" s="114">
        <v>59.59</v>
      </c>
      <c r="H3" s="115">
        <f t="shared" ref="H3:H15" si="0">E3*G3</f>
        <v>1072.6200000000001</v>
      </c>
    </row>
    <row r="4" spans="1:26" ht="14.4" x14ac:dyDescent="0.3">
      <c r="B4" s="112">
        <v>2</v>
      </c>
      <c r="C4" s="116"/>
      <c r="D4" s="113" t="s">
        <v>142</v>
      </c>
      <c r="E4" s="112">
        <v>18</v>
      </c>
      <c r="F4" s="112" t="s">
        <v>138</v>
      </c>
      <c r="G4" s="114">
        <v>70.739999999999995</v>
      </c>
      <c r="H4" s="115">
        <f t="shared" si="0"/>
        <v>1273.32</v>
      </c>
    </row>
    <row r="5" spans="1:26" ht="14.4" x14ac:dyDescent="0.3">
      <c r="B5" s="112">
        <v>3</v>
      </c>
      <c r="C5" s="116"/>
      <c r="D5" s="113" t="s">
        <v>143</v>
      </c>
      <c r="E5" s="112">
        <v>9</v>
      </c>
      <c r="F5" s="112" t="s">
        <v>138</v>
      </c>
      <c r="G5" s="114">
        <v>95</v>
      </c>
      <c r="H5" s="115">
        <f t="shared" si="0"/>
        <v>855</v>
      </c>
    </row>
    <row r="6" spans="1:26" ht="14.4" x14ac:dyDescent="0.3">
      <c r="B6" s="112">
        <v>4</v>
      </c>
      <c r="C6" s="116"/>
      <c r="D6" s="113" t="s">
        <v>144</v>
      </c>
      <c r="E6" s="112">
        <v>9</v>
      </c>
      <c r="F6" s="112" t="s">
        <v>138</v>
      </c>
      <c r="G6" s="114">
        <v>135</v>
      </c>
      <c r="H6" s="115">
        <f t="shared" si="0"/>
        <v>1215</v>
      </c>
    </row>
    <row r="7" spans="1:26" ht="14.4" x14ac:dyDescent="0.3">
      <c r="B7" s="112">
        <v>5</v>
      </c>
      <c r="C7" s="116"/>
      <c r="D7" s="113" t="s">
        <v>145</v>
      </c>
      <c r="E7" s="112">
        <v>9</v>
      </c>
      <c r="F7" s="112" t="s">
        <v>138</v>
      </c>
      <c r="G7" s="114">
        <v>27.63</v>
      </c>
      <c r="H7" s="115">
        <f t="shared" si="0"/>
        <v>248.67</v>
      </c>
    </row>
    <row r="8" spans="1:26" ht="14.4" x14ac:dyDescent="0.3">
      <c r="B8" s="112">
        <v>6</v>
      </c>
      <c r="C8" s="116"/>
      <c r="D8" s="113" t="s">
        <v>146</v>
      </c>
      <c r="E8" s="112">
        <v>9</v>
      </c>
      <c r="F8" s="112" t="s">
        <v>138</v>
      </c>
      <c r="G8" s="114">
        <v>26.6</v>
      </c>
      <c r="H8" s="115">
        <f t="shared" si="0"/>
        <v>239.4</v>
      </c>
    </row>
    <row r="9" spans="1:26" ht="14.4" x14ac:dyDescent="0.3">
      <c r="B9" s="112">
        <v>7</v>
      </c>
      <c r="C9" s="116"/>
      <c r="D9" s="113" t="s">
        <v>147</v>
      </c>
      <c r="E9" s="112">
        <v>9</v>
      </c>
      <c r="F9" s="112" t="s">
        <v>138</v>
      </c>
      <c r="G9" s="114">
        <v>123.23</v>
      </c>
      <c r="H9" s="115">
        <f t="shared" si="0"/>
        <v>1109.07</v>
      </c>
    </row>
    <row r="10" spans="1:26" ht="14.4" x14ac:dyDescent="0.3">
      <c r="B10" s="112">
        <v>8</v>
      </c>
      <c r="C10" s="116"/>
      <c r="D10" s="113" t="s">
        <v>148</v>
      </c>
      <c r="E10" s="112">
        <v>9</v>
      </c>
      <c r="F10" s="112" t="s">
        <v>138</v>
      </c>
      <c r="G10" s="114">
        <v>72.599999999999994</v>
      </c>
      <c r="H10" s="115">
        <f t="shared" si="0"/>
        <v>653.4</v>
      </c>
    </row>
    <row r="11" spans="1:26" ht="14.4" x14ac:dyDescent="0.3">
      <c r="B11" s="112">
        <v>9</v>
      </c>
      <c r="C11" s="113"/>
      <c r="D11" s="113" t="s">
        <v>149</v>
      </c>
      <c r="E11" s="112">
        <v>27</v>
      </c>
      <c r="F11" s="112" t="s">
        <v>138</v>
      </c>
      <c r="G11" s="114">
        <v>55</v>
      </c>
      <c r="H11" s="115">
        <f t="shared" si="0"/>
        <v>1485</v>
      </c>
    </row>
    <row r="12" spans="1:26" ht="14.4" x14ac:dyDescent="0.3">
      <c r="B12" s="112">
        <v>10</v>
      </c>
      <c r="C12" s="113"/>
      <c r="D12" s="113" t="s">
        <v>150</v>
      </c>
      <c r="E12" s="112">
        <v>9</v>
      </c>
      <c r="F12" s="112" t="s">
        <v>138</v>
      </c>
      <c r="G12" s="114">
        <v>16.5</v>
      </c>
      <c r="H12" s="115">
        <f t="shared" si="0"/>
        <v>148.5</v>
      </c>
    </row>
    <row r="13" spans="1:26" ht="14.4" x14ac:dyDescent="0.3">
      <c r="B13" s="112">
        <v>11</v>
      </c>
      <c r="C13" s="113"/>
      <c r="D13" s="113" t="s">
        <v>151</v>
      </c>
      <c r="E13" s="112">
        <v>9</v>
      </c>
      <c r="F13" s="112" t="s">
        <v>138</v>
      </c>
      <c r="G13" s="114">
        <v>16.5</v>
      </c>
      <c r="H13" s="115">
        <f t="shared" si="0"/>
        <v>148.5</v>
      </c>
    </row>
    <row r="14" spans="1:26" ht="14.4" x14ac:dyDescent="0.3">
      <c r="B14" s="112">
        <v>12</v>
      </c>
      <c r="C14" s="116"/>
      <c r="D14" s="113" t="s">
        <v>152</v>
      </c>
      <c r="E14" s="112">
        <v>9</v>
      </c>
      <c r="F14" s="112" t="s">
        <v>138</v>
      </c>
      <c r="G14" s="114">
        <v>123.75</v>
      </c>
      <c r="H14" s="115">
        <f t="shared" si="0"/>
        <v>1113.75</v>
      </c>
    </row>
    <row r="15" spans="1:26" ht="14.4" x14ac:dyDescent="0.3">
      <c r="B15" s="112">
        <v>13</v>
      </c>
      <c r="C15" s="116"/>
      <c r="D15" s="113" t="s">
        <v>153</v>
      </c>
      <c r="E15" s="112">
        <v>9</v>
      </c>
      <c r="F15" s="112" t="s">
        <v>138</v>
      </c>
      <c r="G15" s="114">
        <v>17.82</v>
      </c>
      <c r="H15" s="115">
        <f t="shared" si="0"/>
        <v>160.38</v>
      </c>
    </row>
    <row r="16" spans="1:26" ht="14.4" x14ac:dyDescent="0.3">
      <c r="B16" s="214" t="s">
        <v>154</v>
      </c>
      <c r="C16" s="205"/>
      <c r="D16" s="205"/>
      <c r="E16" s="205"/>
      <c r="F16" s="205"/>
      <c r="G16" s="206"/>
      <c r="H16" s="117">
        <f>SUM(H3:H15)</f>
        <v>9722.6099999999988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2">
    <mergeCell ref="B1:H1"/>
    <mergeCell ref="B16:G16"/>
  </mergeCells>
  <pageMargins left="0.7" right="0.7" top="0.75" bottom="0.75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A999"/>
  <sheetViews>
    <sheetView tabSelected="1" workbookViewId="0">
      <pane xSplit="2" ySplit="2" topLeftCell="Q12" activePane="bottomRight" state="frozen"/>
      <selection pane="topRight" activeCell="C1" sqref="C1"/>
      <selection pane="bottomLeft" activeCell="A3" sqref="A3"/>
      <selection pane="bottomRight" activeCell="A16" sqref="A16"/>
    </sheetView>
  </sheetViews>
  <sheetFormatPr baseColWidth="10" defaultColWidth="14.44140625" defaultRowHeight="15" customHeight="1" x14ac:dyDescent="0.3"/>
  <cols>
    <col min="1" max="1" width="56.88671875" customWidth="1"/>
    <col min="2" max="2" width="13" hidden="1" customWidth="1"/>
    <col min="3" max="27" width="10.6640625" customWidth="1"/>
  </cols>
  <sheetData>
    <row r="1" spans="1:27" ht="14.4" x14ac:dyDescent="0.3">
      <c r="A1" s="201" t="s">
        <v>155</v>
      </c>
      <c r="B1" s="202"/>
      <c r="C1" s="202"/>
      <c r="D1" s="202"/>
      <c r="E1" s="202"/>
      <c r="F1" s="202"/>
      <c r="G1" s="202"/>
      <c r="H1" s="202"/>
      <c r="I1" s="202"/>
      <c r="J1" s="202"/>
      <c r="K1" s="202"/>
      <c r="L1" s="202"/>
      <c r="M1" s="202"/>
      <c r="N1" s="202"/>
      <c r="O1" s="202"/>
      <c r="P1" s="202"/>
      <c r="Q1" s="202"/>
      <c r="R1" s="202"/>
      <c r="S1" s="202"/>
      <c r="T1" s="202"/>
      <c r="U1" s="202"/>
      <c r="V1" s="202"/>
      <c r="W1" s="202"/>
      <c r="X1" s="202"/>
      <c r="Y1" s="202"/>
      <c r="Z1" s="203"/>
    </row>
    <row r="2" spans="1:27" x14ac:dyDescent="0.3">
      <c r="A2" s="183" t="s">
        <v>44</v>
      </c>
      <c r="B2" s="184" t="s">
        <v>1</v>
      </c>
      <c r="C2" s="185">
        <v>5000</v>
      </c>
      <c r="D2" s="185">
        <v>10000</v>
      </c>
      <c r="E2" s="185">
        <v>15000</v>
      </c>
      <c r="F2" s="185">
        <v>20000</v>
      </c>
      <c r="G2" s="185">
        <v>25000</v>
      </c>
      <c r="H2" s="185">
        <v>30000</v>
      </c>
      <c r="I2" s="185">
        <v>35000</v>
      </c>
      <c r="J2" s="185">
        <v>40000</v>
      </c>
      <c r="K2" s="185">
        <v>45000</v>
      </c>
      <c r="L2" s="185">
        <v>50000</v>
      </c>
      <c r="M2" s="185">
        <v>55000</v>
      </c>
      <c r="N2" s="185">
        <v>60000</v>
      </c>
      <c r="O2" s="185">
        <v>65000</v>
      </c>
      <c r="P2" s="185">
        <v>70000</v>
      </c>
      <c r="Q2" s="185">
        <v>75000</v>
      </c>
      <c r="R2" s="185">
        <v>80000</v>
      </c>
      <c r="S2" s="185">
        <v>85000</v>
      </c>
      <c r="T2" s="185">
        <v>90000</v>
      </c>
      <c r="U2" s="185">
        <v>95000</v>
      </c>
      <c r="V2" s="185">
        <v>100000</v>
      </c>
      <c r="W2" s="185">
        <v>105000</v>
      </c>
      <c r="X2" s="185">
        <v>110000</v>
      </c>
      <c r="Y2" s="185">
        <v>115000</v>
      </c>
      <c r="Z2" s="186">
        <v>120000</v>
      </c>
    </row>
    <row r="3" spans="1:27" ht="14.4" x14ac:dyDescent="0.3">
      <c r="A3" s="6" t="s">
        <v>45</v>
      </c>
      <c r="B3" s="8">
        <f>'W7 DIESEL 120K'!U2</f>
        <v>40.98</v>
      </c>
      <c r="C3" s="8">
        <v>43.8</v>
      </c>
      <c r="D3" s="8">
        <v>43.8</v>
      </c>
      <c r="E3" s="8">
        <v>43.8</v>
      </c>
      <c r="F3" s="8">
        <v>43.8</v>
      </c>
      <c r="G3" s="8">
        <v>43.8</v>
      </c>
      <c r="H3" s="8">
        <v>43.8</v>
      </c>
      <c r="I3" s="8">
        <v>43.8</v>
      </c>
      <c r="J3" s="8">
        <v>43.8</v>
      </c>
      <c r="K3" s="8">
        <v>43.8</v>
      </c>
      <c r="L3" s="8">
        <v>43.8</v>
      </c>
      <c r="M3" s="8">
        <v>43.8</v>
      </c>
      <c r="N3" s="8">
        <v>43.8</v>
      </c>
      <c r="O3" s="8">
        <v>43.8</v>
      </c>
      <c r="P3" s="8">
        <v>43.8</v>
      </c>
      <c r="Q3" s="8">
        <v>43.8</v>
      </c>
      <c r="R3" s="8">
        <v>43.8</v>
      </c>
      <c r="S3" s="8">
        <v>43.8</v>
      </c>
      <c r="T3" s="8">
        <v>43.8</v>
      </c>
      <c r="U3" s="8">
        <v>43.8</v>
      </c>
      <c r="V3" s="8">
        <v>43.8</v>
      </c>
      <c r="W3" s="8">
        <v>43.8</v>
      </c>
      <c r="X3" s="8">
        <v>43.8</v>
      </c>
      <c r="Y3" s="8">
        <v>43.8</v>
      </c>
      <c r="Z3" s="8">
        <v>43.8</v>
      </c>
    </row>
    <row r="4" spans="1:27" ht="14.4" x14ac:dyDescent="0.3">
      <c r="A4" s="6" t="s">
        <v>46</v>
      </c>
      <c r="B4" s="8" t="e">
        <f>'W7 DIESEL 120K'!#REF!</f>
        <v>#REF!</v>
      </c>
      <c r="C4" s="8">
        <v>25.65</v>
      </c>
      <c r="D4" s="8"/>
      <c r="E4" s="8"/>
      <c r="F4" s="8"/>
      <c r="G4" s="8"/>
      <c r="H4" s="8"/>
      <c r="I4" s="8"/>
      <c r="J4" s="8"/>
      <c r="K4" s="8"/>
      <c r="L4" s="8">
        <v>25.65</v>
      </c>
      <c r="M4" s="8"/>
      <c r="N4" s="8"/>
      <c r="O4" s="8"/>
      <c r="P4" s="8"/>
      <c r="Q4" s="8"/>
      <c r="R4" s="8"/>
      <c r="S4" s="8"/>
      <c r="T4" s="8"/>
      <c r="U4" s="8"/>
      <c r="V4" s="8">
        <v>25.65</v>
      </c>
      <c r="W4" s="8"/>
      <c r="X4" s="8"/>
      <c r="Y4" s="8"/>
      <c r="Z4" s="9"/>
    </row>
    <row r="5" spans="1:27" ht="14.4" x14ac:dyDescent="0.3">
      <c r="A5" s="6" t="s">
        <v>47</v>
      </c>
      <c r="B5" s="8" t="e">
        <f>'W7 DIESEL 120K'!#REF!</f>
        <v>#REF!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9"/>
    </row>
    <row r="6" spans="1:27" ht="14.4" x14ac:dyDescent="0.3">
      <c r="A6" s="6" t="s">
        <v>48</v>
      </c>
      <c r="B6" s="8"/>
      <c r="C6" s="8">
        <v>24.18</v>
      </c>
      <c r="D6" s="8"/>
      <c r="E6" s="8"/>
      <c r="F6" s="8"/>
      <c r="G6" s="8"/>
      <c r="H6" s="8"/>
      <c r="I6" s="8"/>
      <c r="J6" s="8"/>
      <c r="K6" s="8"/>
      <c r="L6" s="8">
        <v>24.18</v>
      </c>
      <c r="M6" s="8"/>
      <c r="N6" s="8"/>
      <c r="O6" s="8"/>
      <c r="P6" s="8"/>
      <c r="Q6" s="8"/>
      <c r="R6" s="8"/>
      <c r="S6" s="8"/>
      <c r="T6" s="8"/>
      <c r="U6" s="8"/>
      <c r="V6" s="8">
        <v>24.18</v>
      </c>
      <c r="W6" s="8"/>
      <c r="X6" s="8"/>
      <c r="Y6" s="8"/>
      <c r="Z6" s="9"/>
    </row>
    <row r="7" spans="1:27" ht="14.4" x14ac:dyDescent="0.3">
      <c r="A7" s="6" t="s">
        <v>49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9"/>
    </row>
    <row r="8" spans="1:27" ht="14.4" x14ac:dyDescent="0.3">
      <c r="A8" s="36" t="s">
        <v>50</v>
      </c>
      <c r="B8" s="76"/>
      <c r="C8" s="77"/>
      <c r="D8" s="77"/>
      <c r="E8" s="77"/>
      <c r="F8" s="77"/>
      <c r="G8" s="77"/>
      <c r="H8" s="77"/>
      <c r="I8" s="77"/>
      <c r="J8" s="77"/>
      <c r="K8" s="77"/>
      <c r="L8" s="77">
        <v>35.44</v>
      </c>
      <c r="M8" s="77"/>
      <c r="N8" s="77"/>
      <c r="O8" s="77"/>
      <c r="P8" s="77"/>
      <c r="Q8" s="77"/>
      <c r="R8" s="77"/>
      <c r="S8" s="77"/>
      <c r="T8" s="77"/>
      <c r="U8" s="77"/>
      <c r="V8" s="77">
        <v>35.44</v>
      </c>
      <c r="W8" s="77"/>
      <c r="X8" s="77"/>
      <c r="Y8" s="77"/>
      <c r="Z8" s="78"/>
    </row>
    <row r="9" spans="1:27" ht="14.4" x14ac:dyDescent="0.3">
      <c r="A9" s="36" t="s">
        <v>20</v>
      </c>
      <c r="B9" s="77">
        <f>'W7 DIESEL 120K'!U3</f>
        <v>6.01</v>
      </c>
      <c r="C9" s="77"/>
      <c r="D9" s="77"/>
      <c r="E9" s="77"/>
      <c r="F9" s="77"/>
      <c r="G9" s="77"/>
      <c r="H9" s="77">
        <v>17.22</v>
      </c>
      <c r="I9" s="77"/>
      <c r="J9" s="77"/>
      <c r="K9" s="77"/>
      <c r="L9" s="77"/>
      <c r="M9" s="77"/>
      <c r="N9" s="77">
        <v>17.22</v>
      </c>
      <c r="O9" s="77"/>
      <c r="P9" s="77"/>
      <c r="Q9" s="77"/>
      <c r="R9" s="77"/>
      <c r="S9" s="77"/>
      <c r="T9" s="77">
        <v>17.22</v>
      </c>
      <c r="U9" s="77"/>
      <c r="V9" s="77"/>
      <c r="W9" s="77"/>
      <c r="X9" s="77"/>
      <c r="Y9" s="77"/>
      <c r="Z9" s="77">
        <v>17.22</v>
      </c>
    </row>
    <row r="10" spans="1:27" ht="14.4" x14ac:dyDescent="0.3">
      <c r="A10" s="174" t="s">
        <v>51</v>
      </c>
      <c r="B10" s="175"/>
      <c r="C10" s="175">
        <f t="shared" ref="C10:Z10" si="0">SUM(C3:C9)</f>
        <v>93.63</v>
      </c>
      <c r="D10" s="175">
        <f t="shared" si="0"/>
        <v>43.8</v>
      </c>
      <c r="E10" s="175">
        <f t="shared" si="0"/>
        <v>43.8</v>
      </c>
      <c r="F10" s="175">
        <f t="shared" si="0"/>
        <v>43.8</v>
      </c>
      <c r="G10" s="175">
        <f t="shared" si="0"/>
        <v>43.8</v>
      </c>
      <c r="H10" s="175">
        <f t="shared" si="0"/>
        <v>61.019999999999996</v>
      </c>
      <c r="I10" s="175">
        <f t="shared" si="0"/>
        <v>43.8</v>
      </c>
      <c r="J10" s="175">
        <f t="shared" si="0"/>
        <v>43.8</v>
      </c>
      <c r="K10" s="175">
        <f t="shared" si="0"/>
        <v>43.8</v>
      </c>
      <c r="L10" s="175">
        <f t="shared" si="0"/>
        <v>129.07</v>
      </c>
      <c r="M10" s="175">
        <f t="shared" si="0"/>
        <v>43.8</v>
      </c>
      <c r="N10" s="175">
        <f t="shared" si="0"/>
        <v>61.019999999999996</v>
      </c>
      <c r="O10" s="175">
        <f t="shared" si="0"/>
        <v>43.8</v>
      </c>
      <c r="P10" s="175">
        <f t="shared" si="0"/>
        <v>43.8</v>
      </c>
      <c r="Q10" s="175">
        <f t="shared" si="0"/>
        <v>43.8</v>
      </c>
      <c r="R10" s="175">
        <f t="shared" si="0"/>
        <v>43.8</v>
      </c>
      <c r="S10" s="175">
        <f t="shared" si="0"/>
        <v>43.8</v>
      </c>
      <c r="T10" s="175">
        <f t="shared" si="0"/>
        <v>61.019999999999996</v>
      </c>
      <c r="U10" s="175">
        <f t="shared" si="0"/>
        <v>43.8</v>
      </c>
      <c r="V10" s="175">
        <f t="shared" si="0"/>
        <v>129.07</v>
      </c>
      <c r="W10" s="175">
        <f t="shared" si="0"/>
        <v>43.8</v>
      </c>
      <c r="X10" s="175">
        <f t="shared" si="0"/>
        <v>43.8</v>
      </c>
      <c r="Y10" s="175">
        <f t="shared" si="0"/>
        <v>43.8</v>
      </c>
      <c r="Z10" s="175">
        <f t="shared" si="0"/>
        <v>61.019999999999996</v>
      </c>
      <c r="AA10" s="176">
        <f>SUM(C10:Z10)</f>
        <v>1340.4499999999996</v>
      </c>
    </row>
    <row r="11" spans="1:27" ht="14.4" x14ac:dyDescent="0.3">
      <c r="A11" s="6" t="s">
        <v>4</v>
      </c>
      <c r="B11" s="8">
        <f>'W7 DIESEL 120K'!U3</f>
        <v>6.01</v>
      </c>
      <c r="C11" s="8">
        <v>10.81</v>
      </c>
      <c r="D11" s="8">
        <v>10.81</v>
      </c>
      <c r="E11" s="8">
        <v>10.81</v>
      </c>
      <c r="F11" s="8">
        <v>10.81</v>
      </c>
      <c r="G11" s="8">
        <v>10.81</v>
      </c>
      <c r="H11" s="8">
        <v>10.81</v>
      </c>
      <c r="I11" s="8">
        <v>10.81</v>
      </c>
      <c r="J11" s="8">
        <v>10.81</v>
      </c>
      <c r="K11" s="8">
        <v>10.81</v>
      </c>
      <c r="L11" s="8">
        <v>10.81</v>
      </c>
      <c r="M11" s="8">
        <v>10.81</v>
      </c>
      <c r="N11" s="8">
        <v>10.81</v>
      </c>
      <c r="O11" s="8">
        <v>10.81</v>
      </c>
      <c r="P11" s="8">
        <v>10.81</v>
      </c>
      <c r="Q11" s="8">
        <v>10.81</v>
      </c>
      <c r="R11" s="8">
        <v>10.81</v>
      </c>
      <c r="S11" s="8">
        <v>10.81</v>
      </c>
      <c r="T11" s="8">
        <v>10.81</v>
      </c>
      <c r="U11" s="8">
        <v>10.81</v>
      </c>
      <c r="V11" s="8">
        <v>10.81</v>
      </c>
      <c r="W11" s="8">
        <v>10.81</v>
      </c>
      <c r="X11" s="8">
        <v>10.81</v>
      </c>
      <c r="Y11" s="8">
        <v>10.81</v>
      </c>
      <c r="Z11" s="8">
        <v>10.81</v>
      </c>
    </row>
    <row r="12" spans="1:27" ht="14.4" x14ac:dyDescent="0.3">
      <c r="A12" s="6" t="s">
        <v>220</v>
      </c>
      <c r="B12" s="8">
        <f>'W7 DIESEL 120K'!U4</f>
        <v>6.5</v>
      </c>
      <c r="C12" s="8">
        <v>15.89</v>
      </c>
      <c r="D12" s="8">
        <v>15.89</v>
      </c>
      <c r="E12" s="8">
        <v>15.89</v>
      </c>
      <c r="F12" s="8">
        <v>15.89</v>
      </c>
      <c r="G12" s="8">
        <v>15.89</v>
      </c>
      <c r="H12" s="8">
        <v>15.89</v>
      </c>
      <c r="I12" s="8">
        <v>15.89</v>
      </c>
      <c r="J12" s="8">
        <v>15.89</v>
      </c>
      <c r="K12" s="8">
        <v>15.89</v>
      </c>
      <c r="L12" s="8">
        <v>15.89</v>
      </c>
      <c r="M12" s="8">
        <v>15.89</v>
      </c>
      <c r="N12" s="8">
        <v>15.89</v>
      </c>
      <c r="O12" s="8">
        <v>15.89</v>
      </c>
      <c r="P12" s="8">
        <v>15.89</v>
      </c>
      <c r="Q12" s="8">
        <v>15.89</v>
      </c>
      <c r="R12" s="8">
        <v>15.89</v>
      </c>
      <c r="S12" s="8">
        <v>15.89</v>
      </c>
      <c r="T12" s="8">
        <v>15.89</v>
      </c>
      <c r="U12" s="8">
        <v>15.89</v>
      </c>
      <c r="V12" s="8">
        <v>15.89</v>
      </c>
      <c r="W12" s="8">
        <v>15.89</v>
      </c>
      <c r="X12" s="8">
        <v>15.89</v>
      </c>
      <c r="Y12" s="8">
        <v>15.89</v>
      </c>
      <c r="Z12" s="8">
        <v>15.89</v>
      </c>
    </row>
    <row r="13" spans="1:27" ht="14.4" x14ac:dyDescent="0.3">
      <c r="A13" s="6" t="s">
        <v>7</v>
      </c>
      <c r="B13" s="8">
        <f>'W7 DIESEL 120K'!U6</f>
        <v>0</v>
      </c>
      <c r="C13" s="8"/>
      <c r="D13" s="8">
        <v>15.75</v>
      </c>
      <c r="E13" s="8"/>
      <c r="F13" s="8">
        <v>15.75</v>
      </c>
      <c r="G13" s="8"/>
      <c r="H13" s="8">
        <v>15.75</v>
      </c>
      <c r="I13" s="8"/>
      <c r="J13" s="8">
        <v>15.75</v>
      </c>
      <c r="K13" s="8"/>
      <c r="L13" s="8">
        <v>15.75</v>
      </c>
      <c r="M13" s="8"/>
      <c r="N13" s="8">
        <v>15.75</v>
      </c>
      <c r="O13" s="8"/>
      <c r="P13" s="8">
        <v>15.75</v>
      </c>
      <c r="Q13" s="8"/>
      <c r="R13" s="8">
        <v>15.75</v>
      </c>
      <c r="S13" s="8"/>
      <c r="T13" s="8">
        <v>15.75</v>
      </c>
      <c r="U13" s="8"/>
      <c r="V13" s="8">
        <v>15.75</v>
      </c>
      <c r="W13" s="8"/>
      <c r="X13" s="8">
        <v>15.75</v>
      </c>
      <c r="Y13" s="8"/>
      <c r="Z13" s="8">
        <v>15.75</v>
      </c>
    </row>
    <row r="14" spans="1:27" ht="14.4" x14ac:dyDescent="0.3">
      <c r="A14" s="6" t="s">
        <v>9</v>
      </c>
      <c r="B14" s="8">
        <f>'W7 DIESEL 120K'!U8</f>
        <v>0</v>
      </c>
      <c r="C14" s="8"/>
      <c r="D14" s="8">
        <v>30.79</v>
      </c>
      <c r="E14" s="8"/>
      <c r="F14" s="8">
        <v>30.79</v>
      </c>
      <c r="G14" s="8"/>
      <c r="H14" s="8">
        <v>30.79</v>
      </c>
      <c r="I14" s="8"/>
      <c r="J14" s="8">
        <v>30.79</v>
      </c>
      <c r="K14" s="8"/>
      <c r="L14" s="8">
        <v>30.79</v>
      </c>
      <c r="M14" s="8"/>
      <c r="N14" s="8">
        <v>30.79</v>
      </c>
      <c r="O14" s="8"/>
      <c r="P14" s="8">
        <v>30.79</v>
      </c>
      <c r="Q14" s="8"/>
      <c r="R14" s="8">
        <v>30.79</v>
      </c>
      <c r="S14" s="8"/>
      <c r="T14" s="8">
        <v>30.79</v>
      </c>
      <c r="U14" s="8"/>
      <c r="V14" s="8">
        <v>30.79</v>
      </c>
      <c r="W14" s="8"/>
      <c r="X14" s="8">
        <v>30.79</v>
      </c>
      <c r="Y14" s="8"/>
      <c r="Z14" s="8">
        <v>30.79</v>
      </c>
    </row>
    <row r="15" spans="1:27" ht="14.4" x14ac:dyDescent="0.3">
      <c r="A15" s="6" t="s">
        <v>11</v>
      </c>
      <c r="B15" s="8">
        <f>'W7 DIESEL 120K'!U10</f>
        <v>0</v>
      </c>
      <c r="C15" s="8"/>
      <c r="D15" s="8">
        <v>8.18</v>
      </c>
      <c r="E15" s="8"/>
      <c r="F15" s="8">
        <v>8.18</v>
      </c>
      <c r="G15" s="8"/>
      <c r="H15" s="8">
        <v>8.18</v>
      </c>
      <c r="I15" s="8"/>
      <c r="J15" s="8">
        <v>8.18</v>
      </c>
      <c r="K15" s="8"/>
      <c r="L15" s="8">
        <v>8.18</v>
      </c>
      <c r="M15" s="8"/>
      <c r="N15" s="8">
        <v>8.18</v>
      </c>
      <c r="O15" s="8"/>
      <c r="P15" s="8">
        <v>8.18</v>
      </c>
      <c r="Q15" s="8"/>
      <c r="R15" s="8">
        <v>8.18</v>
      </c>
      <c r="S15" s="8"/>
      <c r="T15" s="8">
        <v>8.18</v>
      </c>
      <c r="U15" s="8"/>
      <c r="V15" s="8">
        <v>8.18</v>
      </c>
      <c r="W15" s="8"/>
      <c r="X15" s="8">
        <v>8.18</v>
      </c>
      <c r="Y15" s="8"/>
      <c r="Z15" s="8">
        <v>8.18</v>
      </c>
    </row>
    <row r="16" spans="1:27" ht="14.4" x14ac:dyDescent="0.3">
      <c r="A16" s="6" t="s">
        <v>12</v>
      </c>
      <c r="B16" s="8">
        <f>'W7 DIESEL 120K'!U11</f>
        <v>0</v>
      </c>
      <c r="C16" s="8"/>
      <c r="D16" s="8">
        <v>5.6</v>
      </c>
      <c r="E16" s="8"/>
      <c r="F16" s="8">
        <v>5.6</v>
      </c>
      <c r="G16" s="8"/>
      <c r="H16" s="8">
        <v>5.6</v>
      </c>
      <c r="I16" s="8"/>
      <c r="J16" s="8">
        <v>5.6</v>
      </c>
      <c r="K16" s="8"/>
      <c r="L16" s="8">
        <v>5.6</v>
      </c>
      <c r="M16" s="8"/>
      <c r="N16" s="8">
        <v>5.6</v>
      </c>
      <c r="O16" s="8"/>
      <c r="P16" s="8">
        <v>5.6</v>
      </c>
      <c r="Q16" s="8"/>
      <c r="R16" s="8">
        <v>5.6</v>
      </c>
      <c r="S16" s="8"/>
      <c r="T16" s="8">
        <v>5.6</v>
      </c>
      <c r="U16" s="8"/>
      <c r="V16" s="8">
        <v>5.6</v>
      </c>
      <c r="W16" s="8"/>
      <c r="X16" s="8">
        <v>5.6</v>
      </c>
      <c r="Y16" s="8"/>
      <c r="Z16" s="8">
        <v>5.6</v>
      </c>
    </row>
    <row r="17" spans="1:27" ht="14.4" x14ac:dyDescent="0.3">
      <c r="A17" s="6" t="s">
        <v>13</v>
      </c>
      <c r="B17" s="8">
        <f>'W7 DIESEL 120K'!U12</f>
        <v>0</v>
      </c>
      <c r="C17" s="8"/>
      <c r="D17" s="8">
        <v>6.02</v>
      </c>
      <c r="E17" s="8"/>
      <c r="F17" s="8">
        <v>6.02</v>
      </c>
      <c r="G17" s="8"/>
      <c r="H17" s="8">
        <v>6.02</v>
      </c>
      <c r="I17" s="8"/>
      <c r="J17" s="8">
        <v>6.02</v>
      </c>
      <c r="K17" s="8"/>
      <c r="L17" s="8">
        <v>6.02</v>
      </c>
      <c r="M17" s="8"/>
      <c r="N17" s="8">
        <v>6.02</v>
      </c>
      <c r="O17" s="8"/>
      <c r="P17" s="8">
        <v>6.02</v>
      </c>
      <c r="Q17" s="8"/>
      <c r="R17" s="8">
        <v>6.02</v>
      </c>
      <c r="S17" s="8"/>
      <c r="T17" s="8">
        <v>6.02</v>
      </c>
      <c r="U17" s="8"/>
      <c r="V17" s="8">
        <v>6.02</v>
      </c>
      <c r="W17" s="8"/>
      <c r="X17" s="8">
        <v>6.02</v>
      </c>
      <c r="Y17" s="8"/>
      <c r="Z17" s="8">
        <v>6.02</v>
      </c>
    </row>
    <row r="18" spans="1:27" ht="14.4" hidden="1" x14ac:dyDescent="0.3">
      <c r="A18" s="6" t="s">
        <v>14</v>
      </c>
      <c r="B18" s="8">
        <f>'W7 DIESEL 120K'!U13</f>
        <v>0</v>
      </c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9"/>
    </row>
    <row r="19" spans="1:27" ht="14.4" x14ac:dyDescent="0.3">
      <c r="A19" s="6" t="s">
        <v>52</v>
      </c>
      <c r="B19" s="8">
        <f>'W7 DIESEL 120K'!U14</f>
        <v>0</v>
      </c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>
        <v>151.24</v>
      </c>
      <c r="W19" s="8"/>
      <c r="X19" s="8"/>
      <c r="Y19" s="8"/>
      <c r="Z19" s="9"/>
    </row>
    <row r="20" spans="1:27" ht="15.75" customHeight="1" x14ac:dyDescent="0.3">
      <c r="A20" s="6" t="s">
        <v>53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>
        <v>10</v>
      </c>
      <c r="M20" s="77"/>
      <c r="N20" s="77"/>
      <c r="O20" s="77"/>
      <c r="P20" s="77"/>
      <c r="Q20" s="77"/>
      <c r="R20" s="77"/>
      <c r="S20" s="77"/>
      <c r="T20" s="77"/>
      <c r="U20" s="77"/>
      <c r="V20" s="77">
        <v>10</v>
      </c>
      <c r="W20" s="77"/>
      <c r="X20" s="77"/>
      <c r="Y20" s="77"/>
      <c r="Z20" s="78"/>
    </row>
    <row r="21" spans="1:27" ht="15.75" customHeight="1" x14ac:dyDescent="0.3">
      <c r="A21" s="36" t="s">
        <v>54</v>
      </c>
      <c r="B21" s="77"/>
      <c r="C21" s="77"/>
      <c r="D21" s="77"/>
      <c r="E21" s="77"/>
      <c r="F21" s="77"/>
      <c r="G21" s="77"/>
      <c r="H21" s="77"/>
      <c r="I21" s="77"/>
      <c r="J21" s="77"/>
      <c r="K21" s="77"/>
      <c r="L21" s="77"/>
      <c r="M21" s="77"/>
      <c r="N21" s="77"/>
      <c r="O21" s="77"/>
      <c r="P21" s="77">
        <v>33.5</v>
      </c>
      <c r="Q21" s="77"/>
      <c r="R21" s="77"/>
      <c r="S21" s="77"/>
      <c r="T21" s="77"/>
      <c r="U21" s="77"/>
      <c r="V21" s="77"/>
      <c r="W21" s="77"/>
      <c r="X21" s="77"/>
      <c r="Y21" s="77"/>
      <c r="Z21" s="78"/>
    </row>
    <row r="22" spans="1:27" ht="15.75" customHeight="1" x14ac:dyDescent="0.3">
      <c r="A22" s="177" t="s">
        <v>21</v>
      </c>
      <c r="B22" s="178" t="e">
        <f>B11+B12+#REF!+B13+B14+#REF!+B15+B16+B17+B19+#REF!+#REF!</f>
        <v>#REF!</v>
      </c>
      <c r="C22" s="178">
        <f t="shared" ref="C22:Z22" si="1">SUM(C11:C21)</f>
        <v>26.700000000000003</v>
      </c>
      <c r="D22" s="178">
        <f t="shared" si="1"/>
        <v>93.04</v>
      </c>
      <c r="E22" s="178">
        <f t="shared" si="1"/>
        <v>26.700000000000003</v>
      </c>
      <c r="F22" s="178">
        <f t="shared" si="1"/>
        <v>93.04</v>
      </c>
      <c r="G22" s="178">
        <f t="shared" si="1"/>
        <v>26.700000000000003</v>
      </c>
      <c r="H22" s="178">
        <f t="shared" si="1"/>
        <v>93.04</v>
      </c>
      <c r="I22" s="178">
        <f t="shared" si="1"/>
        <v>26.700000000000003</v>
      </c>
      <c r="J22" s="178">
        <f t="shared" si="1"/>
        <v>93.04</v>
      </c>
      <c r="K22" s="178">
        <f t="shared" si="1"/>
        <v>26.700000000000003</v>
      </c>
      <c r="L22" s="178">
        <f t="shared" si="1"/>
        <v>103.04</v>
      </c>
      <c r="M22" s="178">
        <f t="shared" si="1"/>
        <v>26.700000000000003</v>
      </c>
      <c r="N22" s="178">
        <f t="shared" si="1"/>
        <v>93.04</v>
      </c>
      <c r="O22" s="178">
        <f t="shared" si="1"/>
        <v>26.700000000000003</v>
      </c>
      <c r="P22" s="178">
        <f t="shared" si="1"/>
        <v>126.54</v>
      </c>
      <c r="Q22" s="178">
        <f t="shared" si="1"/>
        <v>26.700000000000003</v>
      </c>
      <c r="R22" s="178">
        <f t="shared" si="1"/>
        <v>93.04</v>
      </c>
      <c r="S22" s="178">
        <f t="shared" si="1"/>
        <v>26.700000000000003</v>
      </c>
      <c r="T22" s="178">
        <f t="shared" si="1"/>
        <v>93.04</v>
      </c>
      <c r="U22" s="178">
        <f t="shared" si="1"/>
        <v>26.700000000000003</v>
      </c>
      <c r="V22" s="178">
        <f t="shared" si="1"/>
        <v>254.28000000000003</v>
      </c>
      <c r="W22" s="178">
        <f t="shared" si="1"/>
        <v>26.700000000000003</v>
      </c>
      <c r="X22" s="178">
        <f t="shared" si="1"/>
        <v>93.04</v>
      </c>
      <c r="Y22" s="178">
        <f t="shared" si="1"/>
        <v>26.700000000000003</v>
      </c>
      <c r="Z22" s="178">
        <f t="shared" si="1"/>
        <v>93.04</v>
      </c>
      <c r="AA22" s="176">
        <f>SUM(C22:Z22)</f>
        <v>1641.6200000000001</v>
      </c>
    </row>
    <row r="23" spans="1:27" ht="15.75" customHeight="1" x14ac:dyDescent="0.3">
      <c r="A23" s="6" t="s">
        <v>55</v>
      </c>
      <c r="B23" s="8"/>
      <c r="C23" s="8">
        <v>19.399999999999999</v>
      </c>
      <c r="D23" s="8">
        <v>107.5</v>
      </c>
      <c r="E23" s="8">
        <v>14.11</v>
      </c>
      <c r="F23" s="8">
        <v>132.19</v>
      </c>
      <c r="G23" s="8">
        <v>14.11</v>
      </c>
      <c r="H23" s="8">
        <v>125.84</v>
      </c>
      <c r="I23" s="8">
        <v>14.11</v>
      </c>
      <c r="J23" s="8">
        <v>163.94</v>
      </c>
      <c r="K23" s="8">
        <v>14.11</v>
      </c>
      <c r="L23" s="8">
        <v>119.84</v>
      </c>
      <c r="M23" s="8">
        <v>14.11</v>
      </c>
      <c r="N23" s="8">
        <v>147.01</v>
      </c>
      <c r="O23" s="8">
        <v>14.11</v>
      </c>
      <c r="P23" s="8">
        <v>98.68</v>
      </c>
      <c r="Q23" s="8">
        <v>14.11</v>
      </c>
      <c r="R23" s="8">
        <v>132.19</v>
      </c>
      <c r="S23" s="8">
        <v>14.11</v>
      </c>
      <c r="T23" s="8">
        <v>129.37</v>
      </c>
      <c r="U23" s="8">
        <v>14.11</v>
      </c>
      <c r="V23" s="8">
        <v>264.49</v>
      </c>
      <c r="W23" s="8">
        <v>14.11</v>
      </c>
      <c r="X23" s="8">
        <v>107.5</v>
      </c>
      <c r="Y23" s="8">
        <v>14.11</v>
      </c>
      <c r="Z23" s="9">
        <v>132.19</v>
      </c>
      <c r="AA23" s="12"/>
    </row>
    <row r="24" spans="1:27" ht="15.75" customHeight="1" x14ac:dyDescent="0.3">
      <c r="A24" s="31" t="s">
        <v>23</v>
      </c>
      <c r="B24" s="33">
        <v>0</v>
      </c>
      <c r="C24" s="33"/>
      <c r="D24" s="33">
        <v>17.16</v>
      </c>
      <c r="E24" s="33"/>
      <c r="F24" s="33">
        <v>17.16</v>
      </c>
      <c r="G24" s="33"/>
      <c r="H24" s="33">
        <v>17.16</v>
      </c>
      <c r="I24" s="33"/>
      <c r="J24" s="33">
        <v>17.16</v>
      </c>
      <c r="K24" s="33"/>
      <c r="L24" s="33">
        <v>17.16</v>
      </c>
      <c r="M24" s="33"/>
      <c r="N24" s="33">
        <v>17.16</v>
      </c>
      <c r="O24" s="33"/>
      <c r="P24" s="33">
        <v>17.16</v>
      </c>
      <c r="Q24" s="33"/>
      <c r="R24" s="33">
        <v>17.16</v>
      </c>
      <c r="S24" s="33"/>
      <c r="T24" s="33">
        <v>17.16</v>
      </c>
      <c r="U24" s="33"/>
      <c r="V24" s="33">
        <v>17.16</v>
      </c>
      <c r="W24" s="33"/>
      <c r="X24" s="33">
        <v>17.16</v>
      </c>
      <c r="Y24" s="33"/>
      <c r="Z24" s="34">
        <v>17.16</v>
      </c>
      <c r="AA24" s="12"/>
    </row>
    <row r="25" spans="1:27" ht="15.75" customHeight="1" x14ac:dyDescent="0.3">
      <c r="A25" s="6" t="s">
        <v>24</v>
      </c>
      <c r="B25" s="8"/>
      <c r="C25" s="8"/>
      <c r="D25" s="8">
        <v>15.84</v>
      </c>
      <c r="E25" s="8"/>
      <c r="F25" s="8">
        <v>15.84</v>
      </c>
      <c r="G25" s="8"/>
      <c r="H25" s="8">
        <v>15.84</v>
      </c>
      <c r="I25" s="8"/>
      <c r="J25" s="8">
        <v>15.84</v>
      </c>
      <c r="K25" s="8"/>
      <c r="L25" s="8">
        <v>15.84</v>
      </c>
      <c r="M25" s="8"/>
      <c r="N25" s="8">
        <v>15.84</v>
      </c>
      <c r="O25" s="8"/>
      <c r="P25" s="8">
        <v>15.84</v>
      </c>
      <c r="Q25" s="8"/>
      <c r="R25" s="8">
        <v>15.84</v>
      </c>
      <c r="S25" s="8"/>
      <c r="T25" s="8">
        <v>15.84</v>
      </c>
      <c r="U25" s="8"/>
      <c r="V25" s="8">
        <v>15.84</v>
      </c>
      <c r="W25" s="8"/>
      <c r="X25" s="8">
        <v>15.84</v>
      </c>
      <c r="Y25" s="8"/>
      <c r="Z25" s="9">
        <v>15.84</v>
      </c>
      <c r="AA25" s="12"/>
    </row>
    <row r="26" spans="1:27" ht="15.75" customHeight="1" x14ac:dyDescent="0.3">
      <c r="A26" s="36" t="s">
        <v>56</v>
      </c>
      <c r="B26" s="77"/>
      <c r="C26" s="77"/>
      <c r="D26" s="77"/>
      <c r="E26" s="77"/>
      <c r="F26" s="77"/>
      <c r="G26" s="77"/>
      <c r="H26" s="77"/>
      <c r="I26" s="77"/>
      <c r="J26" s="77">
        <v>30</v>
      </c>
      <c r="K26" s="77"/>
      <c r="L26" s="77"/>
      <c r="M26" s="77"/>
      <c r="N26" s="77"/>
      <c r="O26" s="77"/>
      <c r="P26" s="77"/>
      <c r="Q26" s="77"/>
      <c r="R26" s="77">
        <v>30</v>
      </c>
      <c r="S26" s="77"/>
      <c r="T26" s="77"/>
      <c r="U26" s="77"/>
      <c r="V26" s="77"/>
      <c r="W26" s="77"/>
      <c r="X26" s="77"/>
      <c r="Y26" s="77"/>
      <c r="Z26" s="77">
        <v>30</v>
      </c>
      <c r="AA26" s="12"/>
    </row>
    <row r="27" spans="1:27" ht="15.75" customHeight="1" x14ac:dyDescent="0.3">
      <c r="A27" s="36" t="s">
        <v>57</v>
      </c>
      <c r="B27" s="77"/>
      <c r="C27" s="77"/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>
        <v>850</v>
      </c>
      <c r="P27" s="77"/>
      <c r="Q27" s="77"/>
      <c r="R27" s="77"/>
      <c r="S27" s="77"/>
      <c r="T27" s="77"/>
      <c r="U27" s="77"/>
      <c r="V27" s="77"/>
      <c r="W27" s="77"/>
      <c r="X27" s="77"/>
      <c r="Y27" s="77"/>
      <c r="Z27" s="78"/>
      <c r="AA27" s="12"/>
    </row>
    <row r="28" spans="1:27" ht="15.75" customHeight="1" x14ac:dyDescent="0.3">
      <c r="A28" s="36" t="s">
        <v>25</v>
      </c>
      <c r="B28" s="77">
        <v>0</v>
      </c>
      <c r="C28" s="77"/>
      <c r="D28" s="77">
        <v>16.5</v>
      </c>
      <c r="E28" s="77"/>
      <c r="F28" s="77">
        <v>16.5</v>
      </c>
      <c r="G28" s="77"/>
      <c r="H28" s="77">
        <v>16.5</v>
      </c>
      <c r="I28" s="77"/>
      <c r="J28" s="77">
        <v>16.5</v>
      </c>
      <c r="K28" s="77"/>
      <c r="L28" s="77">
        <v>16.5</v>
      </c>
      <c r="M28" s="77"/>
      <c r="N28" s="77">
        <v>16.5</v>
      </c>
      <c r="O28" s="77"/>
      <c r="P28" s="77">
        <v>16.5</v>
      </c>
      <c r="Q28" s="77"/>
      <c r="R28" s="77">
        <v>16.5</v>
      </c>
      <c r="S28" s="77"/>
      <c r="T28" s="77">
        <v>16.5</v>
      </c>
      <c r="U28" s="77"/>
      <c r="V28" s="77">
        <v>16.5</v>
      </c>
      <c r="W28" s="77"/>
      <c r="X28" s="77">
        <v>16.5</v>
      </c>
      <c r="Y28" s="77"/>
      <c r="Z28" s="78">
        <v>16.5</v>
      </c>
      <c r="AA28" s="12"/>
    </row>
    <row r="29" spans="1:27" ht="15.75" customHeight="1" x14ac:dyDescent="0.3">
      <c r="A29" s="174" t="s">
        <v>22</v>
      </c>
      <c r="B29" s="175">
        <f>'W7 DIESEL 120K'!U21</f>
        <v>14.78</v>
      </c>
      <c r="C29" s="175">
        <f t="shared" ref="C29:Z29" si="2">SUM(C23:C28)</f>
        <v>19.399999999999999</v>
      </c>
      <c r="D29" s="175">
        <f t="shared" si="2"/>
        <v>157</v>
      </c>
      <c r="E29" s="175">
        <f t="shared" si="2"/>
        <v>14.11</v>
      </c>
      <c r="F29" s="175">
        <f t="shared" si="2"/>
        <v>181.69</v>
      </c>
      <c r="G29" s="175">
        <f t="shared" si="2"/>
        <v>14.11</v>
      </c>
      <c r="H29" s="175">
        <f t="shared" si="2"/>
        <v>175.34</v>
      </c>
      <c r="I29" s="175">
        <f t="shared" si="2"/>
        <v>14.11</v>
      </c>
      <c r="J29" s="175">
        <f t="shared" si="2"/>
        <v>243.44</v>
      </c>
      <c r="K29" s="175">
        <f t="shared" si="2"/>
        <v>14.11</v>
      </c>
      <c r="L29" s="175">
        <f t="shared" si="2"/>
        <v>169.34</v>
      </c>
      <c r="M29" s="175">
        <f t="shared" si="2"/>
        <v>14.11</v>
      </c>
      <c r="N29" s="175">
        <f t="shared" si="2"/>
        <v>196.51</v>
      </c>
      <c r="O29" s="175">
        <f t="shared" si="2"/>
        <v>864.11</v>
      </c>
      <c r="P29" s="175">
        <f t="shared" si="2"/>
        <v>148.18</v>
      </c>
      <c r="Q29" s="175">
        <f t="shared" si="2"/>
        <v>14.11</v>
      </c>
      <c r="R29" s="175">
        <f t="shared" si="2"/>
        <v>211.69</v>
      </c>
      <c r="S29" s="175">
        <f t="shared" si="2"/>
        <v>14.11</v>
      </c>
      <c r="T29" s="175">
        <f t="shared" si="2"/>
        <v>178.87</v>
      </c>
      <c r="U29" s="175">
        <f t="shared" si="2"/>
        <v>14.11</v>
      </c>
      <c r="V29" s="175">
        <f t="shared" si="2"/>
        <v>313.99</v>
      </c>
      <c r="W29" s="175">
        <f t="shared" si="2"/>
        <v>14.11</v>
      </c>
      <c r="X29" s="175">
        <f t="shared" si="2"/>
        <v>157</v>
      </c>
      <c r="Y29" s="175">
        <f t="shared" si="2"/>
        <v>14.11</v>
      </c>
      <c r="Z29" s="175">
        <f t="shared" si="2"/>
        <v>211.69</v>
      </c>
      <c r="AA29" s="176">
        <f>SUM(C29:Z29)</f>
        <v>3369.3500000000008</v>
      </c>
    </row>
    <row r="30" spans="1:27" ht="15.75" customHeight="1" x14ac:dyDescent="0.3">
      <c r="A30" s="179" t="s">
        <v>58</v>
      </c>
      <c r="B30" s="180"/>
      <c r="C30" s="181">
        <f t="shared" ref="C30:Z30" si="3">C10+C22+C29</f>
        <v>139.72999999999999</v>
      </c>
      <c r="D30" s="181">
        <f t="shared" si="3"/>
        <v>293.84000000000003</v>
      </c>
      <c r="E30" s="181">
        <f t="shared" si="3"/>
        <v>84.61</v>
      </c>
      <c r="F30" s="181">
        <f t="shared" si="3"/>
        <v>318.52999999999997</v>
      </c>
      <c r="G30" s="181">
        <f t="shared" si="3"/>
        <v>84.61</v>
      </c>
      <c r="H30" s="181">
        <f t="shared" si="3"/>
        <v>329.4</v>
      </c>
      <c r="I30" s="181">
        <f t="shared" si="3"/>
        <v>84.61</v>
      </c>
      <c r="J30" s="181">
        <f t="shared" si="3"/>
        <v>380.28</v>
      </c>
      <c r="K30" s="181">
        <f t="shared" si="3"/>
        <v>84.61</v>
      </c>
      <c r="L30" s="181">
        <f t="shared" si="3"/>
        <v>401.45000000000005</v>
      </c>
      <c r="M30" s="181">
        <f t="shared" si="3"/>
        <v>84.61</v>
      </c>
      <c r="N30" s="181">
        <f t="shared" si="3"/>
        <v>350.57</v>
      </c>
      <c r="O30" s="181">
        <f t="shared" si="3"/>
        <v>934.61</v>
      </c>
      <c r="P30" s="181">
        <f t="shared" si="3"/>
        <v>318.52</v>
      </c>
      <c r="Q30" s="181">
        <f t="shared" si="3"/>
        <v>84.61</v>
      </c>
      <c r="R30" s="181">
        <f t="shared" si="3"/>
        <v>348.53</v>
      </c>
      <c r="S30" s="181">
        <f t="shared" si="3"/>
        <v>84.61</v>
      </c>
      <c r="T30" s="181">
        <f t="shared" si="3"/>
        <v>332.93</v>
      </c>
      <c r="U30" s="181">
        <f t="shared" si="3"/>
        <v>84.61</v>
      </c>
      <c r="V30" s="181">
        <f t="shared" si="3"/>
        <v>697.34</v>
      </c>
      <c r="W30" s="181">
        <f t="shared" si="3"/>
        <v>84.61</v>
      </c>
      <c r="X30" s="181">
        <f t="shared" si="3"/>
        <v>293.84000000000003</v>
      </c>
      <c r="Y30" s="181">
        <f t="shared" si="3"/>
        <v>84.61</v>
      </c>
      <c r="Z30" s="181">
        <f t="shared" si="3"/>
        <v>365.75</v>
      </c>
      <c r="AA30" s="54">
        <f>SUM(C30:Z30)</f>
        <v>6351.42</v>
      </c>
    </row>
    <row r="31" spans="1:27" ht="15.75" customHeight="1" x14ac:dyDescent="0.3"/>
    <row r="32" spans="1:27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</sheetData>
  <mergeCells count="1">
    <mergeCell ref="A1:Z1"/>
  </mergeCells>
  <pageMargins left="0.7" right="0.7" top="0.75" bottom="0.75" header="0" footer="0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A1000"/>
  <sheetViews>
    <sheetView workbookViewId="0">
      <pane xSplit="2" topLeftCell="C1" activePane="topRight" state="frozen"/>
      <selection pane="topRight" activeCell="D2" sqref="D2"/>
    </sheetView>
  </sheetViews>
  <sheetFormatPr baseColWidth="10" defaultColWidth="14.44140625" defaultRowHeight="15" customHeight="1" x14ac:dyDescent="0.3"/>
  <cols>
    <col min="1" max="1" width="56.88671875" customWidth="1"/>
    <col min="2" max="2" width="10.6640625" hidden="1" customWidth="1"/>
    <col min="3" max="27" width="10.6640625" customWidth="1"/>
  </cols>
  <sheetData>
    <row r="1" spans="1:26" ht="14.4" x14ac:dyDescent="0.3">
      <c r="A1" s="201" t="s">
        <v>156</v>
      </c>
      <c r="B1" s="202"/>
      <c r="C1" s="202"/>
      <c r="D1" s="202"/>
      <c r="E1" s="202"/>
      <c r="F1" s="202"/>
      <c r="G1" s="202"/>
      <c r="H1" s="202"/>
      <c r="I1" s="202"/>
      <c r="J1" s="202"/>
      <c r="K1" s="202"/>
      <c r="L1" s="202"/>
      <c r="M1" s="202"/>
      <c r="N1" s="202"/>
      <c r="O1" s="202"/>
      <c r="P1" s="202"/>
      <c r="Q1" s="202"/>
      <c r="R1" s="202"/>
      <c r="S1" s="202"/>
      <c r="T1" s="202"/>
      <c r="U1" s="202"/>
      <c r="V1" s="202"/>
      <c r="W1" s="202"/>
      <c r="X1" s="202"/>
      <c r="Y1" s="202"/>
      <c r="Z1" s="203"/>
    </row>
    <row r="2" spans="1:26" ht="28.8" x14ac:dyDescent="0.3">
      <c r="A2" s="72" t="s">
        <v>0</v>
      </c>
      <c r="B2" s="73" t="s">
        <v>1</v>
      </c>
      <c r="C2" s="74">
        <v>5000</v>
      </c>
      <c r="D2" s="74">
        <v>10000</v>
      </c>
      <c r="E2" s="74">
        <v>15000</v>
      </c>
      <c r="F2" s="74">
        <v>20000</v>
      </c>
      <c r="G2" s="74">
        <v>25000</v>
      </c>
      <c r="H2" s="74">
        <v>30000</v>
      </c>
      <c r="I2" s="74">
        <v>35000</v>
      </c>
      <c r="J2" s="74">
        <v>40000</v>
      </c>
      <c r="K2" s="74">
        <v>45000</v>
      </c>
      <c r="L2" s="74">
        <v>50000</v>
      </c>
      <c r="M2" s="74">
        <v>55000</v>
      </c>
      <c r="N2" s="74">
        <v>60000</v>
      </c>
      <c r="O2" s="74">
        <v>65000</v>
      </c>
      <c r="P2" s="74">
        <v>70000</v>
      </c>
      <c r="Q2" s="74">
        <v>75000</v>
      </c>
      <c r="R2" s="74">
        <v>80000</v>
      </c>
      <c r="S2" s="74">
        <v>85000</v>
      </c>
      <c r="T2" s="74">
        <v>90000</v>
      </c>
      <c r="U2" s="74">
        <v>95000</v>
      </c>
      <c r="V2" s="74">
        <v>100000</v>
      </c>
      <c r="W2" s="74">
        <v>105000</v>
      </c>
      <c r="X2" s="74">
        <v>110000</v>
      </c>
      <c r="Y2" s="74">
        <v>115000</v>
      </c>
      <c r="Z2" s="75">
        <v>120000</v>
      </c>
    </row>
    <row r="3" spans="1:26" ht="14.4" x14ac:dyDescent="0.3">
      <c r="A3" s="118" t="s">
        <v>157</v>
      </c>
      <c r="B3" s="7">
        <f>'W7 DIESEL 120K'!U2</f>
        <v>40.98</v>
      </c>
      <c r="C3" s="8">
        <v>40.98</v>
      </c>
      <c r="D3" s="8">
        <v>40.98</v>
      </c>
      <c r="E3" s="8">
        <v>40.98</v>
      </c>
      <c r="F3" s="8">
        <v>40.98</v>
      </c>
      <c r="G3" s="8">
        <v>40.98</v>
      </c>
      <c r="H3" s="8">
        <v>40.98</v>
      </c>
      <c r="I3" s="8">
        <v>40.98</v>
      </c>
      <c r="J3" s="8">
        <v>40.98</v>
      </c>
      <c r="K3" s="8">
        <v>40.98</v>
      </c>
      <c r="L3" s="8">
        <v>40.98</v>
      </c>
      <c r="M3" s="8">
        <v>40.98</v>
      </c>
      <c r="N3" s="8">
        <v>40.98</v>
      </c>
      <c r="O3" s="8">
        <v>40.98</v>
      </c>
      <c r="P3" s="8">
        <v>40.98</v>
      </c>
      <c r="Q3" s="8">
        <v>40.98</v>
      </c>
      <c r="R3" s="8">
        <v>40.98</v>
      </c>
      <c r="S3" s="8">
        <v>40.98</v>
      </c>
      <c r="T3" s="8">
        <v>40.98</v>
      </c>
      <c r="U3" s="8">
        <v>40.98</v>
      </c>
      <c r="V3" s="8">
        <v>40.98</v>
      </c>
      <c r="W3" s="8">
        <v>40.98</v>
      </c>
      <c r="X3" s="8">
        <v>40.98</v>
      </c>
      <c r="Y3" s="8">
        <v>40.98</v>
      </c>
      <c r="Z3" s="9">
        <v>40.98</v>
      </c>
    </row>
    <row r="4" spans="1:26" ht="14.4" x14ac:dyDescent="0.3">
      <c r="A4" s="6" t="s">
        <v>4</v>
      </c>
      <c r="B4" s="7">
        <f>'W7 DIESEL 120K'!U3</f>
        <v>6.01</v>
      </c>
      <c r="C4" s="8">
        <v>6.01</v>
      </c>
      <c r="D4" s="8">
        <v>6.01</v>
      </c>
      <c r="E4" s="8">
        <v>6.01</v>
      </c>
      <c r="F4" s="8">
        <v>6.01</v>
      </c>
      <c r="G4" s="8">
        <v>6.01</v>
      </c>
      <c r="H4" s="8">
        <v>6.01</v>
      </c>
      <c r="I4" s="8">
        <v>6.01</v>
      </c>
      <c r="J4" s="8">
        <v>6.01</v>
      </c>
      <c r="K4" s="8">
        <v>6.01</v>
      </c>
      <c r="L4" s="8">
        <v>6.01</v>
      </c>
      <c r="M4" s="8">
        <v>6.01</v>
      </c>
      <c r="N4" s="8">
        <v>6.01</v>
      </c>
      <c r="O4" s="8">
        <v>6.01</v>
      </c>
      <c r="P4" s="8">
        <v>6.01</v>
      </c>
      <c r="Q4" s="8">
        <v>6.01</v>
      </c>
      <c r="R4" s="8">
        <v>6.01</v>
      </c>
      <c r="S4" s="8">
        <v>6.01</v>
      </c>
      <c r="T4" s="8">
        <v>6.01</v>
      </c>
      <c r="U4" s="8">
        <v>6.01</v>
      </c>
      <c r="V4" s="8">
        <v>6.01</v>
      </c>
      <c r="W4" s="8">
        <v>6.01</v>
      </c>
      <c r="X4" s="8">
        <v>6.01</v>
      </c>
      <c r="Y4" s="8">
        <v>6.01</v>
      </c>
      <c r="Z4" s="9">
        <v>6.01</v>
      </c>
    </row>
    <row r="5" spans="1:26" ht="14.4" x14ac:dyDescent="0.3">
      <c r="A5" s="6" t="s">
        <v>5</v>
      </c>
      <c r="B5" s="7">
        <f>'W7 DIESEL 120K'!U4</f>
        <v>6.5</v>
      </c>
      <c r="C5" s="8">
        <v>6.5</v>
      </c>
      <c r="D5" s="8">
        <v>6.5</v>
      </c>
      <c r="E5" s="8">
        <v>6.5</v>
      </c>
      <c r="F5" s="8">
        <v>6.5</v>
      </c>
      <c r="G5" s="8">
        <v>6.5</v>
      </c>
      <c r="H5" s="8">
        <v>6.5</v>
      </c>
      <c r="I5" s="8">
        <v>6.5</v>
      </c>
      <c r="J5" s="8">
        <v>6.5</v>
      </c>
      <c r="K5" s="8">
        <v>6.5</v>
      </c>
      <c r="L5" s="8">
        <v>6.5</v>
      </c>
      <c r="M5" s="8">
        <v>6.5</v>
      </c>
      <c r="N5" s="8">
        <v>6.5</v>
      </c>
      <c r="O5" s="8">
        <v>6.5</v>
      </c>
      <c r="P5" s="8">
        <v>6.5</v>
      </c>
      <c r="Q5" s="8">
        <v>6.5</v>
      </c>
      <c r="R5" s="8">
        <v>6.5</v>
      </c>
      <c r="S5" s="8">
        <v>6.5</v>
      </c>
      <c r="T5" s="8">
        <v>6.5</v>
      </c>
      <c r="U5" s="8">
        <v>6.5</v>
      </c>
      <c r="V5" s="8">
        <v>6.5</v>
      </c>
      <c r="W5" s="8">
        <v>6.5</v>
      </c>
      <c r="X5" s="8">
        <v>6.5</v>
      </c>
      <c r="Y5" s="8">
        <v>6.5</v>
      </c>
      <c r="Z5" s="9">
        <v>6.5</v>
      </c>
    </row>
    <row r="6" spans="1:26" ht="14.4" x14ac:dyDescent="0.3">
      <c r="A6" s="6" t="s">
        <v>6</v>
      </c>
      <c r="B6" s="7">
        <f>'W7 DIESEL 120K'!U5</f>
        <v>17.55</v>
      </c>
      <c r="C6" s="8">
        <v>17.55</v>
      </c>
      <c r="D6" s="8">
        <v>17.55</v>
      </c>
      <c r="E6" s="8">
        <v>17.55</v>
      </c>
      <c r="F6" s="8">
        <v>17.55</v>
      </c>
      <c r="G6" s="8">
        <v>17.55</v>
      </c>
      <c r="H6" s="8">
        <v>17.55</v>
      </c>
      <c r="I6" s="8">
        <v>17.55</v>
      </c>
      <c r="J6" s="8">
        <v>17.55</v>
      </c>
      <c r="K6" s="8">
        <v>17.55</v>
      </c>
      <c r="L6" s="8">
        <v>17.55</v>
      </c>
      <c r="M6" s="8">
        <v>17.55</v>
      </c>
      <c r="N6" s="8">
        <v>17.55</v>
      </c>
      <c r="O6" s="8">
        <v>17.55</v>
      </c>
      <c r="P6" s="8">
        <v>17.55</v>
      </c>
      <c r="Q6" s="8">
        <v>17.55</v>
      </c>
      <c r="R6" s="8">
        <v>17.55</v>
      </c>
      <c r="S6" s="8">
        <v>17.55</v>
      </c>
      <c r="T6" s="8">
        <v>17.55</v>
      </c>
      <c r="U6" s="8">
        <v>17.55</v>
      </c>
      <c r="V6" s="8">
        <v>17.55</v>
      </c>
      <c r="W6" s="8">
        <v>17.55</v>
      </c>
      <c r="X6" s="8">
        <v>17.55</v>
      </c>
      <c r="Y6" s="8">
        <v>17.55</v>
      </c>
      <c r="Z6" s="9">
        <v>17.55</v>
      </c>
    </row>
    <row r="7" spans="1:26" ht="14.4" x14ac:dyDescent="0.3">
      <c r="A7" s="6" t="s">
        <v>7</v>
      </c>
      <c r="B7" s="7">
        <f>'W7 DIESEL 120K'!U6</f>
        <v>0</v>
      </c>
      <c r="C7" s="8"/>
      <c r="D7" s="8">
        <v>10.45</v>
      </c>
      <c r="E7" s="8"/>
      <c r="F7" s="8">
        <v>10.45</v>
      </c>
      <c r="G7" s="8"/>
      <c r="H7" s="8">
        <v>10.45</v>
      </c>
      <c r="I7" s="8"/>
      <c r="J7" s="8">
        <v>10.45</v>
      </c>
      <c r="K7" s="8"/>
      <c r="L7" s="8">
        <v>10.45</v>
      </c>
      <c r="M7" s="8"/>
      <c r="N7" s="8">
        <v>10.45</v>
      </c>
      <c r="O7" s="8"/>
      <c r="P7" s="8">
        <v>10.45</v>
      </c>
      <c r="Q7" s="8"/>
      <c r="R7" s="8">
        <v>10.45</v>
      </c>
      <c r="S7" s="8"/>
      <c r="T7" s="8">
        <v>10.45</v>
      </c>
      <c r="U7" s="8"/>
      <c r="V7" s="8">
        <v>10.45</v>
      </c>
      <c r="W7" s="8"/>
      <c r="X7" s="8">
        <v>10.45</v>
      </c>
      <c r="Y7" s="8"/>
      <c r="Z7" s="9">
        <v>10.45</v>
      </c>
    </row>
    <row r="8" spans="1:26" ht="14.4" x14ac:dyDescent="0.3">
      <c r="A8" s="6" t="s">
        <v>8</v>
      </c>
      <c r="B8" s="7">
        <f>'W7 DIESEL 120K'!U7</f>
        <v>0</v>
      </c>
      <c r="C8" s="8"/>
      <c r="D8" s="8">
        <v>7.69</v>
      </c>
      <c r="E8" s="8"/>
      <c r="F8" s="8">
        <v>7.69</v>
      </c>
      <c r="G8" s="8"/>
      <c r="H8" s="8">
        <v>7.69</v>
      </c>
      <c r="I8" s="8"/>
      <c r="J8" s="8">
        <v>7.69</v>
      </c>
      <c r="K8" s="8"/>
      <c r="L8" s="8">
        <v>7.69</v>
      </c>
      <c r="M8" s="8"/>
      <c r="N8" s="8">
        <v>7.69</v>
      </c>
      <c r="O8" s="8"/>
      <c r="P8" s="8">
        <v>7.69</v>
      </c>
      <c r="Q8" s="8"/>
      <c r="R8" s="8">
        <v>7.69</v>
      </c>
      <c r="S8" s="8"/>
      <c r="T8" s="8">
        <v>7.69</v>
      </c>
      <c r="U8" s="8"/>
      <c r="V8" s="8">
        <v>7.69</v>
      </c>
      <c r="W8" s="8"/>
      <c r="X8" s="8">
        <v>7.69</v>
      </c>
      <c r="Y8" s="8"/>
      <c r="Z8" s="9">
        <v>7.69</v>
      </c>
    </row>
    <row r="9" spans="1:26" ht="14.4" x14ac:dyDescent="0.3">
      <c r="A9" s="6" t="s">
        <v>9</v>
      </c>
      <c r="B9" s="7">
        <f>'W7 DIESEL 120K'!U8</f>
        <v>0</v>
      </c>
      <c r="C9" s="8"/>
      <c r="D9" s="8">
        <v>26.87</v>
      </c>
      <c r="E9" s="8"/>
      <c r="F9" s="8">
        <v>26.87</v>
      </c>
      <c r="G9" s="8"/>
      <c r="H9" s="8">
        <v>26.87</v>
      </c>
      <c r="I9" s="8"/>
      <c r="J9" s="8">
        <v>26.87</v>
      </c>
      <c r="K9" s="8"/>
      <c r="L9" s="8">
        <v>26.87</v>
      </c>
      <c r="M9" s="8"/>
      <c r="N9" s="8">
        <v>26.87</v>
      </c>
      <c r="O9" s="8"/>
      <c r="P9" s="8">
        <v>26.87</v>
      </c>
      <c r="Q9" s="8"/>
      <c r="R9" s="8">
        <v>26.87</v>
      </c>
      <c r="S9" s="8"/>
      <c r="T9" s="8">
        <v>26.87</v>
      </c>
      <c r="U9" s="8"/>
      <c r="V9" s="8">
        <v>26.87</v>
      </c>
      <c r="W9" s="8"/>
      <c r="X9" s="8">
        <v>26.87</v>
      </c>
      <c r="Y9" s="8"/>
      <c r="Z9" s="9">
        <v>26.87</v>
      </c>
    </row>
    <row r="10" spans="1:26" ht="14.4" x14ac:dyDescent="0.3">
      <c r="A10" s="6" t="s">
        <v>10</v>
      </c>
      <c r="B10" s="7">
        <f>'W7 DIESEL 120K'!U9</f>
        <v>0</v>
      </c>
      <c r="C10" s="8"/>
      <c r="D10" s="8">
        <v>27</v>
      </c>
      <c r="E10" s="8"/>
      <c r="F10" s="8">
        <v>27</v>
      </c>
      <c r="G10" s="8"/>
      <c r="H10" s="8">
        <v>27</v>
      </c>
      <c r="I10" s="8"/>
      <c r="J10" s="8">
        <v>27</v>
      </c>
      <c r="K10" s="8"/>
      <c r="L10" s="8">
        <v>27</v>
      </c>
      <c r="M10" s="8"/>
      <c r="N10" s="8">
        <v>27</v>
      </c>
      <c r="O10" s="8"/>
      <c r="P10" s="8">
        <v>27</v>
      </c>
      <c r="Q10" s="8"/>
      <c r="R10" s="8">
        <v>27</v>
      </c>
      <c r="S10" s="8"/>
      <c r="T10" s="8">
        <v>27</v>
      </c>
      <c r="U10" s="8"/>
      <c r="V10" s="8">
        <v>27</v>
      </c>
      <c r="W10" s="8"/>
      <c r="X10" s="8">
        <v>27</v>
      </c>
      <c r="Y10" s="8"/>
      <c r="Z10" s="9">
        <v>27</v>
      </c>
    </row>
    <row r="11" spans="1:26" ht="14.4" x14ac:dyDescent="0.3">
      <c r="A11" s="6" t="s">
        <v>11</v>
      </c>
      <c r="B11" s="7">
        <f>'W7 DIESEL 120K'!U10</f>
        <v>0</v>
      </c>
      <c r="C11" s="8"/>
      <c r="D11" s="8">
        <v>6.5</v>
      </c>
      <c r="E11" s="8"/>
      <c r="F11" s="8">
        <v>6.5</v>
      </c>
      <c r="G11" s="8"/>
      <c r="H11" s="8">
        <v>6.5</v>
      </c>
      <c r="I11" s="8"/>
      <c r="J11" s="8">
        <v>6.5</v>
      </c>
      <c r="K11" s="8"/>
      <c r="L11" s="8">
        <v>6.5</v>
      </c>
      <c r="M11" s="8"/>
      <c r="N11" s="8">
        <v>6.5</v>
      </c>
      <c r="O11" s="8"/>
      <c r="P11" s="8">
        <v>6.5</v>
      </c>
      <c r="Q11" s="8"/>
      <c r="R11" s="8">
        <v>6.5</v>
      </c>
      <c r="S11" s="8"/>
      <c r="T11" s="8">
        <v>6.5</v>
      </c>
      <c r="U11" s="8"/>
      <c r="V11" s="8">
        <v>6.5</v>
      </c>
      <c r="W11" s="8"/>
      <c r="X11" s="8">
        <v>6.5</v>
      </c>
      <c r="Y11" s="8"/>
      <c r="Z11" s="9">
        <v>6.5</v>
      </c>
    </row>
    <row r="12" spans="1:26" ht="14.4" x14ac:dyDescent="0.3">
      <c r="A12" s="6" t="s">
        <v>12</v>
      </c>
      <c r="B12" s="7">
        <f>'W7 DIESEL 120K'!U11</f>
        <v>0</v>
      </c>
      <c r="C12" s="8"/>
      <c r="D12" s="8">
        <v>5</v>
      </c>
      <c r="E12" s="8"/>
      <c r="F12" s="8">
        <v>5</v>
      </c>
      <c r="G12" s="8"/>
      <c r="H12" s="8">
        <v>5</v>
      </c>
      <c r="I12" s="8"/>
      <c r="J12" s="8">
        <v>5</v>
      </c>
      <c r="K12" s="8"/>
      <c r="L12" s="8">
        <v>5</v>
      </c>
      <c r="M12" s="8"/>
      <c r="N12" s="8">
        <v>5</v>
      </c>
      <c r="O12" s="8"/>
      <c r="P12" s="8">
        <v>5</v>
      </c>
      <c r="Q12" s="8"/>
      <c r="R12" s="8">
        <v>5</v>
      </c>
      <c r="S12" s="8"/>
      <c r="T12" s="8">
        <v>5</v>
      </c>
      <c r="U12" s="8"/>
      <c r="V12" s="8">
        <v>5</v>
      </c>
      <c r="W12" s="8"/>
      <c r="X12" s="8">
        <v>5</v>
      </c>
      <c r="Y12" s="8"/>
      <c r="Z12" s="9">
        <v>5</v>
      </c>
    </row>
    <row r="13" spans="1:26" ht="14.4" x14ac:dyDescent="0.3">
      <c r="A13" s="6" t="s">
        <v>13</v>
      </c>
      <c r="B13" s="7">
        <f>'W7 DIESEL 120K'!U12</f>
        <v>0</v>
      </c>
      <c r="C13" s="8"/>
      <c r="D13" s="8">
        <v>5.4</v>
      </c>
      <c r="E13" s="8"/>
      <c r="F13" s="8">
        <v>5.4</v>
      </c>
      <c r="G13" s="8"/>
      <c r="H13" s="8">
        <v>5.4</v>
      </c>
      <c r="I13" s="8"/>
      <c r="J13" s="8">
        <v>5.4</v>
      </c>
      <c r="K13" s="8"/>
      <c r="L13" s="8">
        <v>5.4</v>
      </c>
      <c r="M13" s="8"/>
      <c r="N13" s="8">
        <v>5.4</v>
      </c>
      <c r="O13" s="8"/>
      <c r="P13" s="8">
        <v>5.4</v>
      </c>
      <c r="Q13" s="8"/>
      <c r="R13" s="8">
        <v>5.4</v>
      </c>
      <c r="S13" s="8"/>
      <c r="T13" s="8">
        <v>5.4</v>
      </c>
      <c r="U13" s="8"/>
      <c r="V13" s="8">
        <v>5.4</v>
      </c>
      <c r="W13" s="8"/>
      <c r="X13" s="8">
        <v>5.4</v>
      </c>
      <c r="Y13" s="8"/>
      <c r="Z13" s="9">
        <v>5.4</v>
      </c>
    </row>
    <row r="14" spans="1:26" ht="14.4" hidden="1" x14ac:dyDescent="0.3">
      <c r="A14" s="6" t="s">
        <v>14</v>
      </c>
      <c r="B14" s="7">
        <f>'W7 DIESEL 120K'!U13</f>
        <v>0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9"/>
    </row>
    <row r="15" spans="1:26" ht="14.4" x14ac:dyDescent="0.3">
      <c r="A15" s="6" t="s">
        <v>158</v>
      </c>
      <c r="B15" s="7">
        <f>'W7 DIESEL 120K'!U14</f>
        <v>0</v>
      </c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>
        <v>157.97</v>
      </c>
      <c r="W15" s="8"/>
      <c r="X15" s="8"/>
      <c r="Y15" s="8"/>
      <c r="Z15" s="9"/>
    </row>
    <row r="16" spans="1:26" ht="14.4" x14ac:dyDescent="0.3">
      <c r="A16" s="118" t="s">
        <v>159</v>
      </c>
      <c r="B16" s="7">
        <f>'W7 DIESEL 120K'!U15</f>
        <v>0</v>
      </c>
      <c r="C16" s="8"/>
      <c r="D16" s="8"/>
      <c r="E16" s="8"/>
      <c r="F16" s="8"/>
      <c r="G16" s="8"/>
      <c r="H16" s="8"/>
      <c r="I16" s="8"/>
      <c r="J16" s="8"/>
      <c r="K16" s="8"/>
      <c r="L16" s="8">
        <v>31.56</v>
      </c>
      <c r="M16" s="8"/>
      <c r="N16" s="8"/>
      <c r="O16" s="8"/>
      <c r="P16" s="8"/>
      <c r="Q16" s="8"/>
      <c r="R16" s="8"/>
      <c r="S16" s="8"/>
      <c r="T16" s="8"/>
      <c r="U16" s="8"/>
      <c r="V16" s="8">
        <v>31.56</v>
      </c>
      <c r="W16" s="8"/>
      <c r="X16" s="8"/>
      <c r="Y16" s="8"/>
      <c r="Z16" s="9"/>
    </row>
    <row r="17" spans="1:27" ht="14.4" x14ac:dyDescent="0.3">
      <c r="A17" s="6" t="s">
        <v>48</v>
      </c>
      <c r="B17" s="7"/>
      <c r="C17" s="8"/>
      <c r="D17" s="8"/>
      <c r="E17" s="8"/>
      <c r="F17" s="8"/>
      <c r="G17" s="8"/>
      <c r="H17" s="8"/>
      <c r="I17" s="8"/>
      <c r="J17" s="8"/>
      <c r="K17" s="8"/>
      <c r="L17" s="8">
        <v>22.5</v>
      </c>
      <c r="M17" s="8"/>
      <c r="N17" s="8"/>
      <c r="O17" s="8"/>
      <c r="P17" s="8"/>
      <c r="Q17" s="8"/>
      <c r="R17" s="8"/>
      <c r="S17" s="8"/>
      <c r="T17" s="8"/>
      <c r="U17" s="8"/>
      <c r="V17" s="8">
        <v>22.5</v>
      </c>
      <c r="W17" s="8"/>
      <c r="X17" s="8"/>
      <c r="Y17" s="8"/>
      <c r="Z17" s="9"/>
    </row>
    <row r="18" spans="1:27" ht="14.4" x14ac:dyDescent="0.3">
      <c r="A18" s="6" t="s">
        <v>18</v>
      </c>
      <c r="B18" s="7">
        <f>'W7 DIESEL 120K'!U17</f>
        <v>3.5</v>
      </c>
      <c r="C18" s="8">
        <v>3.5</v>
      </c>
      <c r="D18" s="8">
        <v>3.5</v>
      </c>
      <c r="E18" s="8">
        <v>3.5</v>
      </c>
      <c r="F18" s="8">
        <v>3.5</v>
      </c>
      <c r="G18" s="8">
        <v>3.5</v>
      </c>
      <c r="H18" s="8">
        <v>3.5</v>
      </c>
      <c r="I18" s="8">
        <v>3.5</v>
      </c>
      <c r="J18" s="8">
        <v>3.5</v>
      </c>
      <c r="K18" s="8">
        <v>3.5</v>
      </c>
      <c r="L18" s="8">
        <v>3.5</v>
      </c>
      <c r="M18" s="8">
        <v>3.5</v>
      </c>
      <c r="N18" s="8">
        <v>3.5</v>
      </c>
      <c r="O18" s="8">
        <v>3.5</v>
      </c>
      <c r="P18" s="8">
        <v>3.5</v>
      </c>
      <c r="Q18" s="8">
        <v>3.5</v>
      </c>
      <c r="R18" s="8">
        <v>3.5</v>
      </c>
      <c r="S18" s="8">
        <v>3.5</v>
      </c>
      <c r="T18" s="8">
        <v>3.5</v>
      </c>
      <c r="U18" s="8">
        <v>3.5</v>
      </c>
      <c r="V18" s="8">
        <v>3.5</v>
      </c>
      <c r="W18" s="8">
        <v>3.5</v>
      </c>
      <c r="X18" s="8">
        <v>3.5</v>
      </c>
      <c r="Y18" s="8">
        <v>3.5</v>
      </c>
      <c r="Z18" s="9">
        <v>3.5</v>
      </c>
    </row>
    <row r="19" spans="1:27" ht="14.4" x14ac:dyDescent="0.3">
      <c r="A19" s="6" t="s">
        <v>19</v>
      </c>
      <c r="B19" s="7">
        <f>'W7 DIESEL 120K'!U18</f>
        <v>0</v>
      </c>
      <c r="C19" s="8"/>
      <c r="D19" s="8"/>
      <c r="E19" s="8"/>
      <c r="F19" s="8"/>
      <c r="G19" s="8"/>
      <c r="H19" s="8"/>
      <c r="I19" s="8"/>
      <c r="J19" s="8"/>
      <c r="K19" s="8"/>
      <c r="L19" s="8">
        <v>7.33</v>
      </c>
      <c r="M19" s="8"/>
      <c r="N19" s="8"/>
      <c r="O19" s="8"/>
      <c r="P19" s="8"/>
      <c r="Q19" s="8"/>
      <c r="R19" s="8"/>
      <c r="S19" s="8"/>
      <c r="T19" s="8"/>
      <c r="U19" s="8"/>
      <c r="V19" s="8">
        <v>7.33</v>
      </c>
      <c r="W19" s="8"/>
      <c r="X19" s="8"/>
      <c r="Y19" s="8"/>
      <c r="Z19" s="9"/>
    </row>
    <row r="20" spans="1:27" ht="14.4" x14ac:dyDescent="0.3">
      <c r="A20" s="119" t="s">
        <v>20</v>
      </c>
      <c r="B20" s="7">
        <f>'W7 DIESEL 120K'!U19</f>
        <v>0</v>
      </c>
      <c r="C20" s="8"/>
      <c r="D20" s="8"/>
      <c r="E20" s="8"/>
      <c r="F20" s="8"/>
      <c r="G20" s="8"/>
      <c r="H20" s="8">
        <v>12</v>
      </c>
      <c r="I20" s="8"/>
      <c r="J20" s="8"/>
      <c r="K20" s="8"/>
      <c r="L20" s="8"/>
      <c r="M20" s="8"/>
      <c r="N20" s="8">
        <v>12</v>
      </c>
      <c r="O20" s="8"/>
      <c r="P20" s="8"/>
      <c r="Q20" s="8"/>
      <c r="R20" s="8"/>
      <c r="S20" s="8"/>
      <c r="T20" s="8">
        <v>12</v>
      </c>
      <c r="U20" s="8"/>
      <c r="V20" s="8"/>
      <c r="W20" s="8"/>
      <c r="X20" s="8"/>
      <c r="Y20" s="8"/>
      <c r="Z20" s="9"/>
    </row>
    <row r="21" spans="1:27" ht="15.75" customHeight="1" x14ac:dyDescent="0.3">
      <c r="A21" s="20" t="s">
        <v>54</v>
      </c>
      <c r="B21" s="76"/>
      <c r="C21" s="77"/>
      <c r="D21" s="77"/>
      <c r="E21" s="77"/>
      <c r="F21" s="77"/>
      <c r="G21" s="77"/>
      <c r="H21" s="77"/>
      <c r="I21" s="77"/>
      <c r="J21" s="77"/>
      <c r="K21" s="77"/>
      <c r="L21" s="77"/>
      <c r="M21" s="77"/>
      <c r="N21" s="77"/>
      <c r="O21" s="77"/>
      <c r="P21" s="77">
        <v>26.6</v>
      </c>
      <c r="Q21" s="77"/>
      <c r="R21" s="77"/>
      <c r="S21" s="77"/>
      <c r="T21" s="77"/>
      <c r="U21" s="77"/>
      <c r="V21" s="77"/>
      <c r="W21" s="77"/>
      <c r="X21" s="77"/>
      <c r="Y21" s="77"/>
      <c r="Z21" s="78"/>
    </row>
    <row r="22" spans="1:27" ht="15.75" customHeight="1" x14ac:dyDescent="0.3">
      <c r="A22" s="24" t="s">
        <v>21</v>
      </c>
      <c r="B22" s="25">
        <f>B4+B5+B6+B7+B9+B10+B11+B12+B13+B15+B18+B8</f>
        <v>33.56</v>
      </c>
      <c r="C22" s="26">
        <f t="shared" ref="C22:Z22" si="0">C4+C5+C6+C7+C9+C10+C11+C12+C13+C15+C18+C8+C21</f>
        <v>33.56</v>
      </c>
      <c r="D22" s="26">
        <f t="shared" si="0"/>
        <v>122.47000000000001</v>
      </c>
      <c r="E22" s="26">
        <f t="shared" si="0"/>
        <v>33.56</v>
      </c>
      <c r="F22" s="26">
        <f t="shared" si="0"/>
        <v>122.47000000000001</v>
      </c>
      <c r="G22" s="26">
        <f t="shared" si="0"/>
        <v>33.56</v>
      </c>
      <c r="H22" s="26">
        <f t="shared" si="0"/>
        <v>122.47000000000001</v>
      </c>
      <c r="I22" s="26">
        <f t="shared" si="0"/>
        <v>33.56</v>
      </c>
      <c r="J22" s="26">
        <f t="shared" si="0"/>
        <v>122.47000000000001</v>
      </c>
      <c r="K22" s="26">
        <f t="shared" si="0"/>
        <v>33.56</v>
      </c>
      <c r="L22" s="26">
        <f t="shared" si="0"/>
        <v>122.47000000000001</v>
      </c>
      <c r="M22" s="26">
        <f t="shared" si="0"/>
        <v>33.56</v>
      </c>
      <c r="N22" s="26">
        <f t="shared" si="0"/>
        <v>122.47000000000001</v>
      </c>
      <c r="O22" s="26">
        <f t="shared" si="0"/>
        <v>33.56</v>
      </c>
      <c r="P22" s="26">
        <f t="shared" si="0"/>
        <v>149.07000000000002</v>
      </c>
      <c r="Q22" s="26">
        <f t="shared" si="0"/>
        <v>33.56</v>
      </c>
      <c r="R22" s="26">
        <f t="shared" si="0"/>
        <v>122.47000000000001</v>
      </c>
      <c r="S22" s="26">
        <f t="shared" si="0"/>
        <v>33.56</v>
      </c>
      <c r="T22" s="26">
        <f t="shared" si="0"/>
        <v>122.47000000000001</v>
      </c>
      <c r="U22" s="26">
        <f t="shared" si="0"/>
        <v>33.56</v>
      </c>
      <c r="V22" s="26">
        <f t="shared" si="0"/>
        <v>280.44</v>
      </c>
      <c r="W22" s="26">
        <f t="shared" si="0"/>
        <v>33.56</v>
      </c>
      <c r="X22" s="26">
        <f t="shared" si="0"/>
        <v>122.47000000000001</v>
      </c>
      <c r="Y22" s="26">
        <f t="shared" si="0"/>
        <v>33.56</v>
      </c>
      <c r="Z22" s="27">
        <f t="shared" si="0"/>
        <v>122.47000000000001</v>
      </c>
      <c r="AA22" s="12">
        <f t="shared" ref="AA22:AA23" si="1">SUM(C22:Z22)</f>
        <v>2056.9299999999998</v>
      </c>
    </row>
    <row r="23" spans="1:27" ht="15.75" customHeight="1" x14ac:dyDescent="0.3">
      <c r="A23" s="28" t="s">
        <v>22</v>
      </c>
      <c r="B23" s="25">
        <f>'W7 DIESEL 120K'!U21</f>
        <v>14.78</v>
      </c>
      <c r="C23" s="29">
        <v>19.399999999999999</v>
      </c>
      <c r="D23" s="29">
        <v>157</v>
      </c>
      <c r="E23" s="29">
        <v>14.11</v>
      </c>
      <c r="F23" s="29">
        <v>181.69</v>
      </c>
      <c r="G23" s="29">
        <v>14.11</v>
      </c>
      <c r="H23" s="29">
        <v>175.34</v>
      </c>
      <c r="I23" s="29">
        <v>14.11</v>
      </c>
      <c r="J23" s="29">
        <v>213.44</v>
      </c>
      <c r="K23" s="29">
        <v>14.11</v>
      </c>
      <c r="L23" s="29">
        <v>169.34</v>
      </c>
      <c r="M23" s="29">
        <v>14.11</v>
      </c>
      <c r="N23" s="29">
        <v>196.51</v>
      </c>
      <c r="O23" s="29">
        <v>14.11</v>
      </c>
      <c r="P23" s="29">
        <v>148.18</v>
      </c>
      <c r="Q23" s="29">
        <v>14.11</v>
      </c>
      <c r="R23" s="29">
        <v>181.69</v>
      </c>
      <c r="S23" s="29">
        <v>14.11</v>
      </c>
      <c r="T23" s="29">
        <v>178.87</v>
      </c>
      <c r="U23" s="29">
        <v>14.11</v>
      </c>
      <c r="V23" s="29">
        <v>313.99</v>
      </c>
      <c r="W23" s="29">
        <v>19.399999999999999</v>
      </c>
      <c r="X23" s="29">
        <v>157</v>
      </c>
      <c r="Y23" s="29">
        <v>14.11</v>
      </c>
      <c r="Z23" s="30">
        <v>181.69</v>
      </c>
      <c r="AA23" s="12">
        <f t="shared" si="1"/>
        <v>2434.64</v>
      </c>
    </row>
    <row r="24" spans="1:27" ht="15.75" customHeight="1" x14ac:dyDescent="0.3">
      <c r="A24" s="31" t="s">
        <v>23</v>
      </c>
      <c r="B24" s="32">
        <v>0</v>
      </c>
      <c r="C24" s="33"/>
      <c r="D24" s="33">
        <v>17.16</v>
      </c>
      <c r="E24" s="33"/>
      <c r="F24" s="33">
        <v>17.16</v>
      </c>
      <c r="G24" s="33"/>
      <c r="H24" s="33">
        <v>17.16</v>
      </c>
      <c r="I24" s="33"/>
      <c r="J24" s="33">
        <v>17.16</v>
      </c>
      <c r="K24" s="33"/>
      <c r="L24" s="33">
        <v>17.16</v>
      </c>
      <c r="M24" s="33"/>
      <c r="N24" s="33">
        <v>17.16</v>
      </c>
      <c r="O24" s="33"/>
      <c r="P24" s="33">
        <v>17.16</v>
      </c>
      <c r="Q24" s="33"/>
      <c r="R24" s="33">
        <v>17.16</v>
      </c>
      <c r="S24" s="33"/>
      <c r="T24" s="33">
        <v>17.16</v>
      </c>
      <c r="U24" s="33"/>
      <c r="V24" s="33">
        <v>17.16</v>
      </c>
      <c r="W24" s="33"/>
      <c r="X24" s="33">
        <v>17.16</v>
      </c>
      <c r="Y24" s="33"/>
      <c r="Z24" s="34">
        <v>17.16</v>
      </c>
    </row>
    <row r="25" spans="1:27" ht="15.75" customHeight="1" x14ac:dyDescent="0.3">
      <c r="A25" s="6" t="s">
        <v>24</v>
      </c>
      <c r="B25" s="7"/>
      <c r="C25" s="8"/>
      <c r="D25" s="8">
        <v>15.84</v>
      </c>
      <c r="E25" s="8"/>
      <c r="F25" s="8">
        <v>15.84</v>
      </c>
      <c r="G25" s="8"/>
      <c r="H25" s="8">
        <v>15.84</v>
      </c>
      <c r="I25" s="8"/>
      <c r="J25" s="8">
        <v>15.84</v>
      </c>
      <c r="K25" s="8"/>
      <c r="L25" s="8">
        <v>15.84</v>
      </c>
      <c r="M25" s="8"/>
      <c r="N25" s="8">
        <v>15.84</v>
      </c>
      <c r="O25" s="8"/>
      <c r="P25" s="8">
        <v>15.84</v>
      </c>
      <c r="Q25" s="8"/>
      <c r="R25" s="8">
        <v>15.84</v>
      </c>
      <c r="S25" s="8"/>
      <c r="T25" s="8">
        <v>15.84</v>
      </c>
      <c r="U25" s="8"/>
      <c r="V25" s="8">
        <v>15.84</v>
      </c>
      <c r="W25" s="8"/>
      <c r="X25" s="8">
        <v>15.84</v>
      </c>
      <c r="Y25" s="8"/>
      <c r="Z25" s="9">
        <v>15.84</v>
      </c>
    </row>
    <row r="26" spans="1:27" ht="15.75" customHeight="1" x14ac:dyDescent="0.3">
      <c r="A26" s="36" t="s">
        <v>25</v>
      </c>
      <c r="B26" s="76">
        <v>0</v>
      </c>
      <c r="C26" s="77"/>
      <c r="D26" s="77">
        <v>16.5</v>
      </c>
      <c r="E26" s="77"/>
      <c r="F26" s="77">
        <v>16.5</v>
      </c>
      <c r="G26" s="77"/>
      <c r="H26" s="77">
        <v>16.5</v>
      </c>
      <c r="I26" s="77"/>
      <c r="J26" s="77">
        <v>16.5</v>
      </c>
      <c r="K26" s="77"/>
      <c r="L26" s="77">
        <v>16.5</v>
      </c>
      <c r="M26" s="77"/>
      <c r="N26" s="77">
        <v>16.5</v>
      </c>
      <c r="O26" s="77"/>
      <c r="P26" s="77">
        <v>16.5</v>
      </c>
      <c r="Q26" s="77"/>
      <c r="R26" s="77">
        <v>16.5</v>
      </c>
      <c r="S26" s="77"/>
      <c r="T26" s="77">
        <v>16.5</v>
      </c>
      <c r="U26" s="77"/>
      <c r="V26" s="77">
        <v>16.5</v>
      </c>
      <c r="W26" s="77"/>
      <c r="X26" s="77">
        <v>16.5</v>
      </c>
      <c r="Y26" s="77"/>
      <c r="Z26" s="78">
        <v>16.5</v>
      </c>
    </row>
    <row r="27" spans="1:27" ht="15.75" customHeight="1" x14ac:dyDescent="0.3">
      <c r="A27" s="120" t="s">
        <v>28</v>
      </c>
      <c r="B27" s="121" t="e">
        <f>B3+B14+B16+#REF!+B19+B20</f>
        <v>#REF!</v>
      </c>
      <c r="C27" s="122">
        <f>C3+C14+C16+C19+C20</f>
        <v>40.98</v>
      </c>
      <c r="D27" s="122">
        <f t="shared" ref="D27:Z27" si="2">D3+D14+D16+D19+D20+D17</f>
        <v>40.98</v>
      </c>
      <c r="E27" s="122">
        <f t="shared" si="2"/>
        <v>40.98</v>
      </c>
      <c r="F27" s="122">
        <f t="shared" si="2"/>
        <v>40.98</v>
      </c>
      <c r="G27" s="122">
        <f t="shared" si="2"/>
        <v>40.98</v>
      </c>
      <c r="H27" s="122">
        <f t="shared" si="2"/>
        <v>52.98</v>
      </c>
      <c r="I27" s="122">
        <f t="shared" si="2"/>
        <v>40.98</v>
      </c>
      <c r="J27" s="122">
        <f t="shared" si="2"/>
        <v>40.98</v>
      </c>
      <c r="K27" s="122">
        <f t="shared" si="2"/>
        <v>40.98</v>
      </c>
      <c r="L27" s="122">
        <f t="shared" si="2"/>
        <v>102.36999999999999</v>
      </c>
      <c r="M27" s="122">
        <f t="shared" si="2"/>
        <v>40.98</v>
      </c>
      <c r="N27" s="122">
        <f t="shared" si="2"/>
        <v>52.98</v>
      </c>
      <c r="O27" s="122">
        <f t="shared" si="2"/>
        <v>40.98</v>
      </c>
      <c r="P27" s="122">
        <f t="shared" si="2"/>
        <v>40.98</v>
      </c>
      <c r="Q27" s="122">
        <f t="shared" si="2"/>
        <v>40.98</v>
      </c>
      <c r="R27" s="122">
        <f t="shared" si="2"/>
        <v>40.98</v>
      </c>
      <c r="S27" s="122">
        <f t="shared" si="2"/>
        <v>40.98</v>
      </c>
      <c r="T27" s="122">
        <f t="shared" si="2"/>
        <v>52.98</v>
      </c>
      <c r="U27" s="122">
        <f t="shared" si="2"/>
        <v>40.98</v>
      </c>
      <c r="V27" s="122">
        <f t="shared" si="2"/>
        <v>102.36999999999999</v>
      </c>
      <c r="W27" s="122">
        <f t="shared" si="2"/>
        <v>40.98</v>
      </c>
      <c r="X27" s="122">
        <f t="shared" si="2"/>
        <v>40.98</v>
      </c>
      <c r="Y27" s="122">
        <f t="shared" si="2"/>
        <v>40.98</v>
      </c>
      <c r="Z27" s="123">
        <f t="shared" si="2"/>
        <v>40.98</v>
      </c>
      <c r="AA27" s="12">
        <f>SUM(C27:Z27)</f>
        <v>1142.3000000000002</v>
      </c>
    </row>
    <row r="28" spans="1:27" ht="15.75" customHeight="1" x14ac:dyDescent="0.3">
      <c r="A28" s="79" t="s">
        <v>160</v>
      </c>
      <c r="B28" s="80"/>
      <c r="C28" s="81">
        <f t="shared" ref="C28:Z28" si="3">C22+C23+C27</f>
        <v>93.94</v>
      </c>
      <c r="D28" s="81">
        <f t="shared" si="3"/>
        <v>320.45000000000005</v>
      </c>
      <c r="E28" s="81">
        <f t="shared" si="3"/>
        <v>88.65</v>
      </c>
      <c r="F28" s="81">
        <f t="shared" si="3"/>
        <v>345.14000000000004</v>
      </c>
      <c r="G28" s="81">
        <f t="shared" si="3"/>
        <v>88.65</v>
      </c>
      <c r="H28" s="81">
        <f t="shared" si="3"/>
        <v>350.79</v>
      </c>
      <c r="I28" s="81">
        <f t="shared" si="3"/>
        <v>88.65</v>
      </c>
      <c r="J28" s="81">
        <f t="shared" si="3"/>
        <v>376.89000000000004</v>
      </c>
      <c r="K28" s="81">
        <f t="shared" si="3"/>
        <v>88.65</v>
      </c>
      <c r="L28" s="81">
        <f t="shared" si="3"/>
        <v>394.18</v>
      </c>
      <c r="M28" s="81">
        <f t="shared" si="3"/>
        <v>88.65</v>
      </c>
      <c r="N28" s="81">
        <f t="shared" si="3"/>
        <v>371.96000000000004</v>
      </c>
      <c r="O28" s="81">
        <f t="shared" si="3"/>
        <v>88.65</v>
      </c>
      <c r="P28" s="81">
        <f t="shared" si="3"/>
        <v>338.23</v>
      </c>
      <c r="Q28" s="81">
        <f t="shared" si="3"/>
        <v>88.65</v>
      </c>
      <c r="R28" s="81">
        <f t="shared" si="3"/>
        <v>345.14000000000004</v>
      </c>
      <c r="S28" s="81">
        <f t="shared" si="3"/>
        <v>88.65</v>
      </c>
      <c r="T28" s="81">
        <f t="shared" si="3"/>
        <v>354.32000000000005</v>
      </c>
      <c r="U28" s="81">
        <f t="shared" si="3"/>
        <v>88.65</v>
      </c>
      <c r="V28" s="81">
        <f t="shared" si="3"/>
        <v>696.80000000000007</v>
      </c>
      <c r="W28" s="81">
        <f t="shared" si="3"/>
        <v>93.94</v>
      </c>
      <c r="X28" s="81">
        <f t="shared" si="3"/>
        <v>320.45000000000005</v>
      </c>
      <c r="Y28" s="81">
        <f t="shared" si="3"/>
        <v>88.65</v>
      </c>
      <c r="Z28" s="82">
        <f t="shared" si="3"/>
        <v>345.14000000000004</v>
      </c>
      <c r="AA28" s="54"/>
    </row>
    <row r="29" spans="1:27" ht="15.75" customHeight="1" x14ac:dyDescent="0.3"/>
    <row r="30" spans="1:27" ht="15.75" customHeight="1" x14ac:dyDescent="0.3"/>
    <row r="31" spans="1:27" ht="15.75" customHeight="1" x14ac:dyDescent="0.3"/>
    <row r="32" spans="1:27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">
    <mergeCell ref="A1:Z1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000"/>
  <sheetViews>
    <sheetView topLeftCell="A9" workbookViewId="0">
      <selection activeCell="E13" sqref="E13"/>
    </sheetView>
  </sheetViews>
  <sheetFormatPr baseColWidth="10" defaultColWidth="14.44140625" defaultRowHeight="15" customHeight="1" x14ac:dyDescent="0.3"/>
  <cols>
    <col min="1" max="1" width="10.6640625" customWidth="1"/>
    <col min="2" max="2" width="3.44140625" customWidth="1"/>
    <col min="3" max="3" width="20" customWidth="1"/>
    <col min="4" max="4" width="29.109375" customWidth="1"/>
    <col min="5" max="5" width="13.109375" customWidth="1"/>
    <col min="6" max="26" width="10.6640625" customWidth="1"/>
  </cols>
  <sheetData>
    <row r="1" spans="1:26" ht="15" hidden="1" customHeight="1" x14ac:dyDescent="0.3"/>
    <row r="2" spans="1:26" ht="14.4" hidden="1" x14ac:dyDescent="0.3">
      <c r="B2" s="201" t="s">
        <v>161</v>
      </c>
      <c r="C2" s="202"/>
      <c r="D2" s="202"/>
      <c r="E2" s="203"/>
      <c r="G2" s="35" t="s">
        <v>162</v>
      </c>
    </row>
    <row r="3" spans="1:26" ht="14.4" hidden="1" x14ac:dyDescent="0.3">
      <c r="B3" s="124">
        <v>1</v>
      </c>
      <c r="C3" s="19" t="s">
        <v>163</v>
      </c>
      <c r="D3" s="215" t="s">
        <v>164</v>
      </c>
      <c r="E3" s="96">
        <f>'DETALLADO MANT 4X4'!AA10*G3</f>
        <v>1460.5099999999995</v>
      </c>
      <c r="G3" s="52">
        <v>1</v>
      </c>
    </row>
    <row r="4" spans="1:26" ht="14.4" hidden="1" x14ac:dyDescent="0.3">
      <c r="B4" s="124">
        <v>2</v>
      </c>
      <c r="C4" s="19" t="s">
        <v>165</v>
      </c>
      <c r="D4" s="216"/>
      <c r="E4" s="96">
        <f>'DETALLADO MANT 4X4'!AA23*G3</f>
        <v>1641.6200000000001</v>
      </c>
    </row>
    <row r="5" spans="1:26" ht="14.4" hidden="1" x14ac:dyDescent="0.3">
      <c r="B5" s="124">
        <v>3</v>
      </c>
      <c r="C5" s="19" t="s">
        <v>166</v>
      </c>
      <c r="D5" s="217"/>
      <c r="E5" s="96">
        <f>'DETALLADO MANT 4X4'!AA30*G3</f>
        <v>3369.3500000000008</v>
      </c>
    </row>
    <row r="6" spans="1:26" ht="39" hidden="1" customHeight="1" x14ac:dyDescent="0.3">
      <c r="A6" s="100"/>
      <c r="B6" s="125">
        <v>4</v>
      </c>
      <c r="C6" s="113" t="s">
        <v>167</v>
      </c>
      <c r="D6" s="126" t="s">
        <v>168</v>
      </c>
      <c r="E6" s="127">
        <f>(E3+E4+E5)*0.3</f>
        <v>1941.444</v>
      </c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100"/>
      <c r="S6" s="100"/>
      <c r="T6" s="100"/>
      <c r="U6" s="100"/>
      <c r="V6" s="100"/>
      <c r="W6" s="100"/>
      <c r="X6" s="100"/>
      <c r="Y6" s="100"/>
      <c r="Z6" s="100"/>
    </row>
    <row r="7" spans="1:26" ht="14.4" hidden="1" x14ac:dyDescent="0.3">
      <c r="B7" s="218" t="s">
        <v>169</v>
      </c>
      <c r="C7" s="219"/>
      <c r="D7" s="208"/>
      <c r="E7" s="128">
        <f>SUM(E3:E6)</f>
        <v>8412.9240000000009</v>
      </c>
    </row>
    <row r="8" spans="1:26" ht="14.4" hidden="1" x14ac:dyDescent="0.3">
      <c r="B8" s="220" t="s">
        <v>170</v>
      </c>
      <c r="C8" s="221"/>
      <c r="D8" s="221"/>
      <c r="E8" s="221"/>
    </row>
    <row r="10" spans="1:26" ht="14.4" x14ac:dyDescent="0.3">
      <c r="B10" s="201" t="s">
        <v>171</v>
      </c>
      <c r="C10" s="202"/>
      <c r="D10" s="202"/>
      <c r="E10" s="203"/>
      <c r="G10" s="35" t="s">
        <v>162</v>
      </c>
    </row>
    <row r="11" spans="1:26" ht="14.4" x14ac:dyDescent="0.3">
      <c r="B11" s="124">
        <v>1</v>
      </c>
      <c r="C11" s="19" t="s">
        <v>163</v>
      </c>
      <c r="D11" s="215" t="s">
        <v>164</v>
      </c>
      <c r="E11" s="96">
        <f>'DETALLADO MANT 4X2'!AA10*G11</f>
        <v>1340.4499999999996</v>
      </c>
      <c r="G11" s="52">
        <v>1</v>
      </c>
    </row>
    <row r="12" spans="1:26" ht="14.4" x14ac:dyDescent="0.3">
      <c r="B12" s="124">
        <v>2</v>
      </c>
      <c r="C12" s="19" t="s">
        <v>165</v>
      </c>
      <c r="D12" s="216"/>
      <c r="E12" s="96">
        <f>'DETALLADO MANT 4X2'!AA22*G11</f>
        <v>1641.6200000000001</v>
      </c>
    </row>
    <row r="13" spans="1:26" ht="14.4" x14ac:dyDescent="0.3">
      <c r="B13" s="124">
        <v>3</v>
      </c>
      <c r="C13" s="19" t="s">
        <v>166</v>
      </c>
      <c r="D13" s="217"/>
      <c r="E13" s="96">
        <f>'DETALLADO MANT 4X2'!AA29*G11</f>
        <v>3369.3500000000008</v>
      </c>
    </row>
    <row r="14" spans="1:26" ht="30.6" x14ac:dyDescent="0.3">
      <c r="B14" s="125">
        <v>4</v>
      </c>
      <c r="C14" s="113" t="s">
        <v>167</v>
      </c>
      <c r="D14" s="126" t="s">
        <v>168</v>
      </c>
      <c r="E14" s="127">
        <f>(E11+E12+E13)*0.3</f>
        <v>1905.4259999999999</v>
      </c>
    </row>
    <row r="15" spans="1:26" ht="14.4" x14ac:dyDescent="0.3">
      <c r="B15" s="218" t="s">
        <v>169</v>
      </c>
      <c r="C15" s="219"/>
      <c r="D15" s="208"/>
      <c r="E15" s="128">
        <f>SUM(E11:E14)</f>
        <v>8256.8459999999995</v>
      </c>
    </row>
    <row r="16" spans="1:26" ht="14.4" x14ac:dyDescent="0.3">
      <c r="B16" s="220" t="s">
        <v>170</v>
      </c>
      <c r="C16" s="221"/>
      <c r="D16" s="221"/>
      <c r="E16" s="221"/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8">
    <mergeCell ref="D11:D13"/>
    <mergeCell ref="B15:D15"/>
    <mergeCell ref="B16:E16"/>
    <mergeCell ref="B2:E2"/>
    <mergeCell ref="D3:D5"/>
    <mergeCell ref="B7:D7"/>
    <mergeCell ref="B8:E8"/>
    <mergeCell ref="B10:E10"/>
  </mergeCells>
  <pageMargins left="0.7" right="0.7" top="0.75" bottom="0.75" header="0" footer="0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Y1000"/>
  <sheetViews>
    <sheetView workbookViewId="0"/>
  </sheetViews>
  <sheetFormatPr baseColWidth="10" defaultColWidth="14.44140625" defaultRowHeight="15" customHeight="1" x14ac:dyDescent="0.3"/>
  <cols>
    <col min="1" max="1" width="42.44140625" customWidth="1"/>
    <col min="2" max="26" width="10.6640625" customWidth="1"/>
  </cols>
  <sheetData>
    <row r="1" spans="1:25" ht="14.4" x14ac:dyDescent="0.3">
      <c r="A1" s="201" t="s">
        <v>172</v>
      </c>
      <c r="B1" s="202"/>
      <c r="C1" s="202"/>
      <c r="D1" s="202"/>
      <c r="E1" s="202"/>
      <c r="F1" s="202"/>
      <c r="G1" s="202"/>
      <c r="H1" s="202"/>
      <c r="I1" s="202"/>
      <c r="J1" s="202"/>
      <c r="K1" s="202"/>
      <c r="L1" s="202"/>
      <c r="M1" s="202"/>
      <c r="N1" s="202"/>
      <c r="O1" s="202"/>
      <c r="P1" s="202"/>
      <c r="Q1" s="202"/>
      <c r="R1" s="202"/>
      <c r="S1" s="202"/>
      <c r="T1" s="202"/>
      <c r="U1" s="202"/>
      <c r="V1" s="202"/>
      <c r="W1" s="202"/>
      <c r="X1" s="202"/>
      <c r="Y1" s="203"/>
    </row>
    <row r="2" spans="1:25" x14ac:dyDescent="0.3">
      <c r="A2" s="72" t="s">
        <v>0</v>
      </c>
      <c r="B2" s="74">
        <v>5000</v>
      </c>
      <c r="C2" s="74">
        <v>10000</v>
      </c>
      <c r="D2" s="74">
        <v>15000</v>
      </c>
      <c r="E2" s="74">
        <v>20000</v>
      </c>
      <c r="F2" s="74">
        <v>25000</v>
      </c>
      <c r="G2" s="74">
        <v>30000</v>
      </c>
      <c r="H2" s="74">
        <v>35000</v>
      </c>
      <c r="I2" s="74">
        <v>40000</v>
      </c>
      <c r="J2" s="74">
        <v>45000</v>
      </c>
      <c r="K2" s="74">
        <v>50000</v>
      </c>
      <c r="L2" s="74">
        <v>55000</v>
      </c>
      <c r="M2" s="74">
        <v>60000</v>
      </c>
      <c r="N2" s="74">
        <v>65000</v>
      </c>
      <c r="O2" s="74">
        <v>70000</v>
      </c>
      <c r="P2" s="74">
        <v>75000</v>
      </c>
      <c r="Q2" s="74">
        <v>80000</v>
      </c>
      <c r="R2" s="74">
        <v>85000</v>
      </c>
      <c r="S2" s="74">
        <v>90000</v>
      </c>
      <c r="T2" s="74">
        <v>95000</v>
      </c>
      <c r="U2" s="74">
        <v>100000</v>
      </c>
      <c r="V2" s="74">
        <v>105000</v>
      </c>
      <c r="W2" s="74">
        <v>110000</v>
      </c>
      <c r="X2" s="74">
        <v>115000</v>
      </c>
      <c r="Y2" s="75">
        <v>120000</v>
      </c>
    </row>
    <row r="3" spans="1:25" ht="14.4" x14ac:dyDescent="0.3">
      <c r="A3" s="6" t="s">
        <v>3</v>
      </c>
      <c r="B3" s="129" t="s">
        <v>33</v>
      </c>
      <c r="C3" s="129" t="s">
        <v>33</v>
      </c>
      <c r="D3" s="129" t="s">
        <v>33</v>
      </c>
      <c r="E3" s="129" t="s">
        <v>33</v>
      </c>
      <c r="F3" s="129" t="s">
        <v>33</v>
      </c>
      <c r="G3" s="129" t="s">
        <v>33</v>
      </c>
      <c r="H3" s="129" t="s">
        <v>33</v>
      </c>
      <c r="I3" s="129" t="s">
        <v>33</v>
      </c>
      <c r="J3" s="129" t="s">
        <v>33</v>
      </c>
      <c r="K3" s="129" t="s">
        <v>33</v>
      </c>
      <c r="L3" s="129" t="s">
        <v>33</v>
      </c>
      <c r="M3" s="129" t="s">
        <v>33</v>
      </c>
      <c r="N3" s="129" t="s">
        <v>33</v>
      </c>
      <c r="O3" s="129" t="s">
        <v>33</v>
      </c>
      <c r="P3" s="129" t="s">
        <v>33</v>
      </c>
      <c r="Q3" s="129" t="s">
        <v>33</v>
      </c>
      <c r="R3" s="129" t="s">
        <v>33</v>
      </c>
      <c r="S3" s="129" t="s">
        <v>33</v>
      </c>
      <c r="T3" s="129" t="s">
        <v>33</v>
      </c>
      <c r="U3" s="129" t="s">
        <v>33</v>
      </c>
      <c r="V3" s="129" t="s">
        <v>33</v>
      </c>
      <c r="W3" s="129" t="s">
        <v>33</v>
      </c>
      <c r="X3" s="129" t="s">
        <v>33</v>
      </c>
      <c r="Y3" s="130" t="s">
        <v>33</v>
      </c>
    </row>
    <row r="4" spans="1:25" ht="14.4" x14ac:dyDescent="0.3">
      <c r="A4" s="6" t="s">
        <v>4</v>
      </c>
      <c r="B4" s="129" t="s">
        <v>33</v>
      </c>
      <c r="C4" s="129" t="s">
        <v>33</v>
      </c>
      <c r="D4" s="129" t="s">
        <v>33</v>
      </c>
      <c r="E4" s="129" t="s">
        <v>33</v>
      </c>
      <c r="F4" s="129" t="s">
        <v>33</v>
      </c>
      <c r="G4" s="129" t="s">
        <v>33</v>
      </c>
      <c r="H4" s="129" t="s">
        <v>33</v>
      </c>
      <c r="I4" s="129" t="s">
        <v>33</v>
      </c>
      <c r="J4" s="129" t="s">
        <v>33</v>
      </c>
      <c r="K4" s="129" t="s">
        <v>33</v>
      </c>
      <c r="L4" s="129" t="s">
        <v>33</v>
      </c>
      <c r="M4" s="129" t="s">
        <v>33</v>
      </c>
      <c r="N4" s="129" t="s">
        <v>33</v>
      </c>
      <c r="O4" s="129" t="s">
        <v>33</v>
      </c>
      <c r="P4" s="129" t="s">
        <v>33</v>
      </c>
      <c r="Q4" s="129" t="s">
        <v>33</v>
      </c>
      <c r="R4" s="129" t="s">
        <v>33</v>
      </c>
      <c r="S4" s="129" t="s">
        <v>33</v>
      </c>
      <c r="T4" s="129" t="s">
        <v>33</v>
      </c>
      <c r="U4" s="129" t="s">
        <v>33</v>
      </c>
      <c r="V4" s="129" t="s">
        <v>33</v>
      </c>
      <c r="W4" s="129" t="s">
        <v>33</v>
      </c>
      <c r="X4" s="129" t="s">
        <v>33</v>
      </c>
      <c r="Y4" s="130" t="s">
        <v>33</v>
      </c>
    </row>
    <row r="5" spans="1:25" ht="14.4" x14ac:dyDescent="0.3">
      <c r="A5" s="6" t="s">
        <v>5</v>
      </c>
      <c r="B5" s="129" t="s">
        <v>33</v>
      </c>
      <c r="C5" s="129" t="s">
        <v>33</v>
      </c>
      <c r="D5" s="129" t="s">
        <v>33</v>
      </c>
      <c r="E5" s="129" t="s">
        <v>33</v>
      </c>
      <c r="F5" s="129" t="s">
        <v>33</v>
      </c>
      <c r="G5" s="129" t="s">
        <v>33</v>
      </c>
      <c r="H5" s="129" t="s">
        <v>33</v>
      </c>
      <c r="I5" s="129" t="s">
        <v>33</v>
      </c>
      <c r="J5" s="129" t="s">
        <v>33</v>
      </c>
      <c r="K5" s="129" t="s">
        <v>33</v>
      </c>
      <c r="L5" s="129" t="s">
        <v>33</v>
      </c>
      <c r="M5" s="129" t="s">
        <v>33</v>
      </c>
      <c r="N5" s="129" t="s">
        <v>33</v>
      </c>
      <c r="O5" s="129" t="s">
        <v>33</v>
      </c>
      <c r="P5" s="129" t="s">
        <v>33</v>
      </c>
      <c r="Q5" s="129" t="s">
        <v>33</v>
      </c>
      <c r="R5" s="129" t="s">
        <v>33</v>
      </c>
      <c r="S5" s="129" t="s">
        <v>33</v>
      </c>
      <c r="T5" s="129" t="s">
        <v>33</v>
      </c>
      <c r="U5" s="129" t="s">
        <v>33</v>
      </c>
      <c r="V5" s="129" t="s">
        <v>33</v>
      </c>
      <c r="W5" s="129" t="s">
        <v>33</v>
      </c>
      <c r="X5" s="129" t="s">
        <v>33</v>
      </c>
      <c r="Y5" s="130" t="s">
        <v>33</v>
      </c>
    </row>
    <row r="6" spans="1:25" ht="14.4" x14ac:dyDescent="0.3">
      <c r="A6" s="6" t="s">
        <v>6</v>
      </c>
      <c r="B6" s="129" t="s">
        <v>33</v>
      </c>
      <c r="C6" s="129" t="s">
        <v>33</v>
      </c>
      <c r="D6" s="129" t="s">
        <v>33</v>
      </c>
      <c r="E6" s="129" t="s">
        <v>33</v>
      </c>
      <c r="F6" s="129" t="s">
        <v>33</v>
      </c>
      <c r="G6" s="129" t="s">
        <v>33</v>
      </c>
      <c r="H6" s="129" t="s">
        <v>33</v>
      </c>
      <c r="I6" s="129" t="s">
        <v>33</v>
      </c>
      <c r="J6" s="129" t="s">
        <v>33</v>
      </c>
      <c r="K6" s="129" t="s">
        <v>33</v>
      </c>
      <c r="L6" s="129" t="s">
        <v>33</v>
      </c>
      <c r="M6" s="129" t="s">
        <v>33</v>
      </c>
      <c r="N6" s="129" t="s">
        <v>33</v>
      </c>
      <c r="O6" s="129" t="s">
        <v>33</v>
      </c>
      <c r="P6" s="129" t="s">
        <v>33</v>
      </c>
      <c r="Q6" s="129" t="s">
        <v>33</v>
      </c>
      <c r="R6" s="129" t="s">
        <v>33</v>
      </c>
      <c r="S6" s="129" t="s">
        <v>33</v>
      </c>
      <c r="T6" s="129" t="s">
        <v>33</v>
      </c>
      <c r="U6" s="129" t="s">
        <v>33</v>
      </c>
      <c r="V6" s="129" t="s">
        <v>33</v>
      </c>
      <c r="W6" s="129" t="s">
        <v>33</v>
      </c>
      <c r="X6" s="129" t="s">
        <v>33</v>
      </c>
      <c r="Y6" s="130" t="s">
        <v>33</v>
      </c>
    </row>
    <row r="7" spans="1:25" ht="14.4" x14ac:dyDescent="0.3">
      <c r="A7" s="6" t="s">
        <v>7</v>
      </c>
      <c r="B7" s="8"/>
      <c r="C7" s="129" t="s">
        <v>33</v>
      </c>
      <c r="D7" s="8"/>
      <c r="E7" s="129" t="s">
        <v>33</v>
      </c>
      <c r="F7" s="8"/>
      <c r="G7" s="129" t="s">
        <v>33</v>
      </c>
      <c r="H7" s="8"/>
      <c r="I7" s="129" t="s">
        <v>33</v>
      </c>
      <c r="J7" s="8"/>
      <c r="K7" s="129" t="s">
        <v>33</v>
      </c>
      <c r="L7" s="8"/>
      <c r="M7" s="129" t="s">
        <v>33</v>
      </c>
      <c r="N7" s="8"/>
      <c r="O7" s="129" t="s">
        <v>33</v>
      </c>
      <c r="P7" s="8"/>
      <c r="Q7" s="129" t="s">
        <v>33</v>
      </c>
      <c r="R7" s="8"/>
      <c r="S7" s="129" t="s">
        <v>33</v>
      </c>
      <c r="T7" s="8"/>
      <c r="U7" s="129" t="s">
        <v>33</v>
      </c>
      <c r="V7" s="8"/>
      <c r="W7" s="129" t="s">
        <v>33</v>
      </c>
      <c r="X7" s="8"/>
      <c r="Y7" s="130" t="s">
        <v>33</v>
      </c>
    </row>
    <row r="8" spans="1:25" ht="14.4" x14ac:dyDescent="0.3">
      <c r="A8" s="6" t="s">
        <v>8</v>
      </c>
      <c r="B8" s="8"/>
      <c r="C8" s="129" t="s">
        <v>33</v>
      </c>
      <c r="D8" s="8"/>
      <c r="E8" s="129" t="s">
        <v>33</v>
      </c>
      <c r="F8" s="8"/>
      <c r="G8" s="129" t="s">
        <v>33</v>
      </c>
      <c r="H8" s="8"/>
      <c r="I8" s="129" t="s">
        <v>33</v>
      </c>
      <c r="J8" s="8"/>
      <c r="K8" s="129" t="s">
        <v>33</v>
      </c>
      <c r="L8" s="8"/>
      <c r="M8" s="129" t="s">
        <v>33</v>
      </c>
      <c r="N8" s="8"/>
      <c r="O8" s="129" t="s">
        <v>33</v>
      </c>
      <c r="P8" s="8"/>
      <c r="Q8" s="129" t="s">
        <v>33</v>
      </c>
      <c r="R8" s="8"/>
      <c r="S8" s="129" t="s">
        <v>33</v>
      </c>
      <c r="T8" s="8"/>
      <c r="U8" s="129" t="s">
        <v>33</v>
      </c>
      <c r="V8" s="8"/>
      <c r="W8" s="129" t="s">
        <v>33</v>
      </c>
      <c r="X8" s="8"/>
      <c r="Y8" s="130" t="s">
        <v>33</v>
      </c>
    </row>
    <row r="9" spans="1:25" ht="14.4" x14ac:dyDescent="0.3">
      <c r="A9" s="6" t="s">
        <v>9</v>
      </c>
      <c r="B9" s="8"/>
      <c r="C9" s="129" t="s">
        <v>33</v>
      </c>
      <c r="D9" s="8"/>
      <c r="E9" s="129" t="s">
        <v>33</v>
      </c>
      <c r="F9" s="8"/>
      <c r="G9" s="129" t="s">
        <v>33</v>
      </c>
      <c r="H9" s="8"/>
      <c r="I9" s="129" t="s">
        <v>33</v>
      </c>
      <c r="J9" s="8"/>
      <c r="K9" s="129" t="s">
        <v>33</v>
      </c>
      <c r="L9" s="8"/>
      <c r="M9" s="129" t="s">
        <v>33</v>
      </c>
      <c r="N9" s="8"/>
      <c r="O9" s="129" t="s">
        <v>33</v>
      </c>
      <c r="P9" s="8"/>
      <c r="Q9" s="129" t="s">
        <v>33</v>
      </c>
      <c r="R9" s="8"/>
      <c r="S9" s="129" t="s">
        <v>33</v>
      </c>
      <c r="T9" s="8"/>
      <c r="U9" s="129" t="s">
        <v>33</v>
      </c>
      <c r="V9" s="8"/>
      <c r="W9" s="129" t="s">
        <v>33</v>
      </c>
      <c r="X9" s="8"/>
      <c r="Y9" s="130" t="s">
        <v>33</v>
      </c>
    </row>
    <row r="10" spans="1:25" ht="14.4" x14ac:dyDescent="0.3">
      <c r="A10" s="6" t="s">
        <v>10</v>
      </c>
      <c r="B10" s="8"/>
      <c r="C10" s="129" t="s">
        <v>33</v>
      </c>
      <c r="D10" s="8"/>
      <c r="E10" s="129" t="s">
        <v>33</v>
      </c>
      <c r="F10" s="8"/>
      <c r="G10" s="129" t="s">
        <v>33</v>
      </c>
      <c r="H10" s="8"/>
      <c r="I10" s="129" t="s">
        <v>33</v>
      </c>
      <c r="J10" s="8"/>
      <c r="K10" s="129" t="s">
        <v>33</v>
      </c>
      <c r="L10" s="8"/>
      <c r="M10" s="129" t="s">
        <v>33</v>
      </c>
      <c r="N10" s="8"/>
      <c r="O10" s="129" t="s">
        <v>33</v>
      </c>
      <c r="P10" s="8"/>
      <c r="Q10" s="129" t="s">
        <v>33</v>
      </c>
      <c r="R10" s="8"/>
      <c r="S10" s="129" t="s">
        <v>33</v>
      </c>
      <c r="T10" s="8"/>
      <c r="U10" s="129" t="s">
        <v>33</v>
      </c>
      <c r="V10" s="8"/>
      <c r="W10" s="129" t="s">
        <v>33</v>
      </c>
      <c r="X10" s="8"/>
      <c r="Y10" s="130" t="s">
        <v>33</v>
      </c>
    </row>
    <row r="11" spans="1:25" ht="14.4" x14ac:dyDescent="0.3">
      <c r="A11" s="6" t="s">
        <v>11</v>
      </c>
      <c r="B11" s="8"/>
      <c r="C11" s="129" t="s">
        <v>33</v>
      </c>
      <c r="D11" s="8"/>
      <c r="E11" s="129" t="s">
        <v>33</v>
      </c>
      <c r="F11" s="8"/>
      <c r="G11" s="129" t="s">
        <v>33</v>
      </c>
      <c r="H11" s="8"/>
      <c r="I11" s="129" t="s">
        <v>33</v>
      </c>
      <c r="J11" s="8"/>
      <c r="K11" s="129" t="s">
        <v>33</v>
      </c>
      <c r="L11" s="8"/>
      <c r="M11" s="129" t="s">
        <v>33</v>
      </c>
      <c r="N11" s="8"/>
      <c r="O11" s="129" t="s">
        <v>33</v>
      </c>
      <c r="P11" s="8"/>
      <c r="Q11" s="129" t="s">
        <v>33</v>
      </c>
      <c r="R11" s="8"/>
      <c r="S11" s="129" t="s">
        <v>33</v>
      </c>
      <c r="T11" s="8"/>
      <c r="U11" s="129" t="s">
        <v>33</v>
      </c>
      <c r="V11" s="8"/>
      <c r="W11" s="129" t="s">
        <v>33</v>
      </c>
      <c r="X11" s="8"/>
      <c r="Y11" s="130" t="s">
        <v>33</v>
      </c>
    </row>
    <row r="12" spans="1:25" ht="14.4" x14ac:dyDescent="0.3">
      <c r="A12" s="6" t="s">
        <v>12</v>
      </c>
      <c r="B12" s="8"/>
      <c r="C12" s="129" t="s">
        <v>33</v>
      </c>
      <c r="D12" s="8"/>
      <c r="E12" s="129" t="s">
        <v>33</v>
      </c>
      <c r="F12" s="8"/>
      <c r="G12" s="129" t="s">
        <v>33</v>
      </c>
      <c r="H12" s="8"/>
      <c r="I12" s="129" t="s">
        <v>33</v>
      </c>
      <c r="J12" s="8"/>
      <c r="K12" s="129" t="s">
        <v>33</v>
      </c>
      <c r="L12" s="8"/>
      <c r="M12" s="129" t="s">
        <v>33</v>
      </c>
      <c r="N12" s="8"/>
      <c r="O12" s="129" t="s">
        <v>33</v>
      </c>
      <c r="P12" s="8"/>
      <c r="Q12" s="129" t="s">
        <v>33</v>
      </c>
      <c r="R12" s="8"/>
      <c r="S12" s="129" t="s">
        <v>33</v>
      </c>
      <c r="T12" s="8"/>
      <c r="U12" s="129" t="s">
        <v>33</v>
      </c>
      <c r="V12" s="8"/>
      <c r="W12" s="129" t="s">
        <v>33</v>
      </c>
      <c r="X12" s="8"/>
      <c r="Y12" s="130" t="s">
        <v>33</v>
      </c>
    </row>
    <row r="13" spans="1:25" ht="14.4" x14ac:dyDescent="0.3">
      <c r="A13" s="6" t="s">
        <v>13</v>
      </c>
      <c r="B13" s="8"/>
      <c r="C13" s="129" t="s">
        <v>33</v>
      </c>
      <c r="D13" s="8"/>
      <c r="E13" s="129" t="s">
        <v>33</v>
      </c>
      <c r="F13" s="8"/>
      <c r="G13" s="129" t="s">
        <v>33</v>
      </c>
      <c r="H13" s="8"/>
      <c r="I13" s="129" t="s">
        <v>33</v>
      </c>
      <c r="J13" s="8"/>
      <c r="K13" s="129" t="s">
        <v>33</v>
      </c>
      <c r="L13" s="8"/>
      <c r="M13" s="129" t="s">
        <v>33</v>
      </c>
      <c r="N13" s="8"/>
      <c r="O13" s="129" t="s">
        <v>33</v>
      </c>
      <c r="P13" s="8"/>
      <c r="Q13" s="129" t="s">
        <v>33</v>
      </c>
      <c r="R13" s="8"/>
      <c r="S13" s="129" t="s">
        <v>33</v>
      </c>
      <c r="T13" s="8"/>
      <c r="U13" s="129" t="s">
        <v>33</v>
      </c>
      <c r="V13" s="8"/>
      <c r="W13" s="129" t="s">
        <v>33</v>
      </c>
      <c r="X13" s="8"/>
      <c r="Y13" s="130" t="s">
        <v>33</v>
      </c>
    </row>
    <row r="14" spans="1:25" ht="14.4" hidden="1" x14ac:dyDescent="0.3">
      <c r="A14" s="6" t="s">
        <v>14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9"/>
    </row>
    <row r="15" spans="1:25" ht="14.4" x14ac:dyDescent="0.3">
      <c r="A15" s="6" t="s">
        <v>158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129" t="s">
        <v>33</v>
      </c>
      <c r="V15" s="8"/>
      <c r="W15" s="8"/>
      <c r="X15" s="8"/>
      <c r="Y15" s="9"/>
    </row>
    <row r="16" spans="1:25" ht="14.4" x14ac:dyDescent="0.3">
      <c r="A16" s="6" t="s">
        <v>173</v>
      </c>
      <c r="B16" s="8"/>
      <c r="C16" s="8"/>
      <c r="D16" s="8"/>
      <c r="E16" s="8"/>
      <c r="F16" s="8"/>
      <c r="G16" s="8"/>
      <c r="H16" s="8"/>
      <c r="I16" s="8"/>
      <c r="J16" s="8"/>
      <c r="K16" s="129" t="s">
        <v>33</v>
      </c>
      <c r="L16" s="8"/>
      <c r="M16" s="8"/>
      <c r="N16" s="8"/>
      <c r="O16" s="8"/>
      <c r="P16" s="8"/>
      <c r="Q16" s="8"/>
      <c r="R16" s="8"/>
      <c r="S16" s="8"/>
      <c r="T16" s="8"/>
      <c r="U16" s="129" t="s">
        <v>33</v>
      </c>
      <c r="V16" s="8"/>
      <c r="W16" s="8"/>
      <c r="X16" s="8"/>
      <c r="Y16" s="9"/>
    </row>
    <row r="17" spans="1:25" ht="14.4" x14ac:dyDescent="0.3">
      <c r="A17" s="6" t="s">
        <v>174</v>
      </c>
      <c r="B17" s="8"/>
      <c r="C17" s="8"/>
      <c r="D17" s="8"/>
      <c r="E17" s="8"/>
      <c r="F17" s="8"/>
      <c r="G17" s="8"/>
      <c r="H17" s="8"/>
      <c r="I17" s="8"/>
      <c r="J17" s="8"/>
      <c r="K17" s="129" t="s">
        <v>33</v>
      </c>
      <c r="L17" s="8"/>
      <c r="M17" s="8"/>
      <c r="N17" s="8"/>
      <c r="O17" s="8"/>
      <c r="P17" s="8"/>
      <c r="Q17" s="8"/>
      <c r="R17" s="8"/>
      <c r="S17" s="8"/>
      <c r="T17" s="8"/>
      <c r="U17" s="129" t="s">
        <v>33</v>
      </c>
      <c r="V17" s="8"/>
      <c r="W17" s="8"/>
      <c r="X17" s="8"/>
      <c r="Y17" s="9"/>
    </row>
    <row r="18" spans="1:25" ht="14.4" x14ac:dyDescent="0.3">
      <c r="A18" s="6" t="s">
        <v>175</v>
      </c>
      <c r="B18" s="8"/>
      <c r="C18" s="8"/>
      <c r="D18" s="8"/>
      <c r="E18" s="8"/>
      <c r="F18" s="8"/>
      <c r="G18" s="8"/>
      <c r="H18" s="8"/>
      <c r="I18" s="8"/>
      <c r="J18" s="8"/>
      <c r="K18" s="129" t="s">
        <v>33</v>
      </c>
      <c r="L18" s="8"/>
      <c r="M18" s="8"/>
      <c r="N18" s="8"/>
      <c r="O18" s="8"/>
      <c r="P18" s="8"/>
      <c r="Q18" s="8"/>
      <c r="R18" s="8"/>
      <c r="S18" s="8"/>
      <c r="T18" s="8"/>
      <c r="U18" s="129" t="s">
        <v>33</v>
      </c>
      <c r="V18" s="8"/>
      <c r="W18" s="8"/>
      <c r="X18" s="8"/>
      <c r="Y18" s="9"/>
    </row>
    <row r="19" spans="1:25" ht="14.4" x14ac:dyDescent="0.3">
      <c r="A19" s="6" t="s">
        <v>176</v>
      </c>
      <c r="B19" s="8"/>
      <c r="C19" s="8"/>
      <c r="D19" s="8"/>
      <c r="E19" s="8"/>
      <c r="F19" s="8"/>
      <c r="G19" s="8"/>
      <c r="H19" s="8"/>
      <c r="I19" s="8"/>
      <c r="J19" s="8"/>
      <c r="K19" s="129" t="s">
        <v>33</v>
      </c>
      <c r="L19" s="8"/>
      <c r="M19" s="8"/>
      <c r="N19" s="8"/>
      <c r="O19" s="8"/>
      <c r="P19" s="8"/>
      <c r="Q19" s="8"/>
      <c r="R19" s="8"/>
      <c r="S19" s="8"/>
      <c r="T19" s="8"/>
      <c r="U19" s="129" t="s">
        <v>33</v>
      </c>
      <c r="V19" s="8"/>
      <c r="W19" s="8"/>
      <c r="X19" s="8"/>
      <c r="Y19" s="9"/>
    </row>
    <row r="20" spans="1:25" ht="14.4" x14ac:dyDescent="0.3">
      <c r="A20" s="6" t="s">
        <v>18</v>
      </c>
      <c r="B20" s="129" t="s">
        <v>33</v>
      </c>
      <c r="C20" s="129" t="s">
        <v>33</v>
      </c>
      <c r="D20" s="129" t="s">
        <v>33</v>
      </c>
      <c r="E20" s="129" t="s">
        <v>33</v>
      </c>
      <c r="F20" s="129" t="s">
        <v>33</v>
      </c>
      <c r="G20" s="129" t="s">
        <v>33</v>
      </c>
      <c r="H20" s="129" t="s">
        <v>33</v>
      </c>
      <c r="I20" s="129" t="s">
        <v>33</v>
      </c>
      <c r="J20" s="129" t="s">
        <v>33</v>
      </c>
      <c r="K20" s="129" t="s">
        <v>33</v>
      </c>
      <c r="L20" s="129" t="s">
        <v>33</v>
      </c>
      <c r="M20" s="129" t="s">
        <v>33</v>
      </c>
      <c r="N20" s="129" t="s">
        <v>33</v>
      </c>
      <c r="O20" s="129" t="s">
        <v>33</v>
      </c>
      <c r="P20" s="129" t="s">
        <v>33</v>
      </c>
      <c r="Q20" s="129" t="s">
        <v>33</v>
      </c>
      <c r="R20" s="129" t="s">
        <v>33</v>
      </c>
      <c r="S20" s="129" t="s">
        <v>33</v>
      </c>
      <c r="T20" s="129" t="s">
        <v>33</v>
      </c>
      <c r="U20" s="129" t="s">
        <v>33</v>
      </c>
      <c r="V20" s="129" t="s">
        <v>33</v>
      </c>
      <c r="W20" s="129" t="s">
        <v>33</v>
      </c>
      <c r="X20" s="129" t="s">
        <v>33</v>
      </c>
      <c r="Y20" s="130" t="s">
        <v>33</v>
      </c>
    </row>
    <row r="21" spans="1:25" ht="15.75" customHeight="1" x14ac:dyDescent="0.3">
      <c r="A21" s="6" t="s">
        <v>19</v>
      </c>
      <c r="B21" s="8"/>
      <c r="C21" s="8"/>
      <c r="D21" s="8"/>
      <c r="E21" s="8"/>
      <c r="F21" s="8"/>
      <c r="G21" s="8"/>
      <c r="H21" s="8"/>
      <c r="I21" s="8"/>
      <c r="J21" s="8"/>
      <c r="K21" s="129" t="s">
        <v>33</v>
      </c>
      <c r="L21" s="8"/>
      <c r="M21" s="8"/>
      <c r="N21" s="8"/>
      <c r="O21" s="8"/>
      <c r="P21" s="8"/>
      <c r="Q21" s="8"/>
      <c r="R21" s="8"/>
      <c r="S21" s="8"/>
      <c r="T21" s="8"/>
      <c r="U21" s="129" t="s">
        <v>33</v>
      </c>
      <c r="V21" s="8"/>
      <c r="W21" s="8"/>
      <c r="X21" s="8"/>
      <c r="Y21" s="9"/>
    </row>
    <row r="22" spans="1:25" ht="15.75" customHeight="1" x14ac:dyDescent="0.3">
      <c r="A22" s="119" t="s">
        <v>20</v>
      </c>
      <c r="B22" s="8"/>
      <c r="C22" s="8"/>
      <c r="D22" s="8"/>
      <c r="E22" s="8"/>
      <c r="F22" s="8"/>
      <c r="G22" s="129" t="s">
        <v>33</v>
      </c>
      <c r="H22" s="8"/>
      <c r="I22" s="8"/>
      <c r="J22" s="8"/>
      <c r="K22" s="8"/>
      <c r="L22" s="8"/>
      <c r="M22" s="129" t="s">
        <v>33</v>
      </c>
      <c r="N22" s="8"/>
      <c r="O22" s="8"/>
      <c r="P22" s="8"/>
      <c r="Q22" s="8"/>
      <c r="R22" s="8"/>
      <c r="S22" s="129" t="s">
        <v>33</v>
      </c>
      <c r="T22" s="8"/>
      <c r="U22" s="8"/>
      <c r="V22" s="8"/>
      <c r="W22" s="8"/>
      <c r="X22" s="8"/>
      <c r="Y22" s="9"/>
    </row>
    <row r="23" spans="1:25" ht="15.75" customHeight="1" x14ac:dyDescent="0.3">
      <c r="A23" s="20" t="s">
        <v>54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129" t="s">
        <v>33</v>
      </c>
      <c r="P23" s="77"/>
      <c r="Q23" s="77"/>
      <c r="R23" s="77"/>
      <c r="S23" s="77"/>
      <c r="T23" s="77"/>
      <c r="U23" s="77"/>
      <c r="V23" s="77"/>
      <c r="W23" s="77"/>
      <c r="X23" s="77"/>
      <c r="Y23" s="78"/>
    </row>
    <row r="24" spans="1:25" ht="15.75" customHeight="1" x14ac:dyDescent="0.3">
      <c r="A24" s="28" t="s">
        <v>67</v>
      </c>
      <c r="B24" s="131" t="s">
        <v>33</v>
      </c>
      <c r="C24" s="131" t="s">
        <v>33</v>
      </c>
      <c r="D24" s="131" t="s">
        <v>33</v>
      </c>
      <c r="E24" s="131" t="s">
        <v>33</v>
      </c>
      <c r="F24" s="131" t="s">
        <v>33</v>
      </c>
      <c r="G24" s="131" t="s">
        <v>33</v>
      </c>
      <c r="H24" s="131" t="s">
        <v>33</v>
      </c>
      <c r="I24" s="131" t="s">
        <v>33</v>
      </c>
      <c r="J24" s="131" t="s">
        <v>33</v>
      </c>
      <c r="K24" s="131" t="s">
        <v>33</v>
      </c>
      <c r="L24" s="131" t="s">
        <v>33</v>
      </c>
      <c r="M24" s="131" t="s">
        <v>33</v>
      </c>
      <c r="N24" s="131" t="s">
        <v>33</v>
      </c>
      <c r="O24" s="131" t="s">
        <v>33</v>
      </c>
      <c r="P24" s="131" t="s">
        <v>33</v>
      </c>
      <c r="Q24" s="131" t="s">
        <v>33</v>
      </c>
      <c r="R24" s="131" t="s">
        <v>33</v>
      </c>
      <c r="S24" s="131" t="s">
        <v>33</v>
      </c>
      <c r="T24" s="131" t="s">
        <v>33</v>
      </c>
      <c r="U24" s="131" t="s">
        <v>33</v>
      </c>
      <c r="V24" s="131" t="s">
        <v>33</v>
      </c>
      <c r="W24" s="131" t="s">
        <v>33</v>
      </c>
      <c r="X24" s="131" t="s">
        <v>33</v>
      </c>
      <c r="Y24" s="132" t="s">
        <v>33</v>
      </c>
    </row>
    <row r="25" spans="1:25" ht="15.75" customHeight="1" x14ac:dyDescent="0.3">
      <c r="A25" s="31" t="s">
        <v>23</v>
      </c>
      <c r="B25" s="33"/>
      <c r="C25" s="129" t="s">
        <v>33</v>
      </c>
      <c r="D25" s="33"/>
      <c r="E25" s="129" t="s">
        <v>33</v>
      </c>
      <c r="F25" s="33"/>
      <c r="G25" s="129" t="s">
        <v>33</v>
      </c>
      <c r="H25" s="33"/>
      <c r="I25" s="129" t="s">
        <v>33</v>
      </c>
      <c r="J25" s="33"/>
      <c r="K25" s="129" t="s">
        <v>33</v>
      </c>
      <c r="L25" s="33"/>
      <c r="M25" s="129" t="s">
        <v>33</v>
      </c>
      <c r="N25" s="33"/>
      <c r="O25" s="129" t="s">
        <v>33</v>
      </c>
      <c r="P25" s="33"/>
      <c r="Q25" s="129" t="s">
        <v>33</v>
      </c>
      <c r="R25" s="33"/>
      <c r="S25" s="129" t="s">
        <v>33</v>
      </c>
      <c r="T25" s="33"/>
      <c r="U25" s="129" t="s">
        <v>33</v>
      </c>
      <c r="V25" s="33"/>
      <c r="W25" s="129" t="s">
        <v>33</v>
      </c>
      <c r="X25" s="33"/>
      <c r="Y25" s="130" t="s">
        <v>33</v>
      </c>
    </row>
    <row r="26" spans="1:25" ht="15.75" customHeight="1" x14ac:dyDescent="0.3">
      <c r="A26" s="6" t="s">
        <v>24</v>
      </c>
      <c r="B26" s="8"/>
      <c r="C26" s="129" t="s">
        <v>33</v>
      </c>
      <c r="D26" s="8"/>
      <c r="E26" s="129" t="s">
        <v>33</v>
      </c>
      <c r="F26" s="8"/>
      <c r="G26" s="129" t="s">
        <v>33</v>
      </c>
      <c r="H26" s="8"/>
      <c r="I26" s="129" t="s">
        <v>33</v>
      </c>
      <c r="J26" s="8"/>
      <c r="K26" s="129" t="s">
        <v>33</v>
      </c>
      <c r="L26" s="8"/>
      <c r="M26" s="129" t="s">
        <v>33</v>
      </c>
      <c r="N26" s="8"/>
      <c r="O26" s="129" t="s">
        <v>33</v>
      </c>
      <c r="P26" s="8"/>
      <c r="Q26" s="129" t="s">
        <v>33</v>
      </c>
      <c r="R26" s="8"/>
      <c r="S26" s="129" t="s">
        <v>33</v>
      </c>
      <c r="T26" s="8"/>
      <c r="U26" s="129" t="s">
        <v>33</v>
      </c>
      <c r="V26" s="8"/>
      <c r="W26" s="129" t="s">
        <v>33</v>
      </c>
      <c r="X26" s="8"/>
      <c r="Y26" s="130" t="s">
        <v>33</v>
      </c>
    </row>
    <row r="27" spans="1:25" ht="15.75" customHeight="1" x14ac:dyDescent="0.3">
      <c r="A27" s="40" t="s">
        <v>25</v>
      </c>
      <c r="B27" s="133"/>
      <c r="C27" s="134" t="s">
        <v>33</v>
      </c>
      <c r="D27" s="133"/>
      <c r="E27" s="134" t="s">
        <v>33</v>
      </c>
      <c r="F27" s="133"/>
      <c r="G27" s="134" t="s">
        <v>33</v>
      </c>
      <c r="H27" s="133"/>
      <c r="I27" s="134" t="s">
        <v>33</v>
      </c>
      <c r="J27" s="133"/>
      <c r="K27" s="134" t="s">
        <v>33</v>
      </c>
      <c r="L27" s="133"/>
      <c r="M27" s="134" t="s">
        <v>33</v>
      </c>
      <c r="N27" s="133"/>
      <c r="O27" s="134" t="s">
        <v>33</v>
      </c>
      <c r="P27" s="133"/>
      <c r="Q27" s="134" t="s">
        <v>33</v>
      </c>
      <c r="R27" s="133"/>
      <c r="S27" s="134" t="s">
        <v>33</v>
      </c>
      <c r="T27" s="133"/>
      <c r="U27" s="134" t="s">
        <v>33</v>
      </c>
      <c r="V27" s="133"/>
      <c r="W27" s="134" t="s">
        <v>33</v>
      </c>
      <c r="X27" s="133"/>
      <c r="Y27" s="135" t="s">
        <v>33</v>
      </c>
    </row>
    <row r="28" spans="1:25" ht="15.75" customHeight="1" x14ac:dyDescent="0.3"/>
    <row r="29" spans="1:25" ht="15.75" customHeight="1" x14ac:dyDescent="0.3"/>
    <row r="30" spans="1:25" ht="15.75" customHeight="1" x14ac:dyDescent="0.3"/>
    <row r="31" spans="1:25" ht="15.75" customHeight="1" x14ac:dyDescent="0.3"/>
    <row r="32" spans="1:25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">
    <mergeCell ref="A1:Y1"/>
  </mergeCell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000"/>
  <sheetViews>
    <sheetView workbookViewId="0"/>
  </sheetViews>
  <sheetFormatPr baseColWidth="10" defaultColWidth="14.44140625" defaultRowHeight="15" customHeight="1" x14ac:dyDescent="0.3"/>
  <cols>
    <col min="1" max="1" width="10.6640625" customWidth="1"/>
    <col min="2" max="2" width="50" customWidth="1"/>
    <col min="3" max="3" width="16" customWidth="1"/>
    <col min="4" max="4" width="13.88671875" customWidth="1"/>
    <col min="5" max="5" width="10.6640625" customWidth="1"/>
    <col min="6" max="6" width="15.6640625" customWidth="1"/>
    <col min="7" max="7" width="12.5546875" customWidth="1"/>
    <col min="8" max="8" width="14" customWidth="1"/>
    <col min="9" max="26" width="10.6640625" customWidth="1"/>
  </cols>
  <sheetData>
    <row r="1" spans="1:8" ht="14.4" x14ac:dyDescent="0.3">
      <c r="A1" s="136" t="s">
        <v>59</v>
      </c>
      <c r="B1" s="222" t="s">
        <v>60</v>
      </c>
      <c r="C1" s="205"/>
      <c r="D1" s="205"/>
      <c r="E1" s="205"/>
      <c r="F1" s="205"/>
      <c r="G1" s="205"/>
      <c r="H1" s="206"/>
    </row>
    <row r="2" spans="1:8" ht="14.4" x14ac:dyDescent="0.3">
      <c r="A2" s="136" t="s">
        <v>61</v>
      </c>
      <c r="B2" s="137" t="s">
        <v>0</v>
      </c>
      <c r="C2" s="222" t="s">
        <v>62</v>
      </c>
      <c r="D2" s="205"/>
      <c r="E2" s="205"/>
      <c r="F2" s="206"/>
      <c r="G2" s="222" t="s">
        <v>177</v>
      </c>
      <c r="H2" s="206"/>
    </row>
    <row r="3" spans="1:8" ht="43.2" x14ac:dyDescent="0.3">
      <c r="A3" s="136" t="s">
        <v>63</v>
      </c>
      <c r="B3" s="138" t="s">
        <v>64</v>
      </c>
      <c r="C3" s="139" t="s">
        <v>21</v>
      </c>
      <c r="D3" s="138" t="s">
        <v>178</v>
      </c>
      <c r="E3" s="139" t="s">
        <v>51</v>
      </c>
      <c r="F3" s="138" t="s">
        <v>179</v>
      </c>
      <c r="G3" s="138" t="s">
        <v>71</v>
      </c>
      <c r="H3" s="138" t="s">
        <v>180</v>
      </c>
    </row>
    <row r="4" spans="1:8" ht="14.4" x14ac:dyDescent="0.3">
      <c r="A4" s="136">
        <v>1</v>
      </c>
      <c r="B4" s="140" t="s">
        <v>72</v>
      </c>
      <c r="C4" s="141">
        <v>1170</v>
      </c>
      <c r="D4" s="142">
        <v>147.6</v>
      </c>
      <c r="E4" s="140"/>
      <c r="F4" s="142">
        <f t="shared" ref="F4:F27" si="0">SUM(C4:E4)</f>
        <v>1317.6</v>
      </c>
      <c r="G4" s="142">
        <f t="shared" ref="G4:G27" si="1">F4*0.12</f>
        <v>158.11199999999999</v>
      </c>
      <c r="H4" s="142">
        <f t="shared" ref="H4:H27" si="2">SUM(F4:G4)</f>
        <v>1475.712</v>
      </c>
    </row>
    <row r="5" spans="1:8" ht="14.4" x14ac:dyDescent="0.3">
      <c r="A5" s="136">
        <v>2</v>
      </c>
      <c r="B5" s="140" t="s">
        <v>75</v>
      </c>
      <c r="C5" s="142">
        <v>99.09</v>
      </c>
      <c r="D5" s="142">
        <v>132.75</v>
      </c>
      <c r="E5" s="140"/>
      <c r="F5" s="142">
        <f t="shared" si="0"/>
        <v>231.84</v>
      </c>
      <c r="G5" s="142">
        <f t="shared" si="1"/>
        <v>27.820799999999998</v>
      </c>
      <c r="H5" s="142">
        <f t="shared" si="2"/>
        <v>259.66079999999999</v>
      </c>
    </row>
    <row r="6" spans="1:8" ht="14.4" x14ac:dyDescent="0.3">
      <c r="A6" s="136">
        <v>3</v>
      </c>
      <c r="B6" s="140" t="s">
        <v>77</v>
      </c>
      <c r="C6" s="142">
        <v>187.49</v>
      </c>
      <c r="D6" s="142">
        <v>82.5</v>
      </c>
      <c r="E6" s="141">
        <v>15</v>
      </c>
      <c r="F6" s="142">
        <f t="shared" si="0"/>
        <v>284.99</v>
      </c>
      <c r="G6" s="142">
        <f t="shared" si="1"/>
        <v>34.198799999999999</v>
      </c>
      <c r="H6" s="142">
        <f t="shared" si="2"/>
        <v>319.18880000000001</v>
      </c>
    </row>
    <row r="7" spans="1:8" ht="14.4" x14ac:dyDescent="0.3">
      <c r="A7" s="136">
        <v>4</v>
      </c>
      <c r="B7" s="140" t="s">
        <v>80</v>
      </c>
      <c r="C7" s="142">
        <v>157.52000000000001</v>
      </c>
      <c r="D7" s="142">
        <v>28.5</v>
      </c>
      <c r="E7" s="140"/>
      <c r="F7" s="142">
        <f t="shared" si="0"/>
        <v>186.02</v>
      </c>
      <c r="G7" s="142">
        <f t="shared" si="1"/>
        <v>22.322400000000002</v>
      </c>
      <c r="H7" s="142">
        <f t="shared" si="2"/>
        <v>208.3424</v>
      </c>
    </row>
    <row r="8" spans="1:8" ht="14.4" x14ac:dyDescent="0.3">
      <c r="A8" s="136">
        <v>5</v>
      </c>
      <c r="B8" s="140" t="s">
        <v>82</v>
      </c>
      <c r="C8" s="141">
        <v>116</v>
      </c>
      <c r="D8" s="142">
        <v>28.5</v>
      </c>
      <c r="E8" s="140"/>
      <c r="F8" s="142">
        <f t="shared" si="0"/>
        <v>144.5</v>
      </c>
      <c r="G8" s="142">
        <f t="shared" si="1"/>
        <v>17.34</v>
      </c>
      <c r="H8" s="142">
        <f t="shared" si="2"/>
        <v>161.84</v>
      </c>
    </row>
    <row r="9" spans="1:8" ht="14.4" x14ac:dyDescent="0.3">
      <c r="A9" s="136">
        <v>6</v>
      </c>
      <c r="B9" s="140" t="s">
        <v>84</v>
      </c>
      <c r="C9" s="142">
        <v>204.44</v>
      </c>
      <c r="D9" s="142">
        <v>123.75</v>
      </c>
      <c r="E9" s="140"/>
      <c r="F9" s="142">
        <f t="shared" si="0"/>
        <v>328.19</v>
      </c>
      <c r="G9" s="142">
        <f t="shared" si="1"/>
        <v>39.382799999999996</v>
      </c>
      <c r="H9" s="142">
        <f t="shared" si="2"/>
        <v>367.57279999999997</v>
      </c>
    </row>
    <row r="10" spans="1:8" ht="14.4" x14ac:dyDescent="0.3">
      <c r="A10" s="136">
        <v>7</v>
      </c>
      <c r="B10" s="140" t="s">
        <v>86</v>
      </c>
      <c r="C10" s="142">
        <v>48.88</v>
      </c>
      <c r="D10" s="142">
        <v>61.05</v>
      </c>
      <c r="E10" s="140"/>
      <c r="F10" s="142">
        <f t="shared" si="0"/>
        <v>109.93</v>
      </c>
      <c r="G10" s="142">
        <f t="shared" si="1"/>
        <v>13.191600000000001</v>
      </c>
      <c r="H10" s="142">
        <f t="shared" si="2"/>
        <v>123.1216</v>
      </c>
    </row>
    <row r="11" spans="1:8" ht="14.4" x14ac:dyDescent="0.3">
      <c r="A11" s="136">
        <v>8</v>
      </c>
      <c r="B11" s="140" t="s">
        <v>88</v>
      </c>
      <c r="C11" s="142">
        <v>7.76</v>
      </c>
      <c r="D11" s="141">
        <v>82</v>
      </c>
      <c r="E11" s="140"/>
      <c r="F11" s="142">
        <f t="shared" si="0"/>
        <v>89.76</v>
      </c>
      <c r="G11" s="142">
        <f t="shared" si="1"/>
        <v>10.7712</v>
      </c>
      <c r="H11" s="142">
        <f t="shared" si="2"/>
        <v>100.53120000000001</v>
      </c>
    </row>
    <row r="12" spans="1:8" ht="14.4" x14ac:dyDescent="0.3">
      <c r="A12" s="136">
        <v>9</v>
      </c>
      <c r="B12" s="140" t="s">
        <v>90</v>
      </c>
      <c r="C12" s="142">
        <v>119.18</v>
      </c>
      <c r="D12" s="141">
        <v>30</v>
      </c>
      <c r="E12" s="140"/>
      <c r="F12" s="142">
        <f t="shared" si="0"/>
        <v>149.18</v>
      </c>
      <c r="G12" s="142">
        <f t="shared" si="1"/>
        <v>17.901599999999998</v>
      </c>
      <c r="H12" s="142">
        <f t="shared" si="2"/>
        <v>167.08160000000001</v>
      </c>
    </row>
    <row r="13" spans="1:8" ht="14.4" x14ac:dyDescent="0.3">
      <c r="A13" s="136">
        <v>10</v>
      </c>
      <c r="B13" s="140" t="s">
        <v>92</v>
      </c>
      <c r="C13" s="142">
        <v>141.47999999999999</v>
      </c>
      <c r="D13" s="141">
        <v>30</v>
      </c>
      <c r="E13" s="140"/>
      <c r="F13" s="142">
        <f t="shared" si="0"/>
        <v>171.48</v>
      </c>
      <c r="G13" s="142">
        <f t="shared" si="1"/>
        <v>20.577599999999997</v>
      </c>
      <c r="H13" s="142">
        <f t="shared" si="2"/>
        <v>192.05759999999998</v>
      </c>
    </row>
    <row r="14" spans="1:8" ht="14.4" x14ac:dyDescent="0.3">
      <c r="A14" s="136">
        <v>11</v>
      </c>
      <c r="B14" s="140" t="s">
        <v>94</v>
      </c>
      <c r="C14" s="142">
        <v>40</v>
      </c>
      <c r="D14" s="142">
        <v>82.5</v>
      </c>
      <c r="E14" s="140"/>
      <c r="F14" s="142">
        <f t="shared" si="0"/>
        <v>122.5</v>
      </c>
      <c r="G14" s="142">
        <f t="shared" si="1"/>
        <v>14.7</v>
      </c>
      <c r="H14" s="142">
        <f t="shared" si="2"/>
        <v>137.19999999999999</v>
      </c>
    </row>
    <row r="15" spans="1:8" ht="14.4" x14ac:dyDescent="0.3">
      <c r="A15" s="136">
        <v>12</v>
      </c>
      <c r="B15" s="140" t="s">
        <v>96</v>
      </c>
      <c r="C15" s="142">
        <v>12.96</v>
      </c>
      <c r="D15" s="142">
        <v>82.5</v>
      </c>
      <c r="E15" s="140"/>
      <c r="F15" s="142">
        <f t="shared" si="0"/>
        <v>95.460000000000008</v>
      </c>
      <c r="G15" s="142">
        <f t="shared" si="1"/>
        <v>11.455200000000001</v>
      </c>
      <c r="H15" s="142">
        <f t="shared" si="2"/>
        <v>106.91520000000001</v>
      </c>
    </row>
    <row r="16" spans="1:8" ht="14.4" x14ac:dyDescent="0.3">
      <c r="A16" s="136">
        <v>13</v>
      </c>
      <c r="B16" s="140" t="s">
        <v>99</v>
      </c>
      <c r="C16" s="142">
        <v>201.37</v>
      </c>
      <c r="D16" s="142">
        <v>86.05</v>
      </c>
      <c r="E16" s="140"/>
      <c r="F16" s="142">
        <f t="shared" si="0"/>
        <v>287.42</v>
      </c>
      <c r="G16" s="142">
        <f t="shared" si="1"/>
        <v>34.490400000000001</v>
      </c>
      <c r="H16" s="142">
        <f t="shared" si="2"/>
        <v>321.91040000000004</v>
      </c>
    </row>
    <row r="17" spans="1:8" ht="14.4" x14ac:dyDescent="0.3">
      <c r="A17" s="136">
        <v>14</v>
      </c>
      <c r="B17" s="140" t="s">
        <v>102</v>
      </c>
      <c r="C17" s="142">
        <v>30.44</v>
      </c>
      <c r="D17" s="142">
        <v>50.05</v>
      </c>
      <c r="E17" s="140"/>
      <c r="F17" s="142">
        <f t="shared" si="0"/>
        <v>80.489999999999995</v>
      </c>
      <c r="G17" s="142">
        <f t="shared" si="1"/>
        <v>9.6587999999999994</v>
      </c>
      <c r="H17" s="142">
        <f t="shared" si="2"/>
        <v>90.148799999999994</v>
      </c>
    </row>
    <row r="18" spans="1:8" ht="14.4" x14ac:dyDescent="0.3">
      <c r="A18" s="136">
        <v>15</v>
      </c>
      <c r="B18" s="140" t="s">
        <v>104</v>
      </c>
      <c r="C18" s="142">
        <v>1557.56</v>
      </c>
      <c r="D18" s="142">
        <v>41.25</v>
      </c>
      <c r="E18" s="140"/>
      <c r="F18" s="142">
        <f t="shared" si="0"/>
        <v>1598.81</v>
      </c>
      <c r="G18" s="142">
        <f t="shared" si="1"/>
        <v>191.85719999999998</v>
      </c>
      <c r="H18" s="142">
        <f t="shared" si="2"/>
        <v>1790.6671999999999</v>
      </c>
    </row>
    <row r="19" spans="1:8" ht="14.4" x14ac:dyDescent="0.3">
      <c r="A19" s="136">
        <v>16</v>
      </c>
      <c r="B19" s="140" t="s">
        <v>106</v>
      </c>
      <c r="C19" s="142">
        <v>1340.14</v>
      </c>
      <c r="D19" s="142">
        <v>99.5</v>
      </c>
      <c r="E19" s="140"/>
      <c r="F19" s="142">
        <f t="shared" si="0"/>
        <v>1439.64</v>
      </c>
      <c r="G19" s="142">
        <f t="shared" si="1"/>
        <v>172.7568</v>
      </c>
      <c r="H19" s="142">
        <f t="shared" si="2"/>
        <v>1612.3968</v>
      </c>
    </row>
    <row r="20" spans="1:8" ht="14.4" x14ac:dyDescent="0.3">
      <c r="A20" s="136">
        <v>17</v>
      </c>
      <c r="B20" s="140" t="s">
        <v>109</v>
      </c>
      <c r="C20" s="141">
        <v>500</v>
      </c>
      <c r="D20" s="142">
        <v>82.5</v>
      </c>
      <c r="E20" s="141">
        <v>15</v>
      </c>
      <c r="F20" s="142">
        <f t="shared" si="0"/>
        <v>597.5</v>
      </c>
      <c r="G20" s="142">
        <f t="shared" si="1"/>
        <v>71.7</v>
      </c>
      <c r="H20" s="142">
        <f t="shared" si="2"/>
        <v>669.2</v>
      </c>
    </row>
    <row r="21" spans="1:8" ht="15.75" customHeight="1" x14ac:dyDescent="0.3">
      <c r="A21" s="136">
        <v>18</v>
      </c>
      <c r="B21" s="140" t="s">
        <v>111</v>
      </c>
      <c r="C21" s="142">
        <v>71.36</v>
      </c>
      <c r="D21" s="141">
        <v>51</v>
      </c>
      <c r="E21" s="140"/>
      <c r="F21" s="142">
        <f t="shared" si="0"/>
        <v>122.36</v>
      </c>
      <c r="G21" s="142">
        <f t="shared" si="1"/>
        <v>14.683199999999999</v>
      </c>
      <c r="H21" s="142">
        <f t="shared" si="2"/>
        <v>137.04320000000001</v>
      </c>
    </row>
    <row r="22" spans="1:8" ht="15.75" customHeight="1" x14ac:dyDescent="0.3">
      <c r="A22" s="136">
        <v>19</v>
      </c>
      <c r="B22" s="140" t="s">
        <v>114</v>
      </c>
      <c r="C22" s="142">
        <v>71.08</v>
      </c>
      <c r="D22" s="141">
        <v>51</v>
      </c>
      <c r="E22" s="140"/>
      <c r="F22" s="142">
        <f t="shared" si="0"/>
        <v>122.08</v>
      </c>
      <c r="G22" s="142">
        <f t="shared" si="1"/>
        <v>14.6496</v>
      </c>
      <c r="H22" s="142">
        <f t="shared" si="2"/>
        <v>136.7296</v>
      </c>
    </row>
    <row r="23" spans="1:8" ht="15.75" customHeight="1" x14ac:dyDescent="0.3">
      <c r="A23" s="136">
        <v>20</v>
      </c>
      <c r="B23" s="140" t="s">
        <v>115</v>
      </c>
      <c r="C23" s="142">
        <v>390.18</v>
      </c>
      <c r="D23" s="142">
        <v>109.5</v>
      </c>
      <c r="E23" s="140"/>
      <c r="F23" s="142">
        <f t="shared" si="0"/>
        <v>499.68</v>
      </c>
      <c r="G23" s="142">
        <f t="shared" si="1"/>
        <v>59.961599999999997</v>
      </c>
      <c r="H23" s="142">
        <f t="shared" si="2"/>
        <v>559.64160000000004</v>
      </c>
    </row>
    <row r="24" spans="1:8" ht="15.75" customHeight="1" x14ac:dyDescent="0.3">
      <c r="A24" s="136">
        <v>21</v>
      </c>
      <c r="B24" s="140" t="s">
        <v>118</v>
      </c>
      <c r="C24" s="142">
        <v>48.27</v>
      </c>
      <c r="D24" s="142">
        <v>14.85</v>
      </c>
      <c r="E24" s="140"/>
      <c r="F24" s="142">
        <f t="shared" si="0"/>
        <v>63.120000000000005</v>
      </c>
      <c r="G24" s="142">
        <f t="shared" si="1"/>
        <v>7.5744000000000007</v>
      </c>
      <c r="H24" s="142">
        <f t="shared" si="2"/>
        <v>70.694400000000002</v>
      </c>
    </row>
    <row r="25" spans="1:8" ht="15.75" customHeight="1" x14ac:dyDescent="0.3">
      <c r="A25" s="136">
        <v>22</v>
      </c>
      <c r="B25" s="140" t="s">
        <v>120</v>
      </c>
      <c r="C25" s="142">
        <v>177.84</v>
      </c>
      <c r="D25" s="141">
        <v>240</v>
      </c>
      <c r="E25" s="141">
        <v>48</v>
      </c>
      <c r="F25" s="142">
        <f t="shared" si="0"/>
        <v>465.84000000000003</v>
      </c>
      <c r="G25" s="142">
        <f t="shared" si="1"/>
        <v>55.900800000000004</v>
      </c>
      <c r="H25" s="142">
        <f t="shared" si="2"/>
        <v>521.74080000000004</v>
      </c>
    </row>
    <row r="26" spans="1:8" ht="15.75" customHeight="1" x14ac:dyDescent="0.3">
      <c r="A26" s="136">
        <v>23</v>
      </c>
      <c r="B26" s="140" t="s">
        <v>123</v>
      </c>
      <c r="C26" s="142">
        <v>192.32</v>
      </c>
      <c r="D26" s="141">
        <v>240</v>
      </c>
      <c r="E26" s="141">
        <v>48</v>
      </c>
      <c r="F26" s="142">
        <f t="shared" si="0"/>
        <v>480.32</v>
      </c>
      <c r="G26" s="142">
        <f t="shared" si="1"/>
        <v>57.638399999999997</v>
      </c>
      <c r="H26" s="142">
        <f t="shared" si="2"/>
        <v>537.95839999999998</v>
      </c>
    </row>
    <row r="27" spans="1:8" ht="15.75" customHeight="1" x14ac:dyDescent="0.3">
      <c r="A27" s="143">
        <v>24</v>
      </c>
      <c r="B27" s="144" t="s">
        <v>125</v>
      </c>
      <c r="C27" s="145">
        <v>329.28</v>
      </c>
      <c r="D27" s="146">
        <v>66</v>
      </c>
      <c r="E27" s="144"/>
      <c r="F27" s="142">
        <f t="shared" si="0"/>
        <v>395.28</v>
      </c>
      <c r="G27" s="142">
        <f t="shared" si="1"/>
        <v>47.433599999999998</v>
      </c>
      <c r="H27" s="142">
        <f t="shared" si="2"/>
        <v>442.71359999999999</v>
      </c>
    </row>
    <row r="28" spans="1:8" ht="15.75" customHeight="1" x14ac:dyDescent="0.3">
      <c r="A28" s="147"/>
      <c r="B28" s="148" t="s">
        <v>70</v>
      </c>
      <c r="C28" s="149">
        <f t="shared" ref="C28:H28" si="3">SUM(C4:C27)</f>
        <v>7214.64</v>
      </c>
      <c r="D28" s="150">
        <f t="shared" si="3"/>
        <v>2043.35</v>
      </c>
      <c r="E28" s="148">
        <f t="shared" si="3"/>
        <v>126</v>
      </c>
      <c r="F28" s="150">
        <f t="shared" si="3"/>
        <v>9383.99</v>
      </c>
      <c r="G28" s="150">
        <f t="shared" si="3"/>
        <v>1126.0788</v>
      </c>
      <c r="H28" s="151">
        <f t="shared" si="3"/>
        <v>10510.068799999999</v>
      </c>
    </row>
    <row r="29" spans="1:8" ht="15.75" customHeight="1" x14ac:dyDescent="0.3">
      <c r="A29" s="124"/>
      <c r="B29" s="136" t="s">
        <v>71</v>
      </c>
      <c r="C29" s="152">
        <f t="shared" ref="C29:F29" si="4">C28*0.12</f>
        <v>865.7568</v>
      </c>
      <c r="D29" s="152">
        <f t="shared" si="4"/>
        <v>245.20199999999997</v>
      </c>
      <c r="E29" s="152">
        <f t="shared" si="4"/>
        <v>15.12</v>
      </c>
      <c r="F29" s="152">
        <f t="shared" si="4"/>
        <v>1126.0788</v>
      </c>
      <c r="G29" s="136"/>
      <c r="H29" s="153"/>
    </row>
    <row r="30" spans="1:8" ht="15.75" customHeight="1" x14ac:dyDescent="0.3">
      <c r="A30" s="154"/>
      <c r="B30" s="155" t="s">
        <v>27</v>
      </c>
      <c r="C30" s="156">
        <f t="shared" ref="C30:F30" si="5">SUM(C28:C29)</f>
        <v>8080.3968000000004</v>
      </c>
      <c r="D30" s="156">
        <f t="shared" si="5"/>
        <v>2288.5519999999997</v>
      </c>
      <c r="E30" s="156">
        <f t="shared" si="5"/>
        <v>141.12</v>
      </c>
      <c r="F30" s="157">
        <f t="shared" si="5"/>
        <v>10510.068799999999</v>
      </c>
      <c r="G30" s="155"/>
      <c r="H30" s="158"/>
    </row>
    <row r="31" spans="1:8" ht="15.75" customHeight="1" x14ac:dyDescent="0.3"/>
    <row r="32" spans="1:8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3">
    <mergeCell ref="B1:H1"/>
    <mergeCell ref="C2:F2"/>
    <mergeCell ref="G2:H2"/>
  </mergeCell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I1000"/>
  <sheetViews>
    <sheetView workbookViewId="0">
      <selection activeCell="K12" sqref="K12"/>
    </sheetView>
  </sheetViews>
  <sheetFormatPr baseColWidth="10" defaultColWidth="14.44140625" defaultRowHeight="15" customHeight="1" x14ac:dyDescent="0.3"/>
  <cols>
    <col min="1" max="1" width="10.6640625" customWidth="1"/>
    <col min="2" max="2" width="46" customWidth="1"/>
    <col min="3" max="6" width="10.6640625" customWidth="1"/>
    <col min="7" max="8" width="10.6640625" hidden="1" customWidth="1"/>
    <col min="9" max="26" width="10.6640625" customWidth="1"/>
  </cols>
  <sheetData>
    <row r="1" spans="1:9" ht="14.4" x14ac:dyDescent="0.3">
      <c r="A1" s="136" t="s">
        <v>59</v>
      </c>
      <c r="B1" s="222" t="s">
        <v>60</v>
      </c>
      <c r="C1" s="205"/>
      <c r="D1" s="205"/>
      <c r="E1" s="205"/>
      <c r="F1" s="205"/>
      <c r="G1" s="205"/>
      <c r="H1" s="206"/>
    </row>
    <row r="2" spans="1:9" ht="14.4" x14ac:dyDescent="0.3">
      <c r="A2" s="136" t="s">
        <v>61</v>
      </c>
      <c r="B2" s="137" t="s">
        <v>44</v>
      </c>
      <c r="C2" s="222" t="s">
        <v>62</v>
      </c>
      <c r="D2" s="205"/>
      <c r="E2" s="205"/>
      <c r="F2" s="206"/>
      <c r="G2" s="222" t="s">
        <v>177</v>
      </c>
      <c r="H2" s="206"/>
    </row>
    <row r="3" spans="1:9" ht="43.2" x14ac:dyDescent="0.3">
      <c r="A3" s="136" t="s">
        <v>63</v>
      </c>
      <c r="B3" s="138" t="s">
        <v>64</v>
      </c>
      <c r="C3" s="139" t="s">
        <v>21</v>
      </c>
      <c r="D3" s="138" t="s">
        <v>178</v>
      </c>
      <c r="E3" s="139" t="s">
        <v>51</v>
      </c>
      <c r="F3" s="138" t="s">
        <v>179</v>
      </c>
      <c r="G3" s="138" t="s">
        <v>71</v>
      </c>
      <c r="H3" s="138" t="s">
        <v>180</v>
      </c>
    </row>
    <row r="4" spans="1:9" ht="14.4" x14ac:dyDescent="0.3">
      <c r="A4" s="136">
        <v>1</v>
      </c>
      <c r="B4" s="140" t="s">
        <v>72</v>
      </c>
      <c r="C4" s="142">
        <v>1377.23</v>
      </c>
      <c r="D4" s="142">
        <v>147.6</v>
      </c>
      <c r="E4" s="140"/>
      <c r="F4" s="142">
        <f t="shared" ref="F4:F8" si="0">SUM(C4:E4)</f>
        <v>1524.83</v>
      </c>
      <c r="G4" s="142">
        <f t="shared" ref="G4:G9" si="1">F4*0.15</f>
        <v>228.72449999999998</v>
      </c>
      <c r="H4" s="142">
        <f t="shared" ref="H4:H9" si="2">SUM(F4:G4)</f>
        <v>1753.5545</v>
      </c>
    </row>
    <row r="5" spans="1:9" ht="14.4" x14ac:dyDescent="0.3">
      <c r="A5" s="136">
        <v>2</v>
      </c>
      <c r="B5" s="140" t="s">
        <v>75</v>
      </c>
      <c r="C5" s="142">
        <v>151.24</v>
      </c>
      <c r="D5" s="142">
        <v>132.75</v>
      </c>
      <c r="E5" s="140"/>
      <c r="F5" s="142">
        <f t="shared" si="0"/>
        <v>283.99</v>
      </c>
      <c r="G5" s="142">
        <f t="shared" si="1"/>
        <v>42.598500000000001</v>
      </c>
      <c r="H5" s="142">
        <f t="shared" si="2"/>
        <v>326.58850000000001</v>
      </c>
    </row>
    <row r="6" spans="1:9" ht="14.4" x14ac:dyDescent="0.3">
      <c r="A6" s="136">
        <v>3</v>
      </c>
      <c r="B6" s="140" t="s">
        <v>181</v>
      </c>
      <c r="C6" s="142">
        <v>122.65</v>
      </c>
      <c r="D6" s="142">
        <v>82.5</v>
      </c>
      <c r="E6" s="141"/>
      <c r="F6" s="142">
        <f t="shared" si="0"/>
        <v>205.15</v>
      </c>
      <c r="G6" s="142">
        <f t="shared" si="1"/>
        <v>30.772500000000001</v>
      </c>
      <c r="H6" s="142">
        <f t="shared" si="2"/>
        <v>235.92250000000001</v>
      </c>
    </row>
    <row r="7" spans="1:9" ht="14.4" x14ac:dyDescent="0.3">
      <c r="A7" s="136">
        <v>4</v>
      </c>
      <c r="B7" s="140" t="s">
        <v>182</v>
      </c>
      <c r="C7" s="142">
        <v>27.89</v>
      </c>
      <c r="D7" s="142">
        <v>28.5</v>
      </c>
      <c r="E7" s="140"/>
      <c r="F7" s="142">
        <f t="shared" si="0"/>
        <v>56.39</v>
      </c>
      <c r="G7" s="142">
        <f t="shared" si="1"/>
        <v>8.458499999999999</v>
      </c>
      <c r="H7" s="142">
        <f t="shared" si="2"/>
        <v>64.848500000000001</v>
      </c>
    </row>
    <row r="8" spans="1:9" ht="14.4" x14ac:dyDescent="0.3">
      <c r="A8" s="136">
        <v>5</v>
      </c>
      <c r="B8" s="140" t="s">
        <v>183</v>
      </c>
      <c r="C8" s="142">
        <v>31.57</v>
      </c>
      <c r="D8" s="142">
        <v>28.5</v>
      </c>
      <c r="E8" s="140"/>
      <c r="F8" s="142">
        <f t="shared" si="0"/>
        <v>60.07</v>
      </c>
      <c r="G8" s="142">
        <f t="shared" si="1"/>
        <v>9.0105000000000004</v>
      </c>
      <c r="H8" s="142">
        <f t="shared" si="2"/>
        <v>69.080500000000001</v>
      </c>
    </row>
    <row r="9" spans="1:9" ht="14.4" x14ac:dyDescent="0.3">
      <c r="A9" s="136">
        <v>6</v>
      </c>
      <c r="B9" s="140" t="s">
        <v>144</v>
      </c>
      <c r="C9" s="142">
        <v>199.56</v>
      </c>
      <c r="D9" s="223">
        <v>123.75</v>
      </c>
      <c r="E9" s="140"/>
      <c r="F9" s="223">
        <f>SUM(C9+C10+C11+C12+D9)</f>
        <v>583.40000000000009</v>
      </c>
      <c r="G9" s="223">
        <f t="shared" si="1"/>
        <v>87.51</v>
      </c>
      <c r="H9" s="223">
        <f t="shared" si="2"/>
        <v>670.91000000000008</v>
      </c>
      <c r="I9" s="159"/>
    </row>
    <row r="10" spans="1:9" ht="14.4" x14ac:dyDescent="0.3">
      <c r="A10" s="136"/>
      <c r="B10" s="140" t="s">
        <v>143</v>
      </c>
      <c r="C10" s="142">
        <v>220.5</v>
      </c>
      <c r="D10" s="216"/>
      <c r="E10" s="140"/>
      <c r="F10" s="216"/>
      <c r="G10" s="216"/>
      <c r="H10" s="216"/>
    </row>
    <row r="11" spans="1:9" ht="14.4" x14ac:dyDescent="0.3">
      <c r="A11" s="136"/>
      <c r="B11" s="140" t="s">
        <v>145</v>
      </c>
      <c r="C11" s="142">
        <v>33.6</v>
      </c>
      <c r="D11" s="216"/>
      <c r="E11" s="140"/>
      <c r="F11" s="216"/>
      <c r="G11" s="216"/>
      <c r="H11" s="216"/>
    </row>
    <row r="12" spans="1:9" ht="14.4" x14ac:dyDescent="0.3">
      <c r="A12" s="136"/>
      <c r="B12" s="140" t="s">
        <v>184</v>
      </c>
      <c r="C12" s="142">
        <v>5.99</v>
      </c>
      <c r="D12" s="217"/>
      <c r="E12" s="140"/>
      <c r="F12" s="217"/>
      <c r="G12" s="217"/>
      <c r="H12" s="217"/>
    </row>
    <row r="13" spans="1:9" ht="14.4" x14ac:dyDescent="0.3">
      <c r="A13" s="136">
        <v>7</v>
      </c>
      <c r="B13" s="140" t="s">
        <v>185</v>
      </c>
      <c r="C13" s="142">
        <v>16.8</v>
      </c>
      <c r="D13" s="142">
        <v>61.05</v>
      </c>
      <c r="E13" s="140"/>
      <c r="F13" s="142">
        <f t="shared" ref="F13:F48" si="3">SUM(C13:E13)</f>
        <v>77.849999999999994</v>
      </c>
      <c r="G13" s="142">
        <f t="shared" ref="G13:G48" si="4">F13*0.15</f>
        <v>11.677499999999998</v>
      </c>
      <c r="H13" s="142">
        <f t="shared" ref="H13:H48" si="5">SUM(F13:G13)</f>
        <v>89.527499999999989</v>
      </c>
    </row>
    <row r="14" spans="1:9" ht="14.4" x14ac:dyDescent="0.3">
      <c r="A14" s="136">
        <v>8</v>
      </c>
      <c r="B14" s="140" t="s">
        <v>186</v>
      </c>
      <c r="C14" s="142">
        <v>11.55</v>
      </c>
      <c r="D14" s="142">
        <v>82</v>
      </c>
      <c r="E14" s="140"/>
      <c r="F14" s="142">
        <f t="shared" si="3"/>
        <v>93.55</v>
      </c>
      <c r="G14" s="142">
        <f t="shared" si="4"/>
        <v>14.032499999999999</v>
      </c>
      <c r="H14" s="142">
        <f t="shared" si="5"/>
        <v>107.5825</v>
      </c>
    </row>
    <row r="15" spans="1:9" ht="14.4" x14ac:dyDescent="0.3">
      <c r="A15" s="136">
        <v>9</v>
      </c>
      <c r="B15" s="140" t="s">
        <v>187</v>
      </c>
      <c r="C15" s="142">
        <v>78.66</v>
      </c>
      <c r="D15" s="142">
        <v>30</v>
      </c>
      <c r="E15" s="140"/>
      <c r="F15" s="142">
        <f t="shared" si="3"/>
        <v>108.66</v>
      </c>
      <c r="G15" s="142">
        <f t="shared" si="4"/>
        <v>16.298999999999999</v>
      </c>
      <c r="H15" s="142">
        <f t="shared" si="5"/>
        <v>124.959</v>
      </c>
    </row>
    <row r="16" spans="1:9" ht="14.4" x14ac:dyDescent="0.3">
      <c r="A16" s="136">
        <v>10</v>
      </c>
      <c r="B16" s="140" t="s">
        <v>188</v>
      </c>
      <c r="C16" s="142">
        <v>84</v>
      </c>
      <c r="D16" s="142">
        <v>30</v>
      </c>
      <c r="E16" s="140"/>
      <c r="F16" s="142">
        <f t="shared" si="3"/>
        <v>114</v>
      </c>
      <c r="G16" s="142">
        <f t="shared" si="4"/>
        <v>17.099999999999998</v>
      </c>
      <c r="H16" s="142">
        <f t="shared" si="5"/>
        <v>131.1</v>
      </c>
    </row>
    <row r="17" spans="1:8" ht="14.4" x14ac:dyDescent="0.3">
      <c r="A17" s="136">
        <v>11</v>
      </c>
      <c r="B17" s="140" t="s">
        <v>189</v>
      </c>
      <c r="C17" s="142">
        <v>3.77</v>
      </c>
      <c r="D17" s="142">
        <v>82.5</v>
      </c>
      <c r="E17" s="140"/>
      <c r="F17" s="142">
        <f t="shared" si="3"/>
        <v>86.27</v>
      </c>
      <c r="G17" s="142">
        <f t="shared" si="4"/>
        <v>12.940499999999998</v>
      </c>
      <c r="H17" s="142">
        <f t="shared" si="5"/>
        <v>99.210499999999996</v>
      </c>
    </row>
    <row r="18" spans="1:8" ht="14.4" x14ac:dyDescent="0.3">
      <c r="A18" s="136">
        <v>12</v>
      </c>
      <c r="B18" s="140" t="s">
        <v>96</v>
      </c>
      <c r="C18" s="142">
        <v>14.88</v>
      </c>
      <c r="D18" s="142">
        <v>82.5</v>
      </c>
      <c r="E18" s="140"/>
      <c r="F18" s="142">
        <f t="shared" si="3"/>
        <v>97.38</v>
      </c>
      <c r="G18" s="142">
        <f t="shared" si="4"/>
        <v>14.606999999999999</v>
      </c>
      <c r="H18" s="142">
        <f t="shared" si="5"/>
        <v>111.98699999999999</v>
      </c>
    </row>
    <row r="19" spans="1:8" ht="14.4" x14ac:dyDescent="0.3">
      <c r="A19" s="136">
        <v>13</v>
      </c>
      <c r="B19" s="140" t="s">
        <v>99</v>
      </c>
      <c r="C19" s="142">
        <v>121.77</v>
      </c>
      <c r="D19" s="142">
        <v>86.05</v>
      </c>
      <c r="E19" s="140"/>
      <c r="F19" s="142">
        <f t="shared" si="3"/>
        <v>207.82</v>
      </c>
      <c r="G19" s="142">
        <f t="shared" si="4"/>
        <v>31.172999999999998</v>
      </c>
      <c r="H19" s="142">
        <f t="shared" si="5"/>
        <v>238.99299999999999</v>
      </c>
    </row>
    <row r="20" spans="1:8" ht="14.4" x14ac:dyDescent="0.3">
      <c r="A20" s="136">
        <v>14</v>
      </c>
      <c r="B20" s="140" t="s">
        <v>190</v>
      </c>
      <c r="C20" s="142">
        <v>14.44</v>
      </c>
      <c r="D20" s="142">
        <v>50.05</v>
      </c>
      <c r="E20" s="140"/>
      <c r="F20" s="142">
        <f t="shared" si="3"/>
        <v>64.489999999999995</v>
      </c>
      <c r="G20" s="142">
        <f t="shared" si="4"/>
        <v>9.6734999999999989</v>
      </c>
      <c r="H20" s="142">
        <f t="shared" si="5"/>
        <v>74.163499999999999</v>
      </c>
    </row>
    <row r="21" spans="1:8" ht="15.75" customHeight="1" x14ac:dyDescent="0.3">
      <c r="A21" s="136"/>
      <c r="B21" s="140" t="s">
        <v>191</v>
      </c>
      <c r="C21" s="142">
        <v>15</v>
      </c>
      <c r="D21" s="142">
        <v>50.05</v>
      </c>
      <c r="E21" s="140"/>
      <c r="F21" s="142">
        <f t="shared" si="3"/>
        <v>65.05</v>
      </c>
      <c r="G21" s="142">
        <f t="shared" si="4"/>
        <v>9.7574999999999985</v>
      </c>
      <c r="H21" s="142">
        <f t="shared" si="5"/>
        <v>74.80749999999999</v>
      </c>
    </row>
    <row r="22" spans="1:8" ht="15.75" customHeight="1" x14ac:dyDescent="0.3">
      <c r="A22" s="136">
        <v>15</v>
      </c>
      <c r="B22" s="140" t="s">
        <v>192</v>
      </c>
      <c r="C22" s="142">
        <v>362.53</v>
      </c>
      <c r="D22" s="142">
        <v>41.25</v>
      </c>
      <c r="E22" s="140"/>
      <c r="F22" s="142">
        <f t="shared" si="3"/>
        <v>403.78</v>
      </c>
      <c r="G22" s="142">
        <f t="shared" si="4"/>
        <v>60.566999999999993</v>
      </c>
      <c r="H22" s="142">
        <f t="shared" si="5"/>
        <v>464.34699999999998</v>
      </c>
    </row>
    <row r="23" spans="1:8" ht="15.75" customHeight="1" x14ac:dyDescent="0.3">
      <c r="A23" s="136">
        <v>16</v>
      </c>
      <c r="B23" s="140" t="s">
        <v>106</v>
      </c>
      <c r="C23" s="142">
        <v>547.6</v>
      </c>
      <c r="D23" s="142">
        <v>99.5</v>
      </c>
      <c r="E23" s="140"/>
      <c r="F23" s="142">
        <f t="shared" si="3"/>
        <v>647.1</v>
      </c>
      <c r="G23" s="142">
        <f t="shared" si="4"/>
        <v>97.064999999999998</v>
      </c>
      <c r="H23" s="142">
        <f t="shared" si="5"/>
        <v>744.16499999999996</v>
      </c>
    </row>
    <row r="24" spans="1:8" ht="15.75" customHeight="1" x14ac:dyDescent="0.3">
      <c r="A24" s="136">
        <v>17</v>
      </c>
      <c r="B24" s="140" t="s">
        <v>193</v>
      </c>
      <c r="C24" s="142">
        <v>635.99</v>
      </c>
      <c r="D24" s="142">
        <v>198</v>
      </c>
      <c r="E24" s="141"/>
      <c r="F24" s="142">
        <f t="shared" si="3"/>
        <v>833.99</v>
      </c>
      <c r="G24" s="142">
        <f t="shared" si="4"/>
        <v>125.0985</v>
      </c>
      <c r="H24" s="142">
        <f t="shared" si="5"/>
        <v>959.08850000000007</v>
      </c>
    </row>
    <row r="25" spans="1:8" ht="15.75" customHeight="1" x14ac:dyDescent="0.3">
      <c r="A25" s="136">
        <v>18</v>
      </c>
      <c r="B25" s="140" t="s">
        <v>194</v>
      </c>
      <c r="C25" s="142">
        <v>95.93</v>
      </c>
      <c r="D25" s="142">
        <v>51</v>
      </c>
      <c r="E25" s="140"/>
      <c r="F25" s="142">
        <f t="shared" si="3"/>
        <v>146.93</v>
      </c>
      <c r="G25" s="142">
        <f t="shared" si="4"/>
        <v>22.0395</v>
      </c>
      <c r="H25" s="142">
        <f t="shared" si="5"/>
        <v>168.96950000000001</v>
      </c>
    </row>
    <row r="26" spans="1:8" ht="15.75" customHeight="1" x14ac:dyDescent="0.3">
      <c r="A26" s="136"/>
      <c r="B26" s="140" t="s">
        <v>195</v>
      </c>
      <c r="C26" s="142">
        <v>96.68</v>
      </c>
      <c r="D26" s="142">
        <v>51</v>
      </c>
      <c r="E26" s="140"/>
      <c r="F26" s="142">
        <f t="shared" si="3"/>
        <v>147.68</v>
      </c>
      <c r="G26" s="142">
        <f t="shared" si="4"/>
        <v>22.152000000000001</v>
      </c>
      <c r="H26" s="142">
        <f t="shared" si="5"/>
        <v>169.83199999999999</v>
      </c>
    </row>
    <row r="27" spans="1:8" ht="15.75" customHeight="1" x14ac:dyDescent="0.3">
      <c r="A27" s="136"/>
      <c r="B27" s="140" t="s">
        <v>196</v>
      </c>
      <c r="C27" s="142">
        <v>96.92</v>
      </c>
      <c r="D27" s="142">
        <v>51</v>
      </c>
      <c r="E27" s="140"/>
      <c r="F27" s="142">
        <f t="shared" si="3"/>
        <v>147.92000000000002</v>
      </c>
      <c r="G27" s="142">
        <f t="shared" si="4"/>
        <v>22.188000000000002</v>
      </c>
      <c r="H27" s="142">
        <f t="shared" si="5"/>
        <v>170.108</v>
      </c>
    </row>
    <row r="28" spans="1:8" ht="15.75" customHeight="1" x14ac:dyDescent="0.3">
      <c r="A28" s="136"/>
      <c r="B28" s="140" t="s">
        <v>197</v>
      </c>
      <c r="C28" s="142">
        <v>26.32</v>
      </c>
      <c r="D28" s="142">
        <v>49.5</v>
      </c>
      <c r="E28" s="140"/>
      <c r="F28" s="142">
        <f t="shared" si="3"/>
        <v>75.819999999999993</v>
      </c>
      <c r="G28" s="142">
        <f t="shared" si="4"/>
        <v>11.372999999999999</v>
      </c>
      <c r="H28" s="142">
        <f t="shared" si="5"/>
        <v>87.192999999999998</v>
      </c>
    </row>
    <row r="29" spans="1:8" ht="15.75" customHeight="1" x14ac:dyDescent="0.3">
      <c r="A29" s="136"/>
      <c r="B29" s="140" t="s">
        <v>198</v>
      </c>
      <c r="C29" s="142">
        <v>25.55</v>
      </c>
      <c r="D29" s="142">
        <v>49.5</v>
      </c>
      <c r="E29" s="140"/>
      <c r="F29" s="142">
        <f t="shared" si="3"/>
        <v>75.05</v>
      </c>
      <c r="G29" s="142">
        <f t="shared" si="4"/>
        <v>11.257499999999999</v>
      </c>
      <c r="H29" s="142">
        <f t="shared" si="5"/>
        <v>86.30749999999999</v>
      </c>
    </row>
    <row r="30" spans="1:8" ht="15.75" customHeight="1" x14ac:dyDescent="0.3">
      <c r="A30" s="136">
        <v>19</v>
      </c>
      <c r="B30" s="140" t="s">
        <v>199</v>
      </c>
      <c r="C30" s="142">
        <v>1915.26</v>
      </c>
      <c r="D30" s="142">
        <v>132</v>
      </c>
      <c r="E30" s="140"/>
      <c r="F30" s="142">
        <f t="shared" si="3"/>
        <v>2047.26</v>
      </c>
      <c r="G30" s="142">
        <f t="shared" si="4"/>
        <v>307.089</v>
      </c>
      <c r="H30" s="142">
        <f t="shared" si="5"/>
        <v>2354.3490000000002</v>
      </c>
    </row>
    <row r="31" spans="1:8" ht="15.75" customHeight="1" x14ac:dyDescent="0.3">
      <c r="A31" s="136">
        <v>20</v>
      </c>
      <c r="B31" s="140" t="s">
        <v>115</v>
      </c>
      <c r="C31" s="142">
        <v>124.59</v>
      </c>
      <c r="D31" s="142">
        <v>109.5</v>
      </c>
      <c r="E31" s="140"/>
      <c r="F31" s="142">
        <f t="shared" si="3"/>
        <v>234.09</v>
      </c>
      <c r="G31" s="142">
        <f t="shared" si="4"/>
        <v>35.113500000000002</v>
      </c>
      <c r="H31" s="142">
        <f t="shared" si="5"/>
        <v>269.20350000000002</v>
      </c>
    </row>
    <row r="32" spans="1:8" ht="15.75" customHeight="1" x14ac:dyDescent="0.3">
      <c r="A32" s="136">
        <v>21</v>
      </c>
      <c r="B32" s="140" t="s">
        <v>118</v>
      </c>
      <c r="C32" s="142">
        <v>33.5</v>
      </c>
      <c r="D32" s="142">
        <v>14.85</v>
      </c>
      <c r="E32" s="140"/>
      <c r="F32" s="142">
        <f t="shared" si="3"/>
        <v>48.35</v>
      </c>
      <c r="G32" s="142">
        <f t="shared" si="4"/>
        <v>7.2524999999999995</v>
      </c>
      <c r="H32" s="142">
        <f t="shared" si="5"/>
        <v>55.602499999999999</v>
      </c>
    </row>
    <row r="33" spans="1:8" ht="15.75" customHeight="1" x14ac:dyDescent="0.3">
      <c r="A33" s="136">
        <v>24</v>
      </c>
      <c r="B33" s="140" t="s">
        <v>200</v>
      </c>
      <c r="C33" s="142">
        <v>100.23</v>
      </c>
      <c r="D33" s="142">
        <v>66</v>
      </c>
      <c r="E33" s="140"/>
      <c r="F33" s="142">
        <f t="shared" si="3"/>
        <v>166.23000000000002</v>
      </c>
      <c r="G33" s="142">
        <f t="shared" si="4"/>
        <v>24.934500000000003</v>
      </c>
      <c r="H33" s="142">
        <f t="shared" si="5"/>
        <v>191.16450000000003</v>
      </c>
    </row>
    <row r="34" spans="1:8" ht="15.75" customHeight="1" x14ac:dyDescent="0.3">
      <c r="A34" s="136">
        <v>26</v>
      </c>
      <c r="B34" s="140" t="s">
        <v>201</v>
      </c>
      <c r="C34" s="160">
        <v>29.16</v>
      </c>
      <c r="D34" s="142">
        <v>28.05</v>
      </c>
      <c r="E34" s="140"/>
      <c r="F34" s="142">
        <f t="shared" si="3"/>
        <v>57.21</v>
      </c>
      <c r="G34" s="142">
        <f t="shared" si="4"/>
        <v>8.5815000000000001</v>
      </c>
      <c r="H34" s="142">
        <f t="shared" si="5"/>
        <v>65.791499999999999</v>
      </c>
    </row>
    <row r="35" spans="1:8" ht="15.75" customHeight="1" x14ac:dyDescent="0.3">
      <c r="A35" s="136">
        <v>28</v>
      </c>
      <c r="B35" s="140" t="s">
        <v>202</v>
      </c>
      <c r="C35" s="142">
        <v>30</v>
      </c>
      <c r="D35" s="142">
        <v>6.6</v>
      </c>
      <c r="E35" s="140"/>
      <c r="F35" s="142">
        <f t="shared" si="3"/>
        <v>36.6</v>
      </c>
      <c r="G35" s="142">
        <f t="shared" si="4"/>
        <v>5.49</v>
      </c>
      <c r="H35" s="142">
        <f t="shared" si="5"/>
        <v>42.09</v>
      </c>
    </row>
    <row r="36" spans="1:8" ht="15.75" customHeight="1" x14ac:dyDescent="0.3">
      <c r="A36" s="136">
        <v>29</v>
      </c>
      <c r="B36" s="140" t="s">
        <v>203</v>
      </c>
      <c r="C36" s="142">
        <v>1.25</v>
      </c>
      <c r="D36" s="142">
        <v>6.6</v>
      </c>
      <c r="E36" s="140"/>
      <c r="F36" s="142">
        <f t="shared" si="3"/>
        <v>7.85</v>
      </c>
      <c r="G36" s="142">
        <f t="shared" si="4"/>
        <v>1.1775</v>
      </c>
      <c r="H36" s="142">
        <f t="shared" si="5"/>
        <v>9.0274999999999999</v>
      </c>
    </row>
    <row r="37" spans="1:8" ht="15.75" customHeight="1" x14ac:dyDescent="0.3">
      <c r="A37" s="136">
        <v>30</v>
      </c>
      <c r="B37" s="140" t="s">
        <v>204</v>
      </c>
      <c r="C37" s="142">
        <v>1.3</v>
      </c>
      <c r="D37" s="142">
        <v>6.6</v>
      </c>
      <c r="E37" s="140"/>
      <c r="F37" s="142">
        <f t="shared" si="3"/>
        <v>7.8999999999999995</v>
      </c>
      <c r="G37" s="142">
        <f t="shared" si="4"/>
        <v>1.1849999999999998</v>
      </c>
      <c r="H37" s="142">
        <f t="shared" si="5"/>
        <v>9.0849999999999991</v>
      </c>
    </row>
    <row r="38" spans="1:8" ht="15.75" customHeight="1" x14ac:dyDescent="0.3">
      <c r="A38" s="136">
        <v>31</v>
      </c>
      <c r="B38" s="140" t="s">
        <v>205</v>
      </c>
      <c r="C38" s="142">
        <v>7</v>
      </c>
      <c r="D38" s="142">
        <v>6.6</v>
      </c>
      <c r="E38" s="140"/>
      <c r="F38" s="142">
        <f t="shared" si="3"/>
        <v>13.6</v>
      </c>
      <c r="G38" s="142">
        <f t="shared" si="4"/>
        <v>2.04</v>
      </c>
      <c r="H38" s="142">
        <f t="shared" si="5"/>
        <v>15.64</v>
      </c>
    </row>
    <row r="39" spans="1:8" ht="15.75" customHeight="1" x14ac:dyDescent="0.3">
      <c r="A39" s="136">
        <v>32</v>
      </c>
      <c r="B39" s="140" t="s">
        <v>206</v>
      </c>
      <c r="C39" s="142">
        <v>7.8</v>
      </c>
      <c r="D39" s="142">
        <v>6.6</v>
      </c>
      <c r="E39" s="140"/>
      <c r="F39" s="142">
        <f t="shared" si="3"/>
        <v>14.399999999999999</v>
      </c>
      <c r="G39" s="142">
        <f t="shared" si="4"/>
        <v>2.1599999999999997</v>
      </c>
      <c r="H39" s="142">
        <f t="shared" si="5"/>
        <v>16.559999999999999</v>
      </c>
    </row>
    <row r="40" spans="1:8" ht="15.75" customHeight="1" x14ac:dyDescent="0.3">
      <c r="A40" s="136">
        <v>33</v>
      </c>
      <c r="B40" s="140" t="s">
        <v>207</v>
      </c>
      <c r="C40" s="142">
        <v>160</v>
      </c>
      <c r="D40" s="142">
        <v>6.6</v>
      </c>
      <c r="E40" s="140"/>
      <c r="F40" s="142">
        <f t="shared" si="3"/>
        <v>166.6</v>
      </c>
      <c r="G40" s="142">
        <f t="shared" si="4"/>
        <v>24.99</v>
      </c>
      <c r="H40" s="142">
        <f t="shared" si="5"/>
        <v>191.59</v>
      </c>
    </row>
    <row r="41" spans="1:8" ht="15.75" customHeight="1" x14ac:dyDescent="0.3">
      <c r="A41" s="136">
        <v>34</v>
      </c>
      <c r="B41" s="140" t="s">
        <v>208</v>
      </c>
      <c r="C41" s="160"/>
      <c r="D41" s="142">
        <v>6.5</v>
      </c>
      <c r="E41" s="19"/>
      <c r="F41" s="142">
        <f t="shared" si="3"/>
        <v>6.5</v>
      </c>
      <c r="G41" s="142">
        <f t="shared" si="4"/>
        <v>0.97499999999999998</v>
      </c>
      <c r="H41" s="142">
        <f t="shared" si="5"/>
        <v>7.4749999999999996</v>
      </c>
    </row>
    <row r="42" spans="1:8" ht="15.75" customHeight="1" x14ac:dyDescent="0.3">
      <c r="A42" s="136">
        <v>35</v>
      </c>
      <c r="B42" s="140" t="s">
        <v>209</v>
      </c>
      <c r="C42" s="142"/>
      <c r="D42" s="142">
        <v>15</v>
      </c>
      <c r="E42" s="140"/>
      <c r="F42" s="142">
        <f t="shared" si="3"/>
        <v>15</v>
      </c>
      <c r="G42" s="142">
        <f t="shared" si="4"/>
        <v>2.25</v>
      </c>
      <c r="H42" s="142">
        <f t="shared" si="5"/>
        <v>17.25</v>
      </c>
    </row>
    <row r="43" spans="1:8" ht="15.75" hidden="1" customHeight="1" x14ac:dyDescent="0.3">
      <c r="A43" s="136">
        <v>36</v>
      </c>
      <c r="B43" s="140" t="s">
        <v>209</v>
      </c>
      <c r="C43" s="142"/>
      <c r="D43" s="142">
        <v>16</v>
      </c>
      <c r="E43" s="140"/>
      <c r="F43" s="142">
        <f t="shared" si="3"/>
        <v>16</v>
      </c>
      <c r="G43" s="142">
        <f t="shared" si="4"/>
        <v>2.4</v>
      </c>
      <c r="H43" s="142">
        <f t="shared" si="5"/>
        <v>18.399999999999999</v>
      </c>
    </row>
    <row r="44" spans="1:8" ht="15.75" hidden="1" customHeight="1" x14ac:dyDescent="0.3">
      <c r="A44" s="136">
        <v>37</v>
      </c>
      <c r="B44" s="140" t="s">
        <v>209</v>
      </c>
      <c r="C44" s="142"/>
      <c r="D44" s="142">
        <v>17</v>
      </c>
      <c r="E44" s="140"/>
      <c r="F44" s="142">
        <f t="shared" si="3"/>
        <v>17</v>
      </c>
      <c r="G44" s="142">
        <f t="shared" si="4"/>
        <v>2.5499999999999998</v>
      </c>
      <c r="H44" s="142">
        <f t="shared" si="5"/>
        <v>19.55</v>
      </c>
    </row>
    <row r="45" spans="1:8" ht="15.75" hidden="1" customHeight="1" x14ac:dyDescent="0.3">
      <c r="A45" s="136">
        <v>38</v>
      </c>
      <c r="B45" s="140" t="s">
        <v>209</v>
      </c>
      <c r="C45" s="142"/>
      <c r="D45" s="142">
        <v>18</v>
      </c>
      <c r="E45" s="140"/>
      <c r="F45" s="142">
        <f t="shared" si="3"/>
        <v>18</v>
      </c>
      <c r="G45" s="142">
        <f t="shared" si="4"/>
        <v>2.6999999999999997</v>
      </c>
      <c r="H45" s="142">
        <f t="shared" si="5"/>
        <v>20.7</v>
      </c>
    </row>
    <row r="46" spans="1:8" ht="15.75" customHeight="1" x14ac:dyDescent="0.3">
      <c r="A46" s="136">
        <v>39</v>
      </c>
      <c r="B46" s="161" t="s">
        <v>210</v>
      </c>
      <c r="C46" s="142"/>
      <c r="D46" s="142">
        <v>26</v>
      </c>
      <c r="E46" s="140"/>
      <c r="F46" s="142">
        <f t="shared" si="3"/>
        <v>26</v>
      </c>
      <c r="G46" s="142">
        <f t="shared" si="4"/>
        <v>3.9</v>
      </c>
      <c r="H46" s="142">
        <f t="shared" si="5"/>
        <v>29.9</v>
      </c>
    </row>
    <row r="47" spans="1:8" ht="15.75" customHeight="1" x14ac:dyDescent="0.3">
      <c r="A47" s="136">
        <v>40</v>
      </c>
      <c r="B47" s="124" t="s">
        <v>211</v>
      </c>
      <c r="C47" s="142"/>
      <c r="D47" s="142">
        <v>26</v>
      </c>
      <c r="E47" s="140"/>
      <c r="F47" s="142">
        <f t="shared" si="3"/>
        <v>26</v>
      </c>
      <c r="G47" s="142">
        <f t="shared" si="4"/>
        <v>3.9</v>
      </c>
      <c r="H47" s="142">
        <f t="shared" si="5"/>
        <v>29.9</v>
      </c>
    </row>
    <row r="48" spans="1:8" ht="15.75" customHeight="1" x14ac:dyDescent="0.3">
      <c r="A48" s="136">
        <v>41</v>
      </c>
      <c r="B48" s="124" t="s">
        <v>212</v>
      </c>
      <c r="C48" s="142">
        <v>209</v>
      </c>
      <c r="D48" s="142">
        <v>6.5</v>
      </c>
      <c r="E48" s="140"/>
      <c r="F48" s="142">
        <f t="shared" si="3"/>
        <v>215.5</v>
      </c>
      <c r="G48" s="142">
        <f t="shared" si="4"/>
        <v>32.324999999999996</v>
      </c>
      <c r="H48" s="142">
        <f t="shared" si="5"/>
        <v>247.82499999999999</v>
      </c>
    </row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7">
    <mergeCell ref="B1:H1"/>
    <mergeCell ref="C2:F2"/>
    <mergeCell ref="G2:H2"/>
    <mergeCell ref="D9:D12"/>
    <mergeCell ref="F9:F12"/>
    <mergeCell ref="G9:G12"/>
    <mergeCell ref="H9:H12"/>
  </mergeCells>
  <pageMargins left="0.7" right="0.7" top="0.75" bottom="0.75" header="0" footer="0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Z1000"/>
  <sheetViews>
    <sheetView workbookViewId="0">
      <pane xSplit="1" topLeftCell="B1" activePane="topRight" state="frozen"/>
      <selection pane="topRight" activeCell="C2" sqref="C2"/>
    </sheetView>
  </sheetViews>
  <sheetFormatPr baseColWidth="10" defaultColWidth="14.44140625" defaultRowHeight="15" customHeight="1" x14ac:dyDescent="0.3"/>
  <cols>
    <col min="1" max="1" width="45.33203125" customWidth="1"/>
    <col min="2" max="26" width="10.6640625" customWidth="1"/>
  </cols>
  <sheetData>
    <row r="1" spans="1:26" x14ac:dyDescent="0.3">
      <c r="A1" s="72" t="s">
        <v>213</v>
      </c>
      <c r="B1" s="74">
        <v>5000</v>
      </c>
      <c r="C1" s="74">
        <v>10000</v>
      </c>
      <c r="D1" s="74">
        <v>15000</v>
      </c>
      <c r="E1" s="74">
        <v>20000</v>
      </c>
      <c r="F1" s="74">
        <v>25000</v>
      </c>
      <c r="G1" s="74">
        <v>30000</v>
      </c>
      <c r="H1" s="74">
        <v>35000</v>
      </c>
      <c r="I1" s="74">
        <v>40000</v>
      </c>
      <c r="J1" s="74">
        <v>45000</v>
      </c>
      <c r="K1" s="74">
        <v>50000</v>
      </c>
      <c r="L1" s="74">
        <v>55000</v>
      </c>
      <c r="M1" s="74">
        <v>60000</v>
      </c>
      <c r="N1" s="74">
        <v>65000</v>
      </c>
      <c r="O1" s="74">
        <v>70000</v>
      </c>
      <c r="P1" s="74">
        <v>75000</v>
      </c>
      <c r="Q1" s="74">
        <v>80000</v>
      </c>
      <c r="R1" s="74">
        <v>85000</v>
      </c>
      <c r="S1" s="74">
        <v>90000</v>
      </c>
      <c r="T1" s="74">
        <v>95000</v>
      </c>
      <c r="U1" s="74">
        <v>100000</v>
      </c>
      <c r="V1" s="74">
        <v>105000</v>
      </c>
      <c r="W1" s="74">
        <v>110000</v>
      </c>
      <c r="X1" s="74">
        <v>115000</v>
      </c>
      <c r="Y1" s="75">
        <v>120000</v>
      </c>
    </row>
    <row r="2" spans="1:26" ht="14.4" x14ac:dyDescent="0.3">
      <c r="A2" s="6" t="s">
        <v>45</v>
      </c>
      <c r="B2" s="8">
        <v>43.98</v>
      </c>
      <c r="C2" s="8">
        <v>43.98</v>
      </c>
      <c r="D2" s="8">
        <v>43.98</v>
      </c>
      <c r="E2" s="8">
        <v>43.98</v>
      </c>
      <c r="F2" s="8">
        <v>43.98</v>
      </c>
      <c r="G2" s="8">
        <v>43.98</v>
      </c>
      <c r="H2" s="8">
        <v>43.98</v>
      </c>
      <c r="I2" s="8">
        <v>43.98</v>
      </c>
      <c r="J2" s="8">
        <v>43.98</v>
      </c>
      <c r="K2" s="8">
        <v>43.98</v>
      </c>
      <c r="L2" s="8">
        <v>43.98</v>
      </c>
      <c r="M2" s="8">
        <v>43.98</v>
      </c>
      <c r="N2" s="8">
        <v>43.98</v>
      </c>
      <c r="O2" s="8">
        <v>43.98</v>
      </c>
      <c r="P2" s="8">
        <v>43.98</v>
      </c>
      <c r="Q2" s="8">
        <v>43.98</v>
      </c>
      <c r="R2" s="8">
        <v>43.98</v>
      </c>
      <c r="S2" s="8">
        <v>43.98</v>
      </c>
      <c r="T2" s="8">
        <v>43.98</v>
      </c>
      <c r="U2" s="8">
        <v>43.98</v>
      </c>
      <c r="V2" s="8">
        <v>43.98</v>
      </c>
      <c r="W2" s="8">
        <v>43.98</v>
      </c>
      <c r="X2" s="8">
        <v>43.98</v>
      </c>
      <c r="Y2" s="9">
        <v>43.98</v>
      </c>
    </row>
    <row r="3" spans="1:26" ht="14.4" x14ac:dyDescent="0.3">
      <c r="A3" s="6" t="s">
        <v>46</v>
      </c>
      <c r="B3" s="8"/>
      <c r="C3" s="8"/>
      <c r="D3" s="8"/>
      <c r="E3" s="8"/>
      <c r="F3" s="8"/>
      <c r="G3" s="8"/>
      <c r="H3" s="8"/>
      <c r="I3" s="8"/>
      <c r="J3" s="8"/>
      <c r="K3" s="8">
        <v>25.65</v>
      </c>
      <c r="L3" s="8"/>
      <c r="M3" s="8"/>
      <c r="N3" s="8"/>
      <c r="O3" s="8"/>
      <c r="P3" s="8"/>
      <c r="Q3" s="8"/>
      <c r="R3" s="8"/>
      <c r="S3" s="8"/>
      <c r="T3" s="8"/>
      <c r="U3" s="8">
        <v>25.65</v>
      </c>
      <c r="V3" s="8"/>
      <c r="W3" s="8"/>
      <c r="X3" s="8"/>
      <c r="Y3" s="9"/>
    </row>
    <row r="4" spans="1:26" ht="14.4" x14ac:dyDescent="0.3">
      <c r="A4" s="6" t="s">
        <v>214</v>
      </c>
      <c r="B4" s="8"/>
      <c r="C4" s="8"/>
      <c r="D4" s="8"/>
      <c r="E4" s="8"/>
      <c r="F4" s="8"/>
      <c r="G4" s="8"/>
      <c r="H4" s="8"/>
      <c r="I4" s="8"/>
      <c r="J4" s="8"/>
      <c r="K4" s="8">
        <v>16.12</v>
      </c>
      <c r="L4" s="8"/>
      <c r="M4" s="8"/>
      <c r="N4" s="8"/>
      <c r="O4" s="8"/>
      <c r="P4" s="8"/>
      <c r="Q4" s="8"/>
      <c r="R4" s="8"/>
      <c r="S4" s="8"/>
      <c r="T4" s="8"/>
      <c r="U4" s="8">
        <v>16.12</v>
      </c>
      <c r="V4" s="8"/>
      <c r="W4" s="8"/>
      <c r="X4" s="8"/>
      <c r="Y4" s="9"/>
    </row>
    <row r="5" spans="1:26" ht="14.4" x14ac:dyDescent="0.3">
      <c r="A5" s="6" t="s">
        <v>48</v>
      </c>
      <c r="B5" s="8"/>
      <c r="C5" s="8"/>
      <c r="D5" s="8"/>
      <c r="E5" s="8"/>
      <c r="F5" s="8"/>
      <c r="G5" s="8"/>
      <c r="H5" s="8"/>
      <c r="I5" s="8"/>
      <c r="J5" s="8"/>
      <c r="K5" s="8">
        <v>24.18</v>
      </c>
      <c r="L5" s="8"/>
      <c r="M5" s="8"/>
      <c r="N5" s="8"/>
      <c r="O5" s="8"/>
      <c r="P5" s="8"/>
      <c r="Q5" s="8"/>
      <c r="R5" s="8"/>
      <c r="S5" s="8"/>
      <c r="T5" s="8"/>
      <c r="U5" s="8">
        <v>24.18</v>
      </c>
      <c r="V5" s="8"/>
      <c r="W5" s="8"/>
      <c r="X5" s="8"/>
      <c r="Y5" s="9"/>
    </row>
    <row r="6" spans="1:26" ht="14.4" x14ac:dyDescent="0.3">
      <c r="A6" s="6" t="s">
        <v>215</v>
      </c>
      <c r="B6" s="8"/>
      <c r="C6" s="8"/>
      <c r="D6" s="8"/>
      <c r="E6" s="8"/>
      <c r="F6" s="8"/>
      <c r="G6" s="8"/>
      <c r="H6" s="8"/>
      <c r="I6" s="8"/>
      <c r="J6" s="8"/>
      <c r="K6" s="8">
        <v>15.84</v>
      </c>
      <c r="L6" s="8"/>
      <c r="M6" s="8"/>
      <c r="N6" s="8"/>
      <c r="O6" s="8"/>
      <c r="P6" s="8"/>
      <c r="Q6" s="8"/>
      <c r="R6" s="8"/>
      <c r="S6" s="8"/>
      <c r="T6" s="8"/>
      <c r="U6" s="8">
        <v>15.84</v>
      </c>
      <c r="V6" s="8"/>
      <c r="W6" s="8"/>
      <c r="X6" s="8"/>
      <c r="Y6" s="9"/>
    </row>
    <row r="7" spans="1:26" ht="14.4" x14ac:dyDescent="0.3">
      <c r="A7" s="6" t="s">
        <v>19</v>
      </c>
      <c r="B7" s="8"/>
      <c r="C7" s="8"/>
      <c r="D7" s="8"/>
      <c r="E7" s="8"/>
      <c r="F7" s="8"/>
      <c r="G7" s="8"/>
      <c r="H7" s="8"/>
      <c r="I7" s="8"/>
      <c r="J7" s="8"/>
      <c r="K7" s="8">
        <v>7.92</v>
      </c>
      <c r="L7" s="8"/>
      <c r="M7" s="8"/>
      <c r="N7" s="8"/>
      <c r="O7" s="8"/>
      <c r="P7" s="8"/>
      <c r="Q7" s="8"/>
      <c r="R7" s="8"/>
      <c r="S7" s="8"/>
      <c r="T7" s="8"/>
      <c r="U7" s="8">
        <v>7.92</v>
      </c>
      <c r="V7" s="8"/>
      <c r="W7" s="8"/>
      <c r="X7" s="8"/>
      <c r="Y7" s="9"/>
    </row>
    <row r="8" spans="1:26" ht="14.4" x14ac:dyDescent="0.3">
      <c r="A8" s="20" t="s">
        <v>20</v>
      </c>
      <c r="B8" s="77"/>
      <c r="C8" s="77"/>
      <c r="D8" s="77"/>
      <c r="E8" s="77"/>
      <c r="F8" s="77"/>
      <c r="G8" s="77">
        <v>5</v>
      </c>
      <c r="H8" s="77"/>
      <c r="I8" s="77"/>
      <c r="J8" s="77"/>
      <c r="K8" s="77"/>
      <c r="L8" s="77"/>
      <c r="M8" s="77">
        <v>5</v>
      </c>
      <c r="N8" s="77"/>
      <c r="O8" s="77"/>
      <c r="P8" s="77"/>
      <c r="Q8" s="77"/>
      <c r="R8" s="77"/>
      <c r="S8" s="77">
        <v>5</v>
      </c>
      <c r="T8" s="77"/>
      <c r="U8" s="77"/>
      <c r="V8" s="77"/>
      <c r="W8" s="77"/>
      <c r="X8" s="77"/>
      <c r="Y8" s="78"/>
    </row>
    <row r="9" spans="1:26" ht="14.4" x14ac:dyDescent="0.3">
      <c r="A9" s="162" t="s">
        <v>51</v>
      </c>
      <c r="B9" s="163">
        <f t="shared" ref="B9:Y9" si="0">SUM(B2:B8)</f>
        <v>43.98</v>
      </c>
      <c r="C9" s="163">
        <f t="shared" si="0"/>
        <v>43.98</v>
      </c>
      <c r="D9" s="163">
        <f t="shared" si="0"/>
        <v>43.98</v>
      </c>
      <c r="E9" s="163">
        <f t="shared" si="0"/>
        <v>43.98</v>
      </c>
      <c r="F9" s="163">
        <f t="shared" si="0"/>
        <v>43.98</v>
      </c>
      <c r="G9" s="163">
        <f t="shared" si="0"/>
        <v>48.98</v>
      </c>
      <c r="H9" s="163">
        <f t="shared" si="0"/>
        <v>43.98</v>
      </c>
      <c r="I9" s="163">
        <f t="shared" si="0"/>
        <v>43.98</v>
      </c>
      <c r="J9" s="163">
        <f t="shared" si="0"/>
        <v>43.98</v>
      </c>
      <c r="K9" s="163">
        <f t="shared" si="0"/>
        <v>133.69</v>
      </c>
      <c r="L9" s="163">
        <f t="shared" si="0"/>
        <v>43.98</v>
      </c>
      <c r="M9" s="163">
        <f t="shared" si="0"/>
        <v>48.98</v>
      </c>
      <c r="N9" s="163">
        <f t="shared" si="0"/>
        <v>43.98</v>
      </c>
      <c r="O9" s="163">
        <f t="shared" si="0"/>
        <v>43.98</v>
      </c>
      <c r="P9" s="163">
        <f t="shared" si="0"/>
        <v>43.98</v>
      </c>
      <c r="Q9" s="163">
        <f t="shared" si="0"/>
        <v>43.98</v>
      </c>
      <c r="R9" s="163">
        <f t="shared" si="0"/>
        <v>43.98</v>
      </c>
      <c r="S9" s="163">
        <f t="shared" si="0"/>
        <v>48.98</v>
      </c>
      <c r="T9" s="163">
        <f t="shared" si="0"/>
        <v>43.98</v>
      </c>
      <c r="U9" s="163">
        <f t="shared" si="0"/>
        <v>133.69</v>
      </c>
      <c r="V9" s="163">
        <f t="shared" si="0"/>
        <v>43.98</v>
      </c>
      <c r="W9" s="163">
        <f t="shared" si="0"/>
        <v>43.98</v>
      </c>
      <c r="X9" s="163">
        <f t="shared" si="0"/>
        <v>43.98</v>
      </c>
      <c r="Y9" s="164">
        <f t="shared" si="0"/>
        <v>43.98</v>
      </c>
      <c r="Z9" s="12">
        <f>SUM(B9:Y9)</f>
        <v>1249.9400000000003</v>
      </c>
    </row>
    <row r="10" spans="1:26" ht="14.4" x14ac:dyDescent="0.3">
      <c r="A10" s="6" t="s">
        <v>4</v>
      </c>
      <c r="B10" s="8">
        <v>6.3</v>
      </c>
      <c r="C10" s="8">
        <v>6.3</v>
      </c>
      <c r="D10" s="8">
        <v>6.3</v>
      </c>
      <c r="E10" s="8">
        <v>6.3</v>
      </c>
      <c r="F10" s="8">
        <v>6.3</v>
      </c>
      <c r="G10" s="8">
        <v>6.3</v>
      </c>
      <c r="H10" s="8">
        <v>6.3</v>
      </c>
      <c r="I10" s="8">
        <v>6.3</v>
      </c>
      <c r="J10" s="8">
        <v>6.3</v>
      </c>
      <c r="K10" s="8">
        <v>6.3</v>
      </c>
      <c r="L10" s="8">
        <v>6.3</v>
      </c>
      <c r="M10" s="8">
        <v>6.3</v>
      </c>
      <c r="N10" s="8">
        <v>6.3</v>
      </c>
      <c r="O10" s="8">
        <v>6.3</v>
      </c>
      <c r="P10" s="8">
        <v>6.3</v>
      </c>
      <c r="Q10" s="8">
        <v>6.3</v>
      </c>
      <c r="R10" s="8">
        <v>6.3</v>
      </c>
      <c r="S10" s="8">
        <v>6.3</v>
      </c>
      <c r="T10" s="8">
        <v>6.3</v>
      </c>
      <c r="U10" s="8">
        <v>6.3</v>
      </c>
      <c r="V10" s="8">
        <v>6.3</v>
      </c>
      <c r="W10" s="8">
        <v>6.3</v>
      </c>
      <c r="X10" s="8">
        <v>6.3</v>
      </c>
      <c r="Y10" s="8">
        <v>6.3</v>
      </c>
    </row>
    <row r="11" spans="1:26" ht="14.4" x14ac:dyDescent="0.3">
      <c r="A11" s="6" t="s">
        <v>5</v>
      </c>
      <c r="B11" s="8">
        <v>6.01</v>
      </c>
      <c r="C11" s="8">
        <v>6.01</v>
      </c>
      <c r="D11" s="8">
        <v>6.01</v>
      </c>
      <c r="E11" s="8">
        <v>6.01</v>
      </c>
      <c r="F11" s="8">
        <v>6.01</v>
      </c>
      <c r="G11" s="8">
        <v>6.01</v>
      </c>
      <c r="H11" s="8">
        <v>6.01</v>
      </c>
      <c r="I11" s="8">
        <v>6.01</v>
      </c>
      <c r="J11" s="8">
        <v>6.01</v>
      </c>
      <c r="K11" s="8">
        <v>6.01</v>
      </c>
      <c r="L11" s="8">
        <v>6.01</v>
      </c>
      <c r="M11" s="8">
        <v>6.01</v>
      </c>
      <c r="N11" s="8">
        <v>6.01</v>
      </c>
      <c r="O11" s="8">
        <v>6.01</v>
      </c>
      <c r="P11" s="8">
        <v>6.01</v>
      </c>
      <c r="Q11" s="8">
        <v>6.01</v>
      </c>
      <c r="R11" s="8">
        <v>6.01</v>
      </c>
      <c r="S11" s="8">
        <v>6.01</v>
      </c>
      <c r="T11" s="8">
        <v>6.01</v>
      </c>
      <c r="U11" s="8">
        <v>6.01</v>
      </c>
      <c r="V11" s="8">
        <v>6.01</v>
      </c>
      <c r="W11" s="8">
        <v>6.01</v>
      </c>
      <c r="X11" s="8">
        <v>6.01</v>
      </c>
      <c r="Y11" s="8">
        <v>6.01</v>
      </c>
    </row>
    <row r="12" spans="1:26" ht="14.4" x14ac:dyDescent="0.3">
      <c r="A12" s="6" t="s">
        <v>6</v>
      </c>
      <c r="B12" s="8">
        <v>17.97</v>
      </c>
      <c r="C12" s="8">
        <v>17.97</v>
      </c>
      <c r="D12" s="8">
        <v>17.97</v>
      </c>
      <c r="E12" s="8">
        <v>17.97</v>
      </c>
      <c r="F12" s="8">
        <v>17.97</v>
      </c>
      <c r="G12" s="8">
        <v>17.97</v>
      </c>
      <c r="H12" s="8">
        <v>17.97</v>
      </c>
      <c r="I12" s="8">
        <v>17.97</v>
      </c>
      <c r="J12" s="8">
        <v>17.97</v>
      </c>
      <c r="K12" s="8">
        <v>17.97</v>
      </c>
      <c r="L12" s="8">
        <v>17.97</v>
      </c>
      <c r="M12" s="8">
        <v>17.97</v>
      </c>
      <c r="N12" s="8">
        <v>17.97</v>
      </c>
      <c r="O12" s="8">
        <v>17.97</v>
      </c>
      <c r="P12" s="8">
        <v>17.97</v>
      </c>
      <c r="Q12" s="8">
        <v>17.97</v>
      </c>
      <c r="R12" s="8">
        <v>17.97</v>
      </c>
      <c r="S12" s="8">
        <v>17.97</v>
      </c>
      <c r="T12" s="8">
        <v>17.97</v>
      </c>
      <c r="U12" s="8">
        <v>17.97</v>
      </c>
      <c r="V12" s="8">
        <v>17.97</v>
      </c>
      <c r="W12" s="8">
        <v>17.97</v>
      </c>
      <c r="X12" s="8">
        <v>17.97</v>
      </c>
      <c r="Y12" s="8">
        <v>17.97</v>
      </c>
    </row>
    <row r="13" spans="1:26" ht="14.4" x14ac:dyDescent="0.3">
      <c r="A13" s="6" t="s">
        <v>7</v>
      </c>
      <c r="B13" s="8"/>
      <c r="C13" s="8">
        <v>12.04</v>
      </c>
      <c r="D13" s="8"/>
      <c r="E13" s="8">
        <v>12.04</v>
      </c>
      <c r="F13" s="8"/>
      <c r="G13" s="8">
        <v>12.04</v>
      </c>
      <c r="H13" s="8"/>
      <c r="I13" s="8">
        <v>12.04</v>
      </c>
      <c r="J13" s="8"/>
      <c r="K13" s="8">
        <v>12.04</v>
      </c>
      <c r="L13" s="8"/>
      <c r="M13" s="8">
        <v>12.04</v>
      </c>
      <c r="N13" s="8"/>
      <c r="O13" s="8">
        <v>12.04</v>
      </c>
      <c r="P13" s="8"/>
      <c r="Q13" s="8">
        <v>12.04</v>
      </c>
      <c r="R13" s="8"/>
      <c r="S13" s="8">
        <v>12.04</v>
      </c>
      <c r="T13" s="8"/>
      <c r="U13" s="8">
        <v>12.04</v>
      </c>
      <c r="V13" s="8"/>
      <c r="W13" s="8">
        <v>12.04</v>
      </c>
      <c r="X13" s="8"/>
      <c r="Y13" s="8">
        <v>12.04</v>
      </c>
    </row>
    <row r="14" spans="1:26" ht="14.4" x14ac:dyDescent="0.3">
      <c r="A14" s="6" t="s">
        <v>8</v>
      </c>
      <c r="B14" s="8"/>
      <c r="C14" s="8">
        <v>5.58</v>
      </c>
      <c r="D14" s="8"/>
      <c r="E14" s="8">
        <v>5.58</v>
      </c>
      <c r="F14" s="8"/>
      <c r="G14" s="8">
        <v>5.58</v>
      </c>
      <c r="H14" s="8"/>
      <c r="I14" s="8">
        <v>5.58</v>
      </c>
      <c r="J14" s="8"/>
      <c r="K14" s="8">
        <v>5.58</v>
      </c>
      <c r="L14" s="8"/>
      <c r="M14" s="8">
        <v>5.58</v>
      </c>
      <c r="N14" s="8"/>
      <c r="O14" s="8">
        <v>5.58</v>
      </c>
      <c r="P14" s="8"/>
      <c r="Q14" s="8">
        <v>5.58</v>
      </c>
      <c r="R14" s="8"/>
      <c r="S14" s="8">
        <v>5.58</v>
      </c>
      <c r="T14" s="8"/>
      <c r="U14" s="8">
        <v>5.58</v>
      </c>
      <c r="V14" s="8"/>
      <c r="W14" s="8">
        <v>5.58</v>
      </c>
      <c r="X14" s="8"/>
      <c r="Y14" s="8">
        <v>5.58</v>
      </c>
    </row>
    <row r="15" spans="1:26" ht="14.4" x14ac:dyDescent="0.3">
      <c r="A15" s="6" t="s">
        <v>9</v>
      </c>
      <c r="B15" s="8"/>
      <c r="C15" s="8">
        <v>29.16</v>
      </c>
      <c r="D15" s="8"/>
      <c r="E15" s="8">
        <v>29.16</v>
      </c>
      <c r="F15" s="8"/>
      <c r="G15" s="8">
        <v>29.16</v>
      </c>
      <c r="H15" s="8"/>
      <c r="I15" s="8">
        <v>29.16</v>
      </c>
      <c r="J15" s="8"/>
      <c r="K15" s="8">
        <v>29.16</v>
      </c>
      <c r="L15" s="8"/>
      <c r="M15" s="8">
        <v>29.16</v>
      </c>
      <c r="N15" s="8"/>
      <c r="O15" s="8">
        <v>29.16</v>
      </c>
      <c r="P15" s="8"/>
      <c r="Q15" s="8">
        <v>29.16</v>
      </c>
      <c r="R15" s="8"/>
      <c r="S15" s="8">
        <v>29.16</v>
      </c>
      <c r="T15" s="8"/>
      <c r="U15" s="8">
        <v>29.16</v>
      </c>
      <c r="V15" s="8"/>
      <c r="W15" s="8">
        <v>29.16</v>
      </c>
      <c r="X15" s="8"/>
      <c r="Y15" s="8">
        <v>29.16</v>
      </c>
    </row>
    <row r="16" spans="1:26" ht="14.4" hidden="1" x14ac:dyDescent="0.3">
      <c r="A16" s="6" t="s">
        <v>10</v>
      </c>
      <c r="B16" s="8"/>
      <c r="C16" s="8">
        <v>29.63</v>
      </c>
      <c r="D16" s="8"/>
      <c r="E16" s="8">
        <v>29.63</v>
      </c>
      <c r="F16" s="8"/>
      <c r="G16" s="8">
        <v>29.63</v>
      </c>
      <c r="H16" s="8"/>
      <c r="I16" s="8">
        <v>29.63</v>
      </c>
      <c r="J16" s="8"/>
      <c r="K16" s="8">
        <v>29.63</v>
      </c>
      <c r="L16" s="8"/>
      <c r="M16" s="8">
        <v>29.63</v>
      </c>
      <c r="N16" s="8"/>
      <c r="O16" s="8">
        <v>29.63</v>
      </c>
      <c r="P16" s="8"/>
      <c r="Q16" s="8">
        <v>29.63</v>
      </c>
      <c r="R16" s="8"/>
      <c r="S16" s="8">
        <v>29.63</v>
      </c>
      <c r="T16" s="8"/>
      <c r="U16" s="8">
        <v>29.63</v>
      </c>
      <c r="V16" s="8"/>
      <c r="W16" s="8">
        <v>29.63</v>
      </c>
      <c r="X16" s="8"/>
      <c r="Y16" s="8">
        <v>29.63</v>
      </c>
    </row>
    <row r="17" spans="1:26" ht="14.4" x14ac:dyDescent="0.3">
      <c r="A17" s="6" t="s">
        <v>11</v>
      </c>
      <c r="B17" s="8"/>
      <c r="C17" s="8">
        <v>7.01</v>
      </c>
      <c r="D17" s="8"/>
      <c r="E17" s="8">
        <v>7.01</v>
      </c>
      <c r="F17" s="8"/>
      <c r="G17" s="8">
        <v>7.01</v>
      </c>
      <c r="H17" s="8"/>
      <c r="I17" s="8">
        <v>7.01</v>
      </c>
      <c r="J17" s="8"/>
      <c r="K17" s="8">
        <v>7.01</v>
      </c>
      <c r="L17" s="8"/>
      <c r="M17" s="8">
        <v>7.01</v>
      </c>
      <c r="N17" s="8"/>
      <c r="O17" s="8">
        <v>7.01</v>
      </c>
      <c r="P17" s="8"/>
      <c r="Q17" s="8">
        <v>7.01</v>
      </c>
      <c r="R17" s="8"/>
      <c r="S17" s="8">
        <v>7.01</v>
      </c>
      <c r="T17" s="8"/>
      <c r="U17" s="8">
        <v>7.01</v>
      </c>
      <c r="V17" s="8"/>
      <c r="W17" s="8">
        <v>7.01</v>
      </c>
      <c r="X17" s="8"/>
      <c r="Y17" s="8">
        <v>7.01</v>
      </c>
    </row>
    <row r="18" spans="1:26" ht="14.4" x14ac:dyDescent="0.3">
      <c r="A18" s="6" t="s">
        <v>12</v>
      </c>
      <c r="B18" s="8"/>
      <c r="C18" s="8">
        <v>5.6</v>
      </c>
      <c r="D18" s="8"/>
      <c r="E18" s="8">
        <v>5.6</v>
      </c>
      <c r="F18" s="8"/>
      <c r="G18" s="8">
        <v>5.6</v>
      </c>
      <c r="H18" s="8"/>
      <c r="I18" s="8">
        <v>5.6</v>
      </c>
      <c r="J18" s="8"/>
      <c r="K18" s="8">
        <v>5.6</v>
      </c>
      <c r="L18" s="8"/>
      <c r="M18" s="8">
        <v>5.6</v>
      </c>
      <c r="N18" s="8"/>
      <c r="O18" s="8">
        <v>5.6</v>
      </c>
      <c r="P18" s="8"/>
      <c r="Q18" s="8">
        <v>5.6</v>
      </c>
      <c r="R18" s="8"/>
      <c r="S18" s="8">
        <v>5.6</v>
      </c>
      <c r="T18" s="8"/>
      <c r="U18" s="8">
        <v>5.6</v>
      </c>
      <c r="V18" s="8"/>
      <c r="W18" s="8">
        <v>5.6</v>
      </c>
      <c r="X18" s="8"/>
      <c r="Y18" s="8">
        <v>5.6</v>
      </c>
    </row>
    <row r="19" spans="1:26" ht="14.4" x14ac:dyDescent="0.3">
      <c r="A19" s="6" t="s">
        <v>13</v>
      </c>
      <c r="B19" s="8"/>
      <c r="C19" s="8">
        <v>6.02</v>
      </c>
      <c r="D19" s="8"/>
      <c r="E19" s="8">
        <v>6.02</v>
      </c>
      <c r="F19" s="8"/>
      <c r="G19" s="8">
        <v>6.02</v>
      </c>
      <c r="H19" s="8"/>
      <c r="I19" s="8">
        <v>6.02</v>
      </c>
      <c r="J19" s="8"/>
      <c r="K19" s="8">
        <v>6.02</v>
      </c>
      <c r="L19" s="8"/>
      <c r="M19" s="8">
        <v>6.02</v>
      </c>
      <c r="N19" s="8"/>
      <c r="O19" s="8">
        <v>6.02</v>
      </c>
      <c r="P19" s="8"/>
      <c r="Q19" s="8">
        <v>6.02</v>
      </c>
      <c r="R19" s="8"/>
      <c r="S19" s="8">
        <v>6.02</v>
      </c>
      <c r="T19" s="8"/>
      <c r="U19" s="8">
        <v>6.02</v>
      </c>
      <c r="V19" s="8"/>
      <c r="W19" s="8">
        <v>6.02</v>
      </c>
      <c r="X19" s="8"/>
      <c r="Y19" s="8">
        <v>6.02</v>
      </c>
    </row>
    <row r="20" spans="1:26" ht="14.4" x14ac:dyDescent="0.3">
      <c r="A20" s="6" t="s">
        <v>14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9"/>
    </row>
    <row r="21" spans="1:26" ht="15.75" customHeight="1" x14ac:dyDescent="0.3">
      <c r="A21" s="6" t="s">
        <v>158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>
        <v>172.15</v>
      </c>
      <c r="V21" s="8"/>
      <c r="W21" s="8"/>
      <c r="X21" s="8"/>
      <c r="Y21" s="9"/>
    </row>
    <row r="22" spans="1:26" ht="15.75" customHeight="1" x14ac:dyDescent="0.3">
      <c r="A22" s="6" t="s">
        <v>18</v>
      </c>
      <c r="B22" s="8">
        <v>3</v>
      </c>
      <c r="C22" s="8">
        <v>3</v>
      </c>
      <c r="D22" s="8">
        <v>3</v>
      </c>
      <c r="E22" s="8">
        <v>3</v>
      </c>
      <c r="F22" s="8">
        <v>3</v>
      </c>
      <c r="G22" s="8">
        <v>3</v>
      </c>
      <c r="H22" s="8">
        <v>3</v>
      </c>
      <c r="I22" s="8">
        <v>3</v>
      </c>
      <c r="J22" s="8">
        <v>3</v>
      </c>
      <c r="K22" s="8">
        <v>3</v>
      </c>
      <c r="L22" s="8">
        <v>3</v>
      </c>
      <c r="M22" s="8">
        <v>3</v>
      </c>
      <c r="N22" s="8">
        <v>3</v>
      </c>
      <c r="O22" s="8">
        <v>3</v>
      </c>
      <c r="P22" s="8">
        <v>3</v>
      </c>
      <c r="Q22" s="8">
        <v>3</v>
      </c>
      <c r="R22" s="8">
        <v>3</v>
      </c>
      <c r="S22" s="8">
        <v>3</v>
      </c>
      <c r="T22" s="8">
        <v>3</v>
      </c>
      <c r="U22" s="8">
        <v>3</v>
      </c>
      <c r="V22" s="8">
        <v>3</v>
      </c>
      <c r="W22" s="8">
        <v>3</v>
      </c>
      <c r="X22" s="8">
        <v>3</v>
      </c>
      <c r="Y22" s="8">
        <v>3</v>
      </c>
    </row>
    <row r="23" spans="1:26" ht="15.75" customHeight="1" x14ac:dyDescent="0.3">
      <c r="A23" s="20" t="s">
        <v>54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>
        <v>29.29</v>
      </c>
      <c r="P23" s="77"/>
      <c r="Q23" s="77"/>
      <c r="R23" s="77"/>
      <c r="S23" s="77"/>
      <c r="T23" s="77"/>
      <c r="U23" s="77"/>
      <c r="V23" s="77"/>
      <c r="W23" s="77"/>
      <c r="X23" s="77"/>
      <c r="Y23" s="78"/>
    </row>
    <row r="24" spans="1:26" ht="15.75" customHeight="1" x14ac:dyDescent="0.3">
      <c r="A24" s="165" t="s">
        <v>21</v>
      </c>
      <c r="B24" s="166">
        <f t="shared" ref="B24:H24" si="1">B10+B11+B12+B13+B15+B16+B17+B18+B19+B21+B22+B14+B23</f>
        <v>33.28</v>
      </c>
      <c r="C24" s="166">
        <f t="shared" si="1"/>
        <v>128.32</v>
      </c>
      <c r="D24" s="166">
        <f t="shared" si="1"/>
        <v>33.28</v>
      </c>
      <c r="E24" s="166">
        <f t="shared" si="1"/>
        <v>128.32</v>
      </c>
      <c r="F24" s="166">
        <f t="shared" si="1"/>
        <v>33.28</v>
      </c>
      <c r="G24" s="166">
        <f t="shared" si="1"/>
        <v>128.32</v>
      </c>
      <c r="H24" s="166">
        <f t="shared" si="1"/>
        <v>33.28</v>
      </c>
      <c r="I24" s="166">
        <f t="shared" ref="I24:Y24" si="2">SUM(I10:I23)</f>
        <v>128.32</v>
      </c>
      <c r="J24" s="166">
        <f t="shared" si="2"/>
        <v>33.28</v>
      </c>
      <c r="K24" s="166">
        <f t="shared" si="2"/>
        <v>128.32</v>
      </c>
      <c r="L24" s="166">
        <f t="shared" si="2"/>
        <v>33.28</v>
      </c>
      <c r="M24" s="166">
        <f t="shared" si="2"/>
        <v>128.32</v>
      </c>
      <c r="N24" s="166">
        <f t="shared" si="2"/>
        <v>33.28</v>
      </c>
      <c r="O24" s="166">
        <f t="shared" si="2"/>
        <v>157.60999999999999</v>
      </c>
      <c r="P24" s="166">
        <f t="shared" si="2"/>
        <v>33.28</v>
      </c>
      <c r="Q24" s="166">
        <f t="shared" si="2"/>
        <v>128.32</v>
      </c>
      <c r="R24" s="166">
        <f t="shared" si="2"/>
        <v>33.28</v>
      </c>
      <c r="S24" s="166">
        <f t="shared" si="2"/>
        <v>128.32</v>
      </c>
      <c r="T24" s="166">
        <f t="shared" si="2"/>
        <v>33.28</v>
      </c>
      <c r="U24" s="166">
        <f t="shared" si="2"/>
        <v>300.46999999999997</v>
      </c>
      <c r="V24" s="166">
        <f t="shared" si="2"/>
        <v>33.28</v>
      </c>
      <c r="W24" s="166">
        <f t="shared" si="2"/>
        <v>128.32</v>
      </c>
      <c r="X24" s="166">
        <f t="shared" si="2"/>
        <v>33.28</v>
      </c>
      <c r="Y24" s="167">
        <f t="shared" si="2"/>
        <v>128.32</v>
      </c>
      <c r="Z24" s="12">
        <f>SUM(B24:Y24)</f>
        <v>2140.6399999999994</v>
      </c>
    </row>
    <row r="25" spans="1:26" ht="15.75" customHeight="1" x14ac:dyDescent="0.3">
      <c r="A25" s="6" t="s">
        <v>55</v>
      </c>
      <c r="B25" s="8">
        <v>19.399999999999999</v>
      </c>
      <c r="C25" s="8">
        <v>107.5</v>
      </c>
      <c r="D25" s="8">
        <v>14.11</v>
      </c>
      <c r="E25" s="8">
        <v>132.19</v>
      </c>
      <c r="F25" s="8">
        <v>14.11</v>
      </c>
      <c r="G25" s="8">
        <v>125.84</v>
      </c>
      <c r="H25" s="8">
        <v>14.11</v>
      </c>
      <c r="I25" s="8">
        <v>163.94</v>
      </c>
      <c r="J25" s="8">
        <v>14.11</v>
      </c>
      <c r="K25" s="8">
        <v>119.84</v>
      </c>
      <c r="L25" s="8">
        <v>14.11</v>
      </c>
      <c r="M25" s="8">
        <v>147.01</v>
      </c>
      <c r="N25" s="8">
        <v>14.11</v>
      </c>
      <c r="O25" s="8">
        <v>98.68</v>
      </c>
      <c r="P25" s="8">
        <v>14.11</v>
      </c>
      <c r="Q25" s="8">
        <v>132.19</v>
      </c>
      <c r="R25" s="8">
        <v>14.11</v>
      </c>
      <c r="S25" s="8">
        <v>129.37</v>
      </c>
      <c r="T25" s="8">
        <v>14.11</v>
      </c>
      <c r="U25" s="8">
        <v>264.49</v>
      </c>
      <c r="V25" s="8">
        <v>14.11</v>
      </c>
      <c r="W25" s="8">
        <v>107.5</v>
      </c>
      <c r="X25" s="8">
        <v>14.11</v>
      </c>
      <c r="Y25" s="9">
        <v>132.19</v>
      </c>
      <c r="Z25" s="12"/>
    </row>
    <row r="26" spans="1:26" ht="15.75" customHeight="1" x14ac:dyDescent="0.3">
      <c r="A26" s="31" t="s">
        <v>23</v>
      </c>
      <c r="B26" s="33"/>
      <c r="C26" s="33">
        <v>17.16</v>
      </c>
      <c r="D26" s="33"/>
      <c r="E26" s="33">
        <v>17.16</v>
      </c>
      <c r="F26" s="33"/>
      <c r="G26" s="33">
        <v>17.16</v>
      </c>
      <c r="H26" s="33"/>
      <c r="I26" s="33">
        <v>17.16</v>
      </c>
      <c r="J26" s="33"/>
      <c r="K26" s="33">
        <v>17.16</v>
      </c>
      <c r="L26" s="33"/>
      <c r="M26" s="33">
        <v>17.16</v>
      </c>
      <c r="N26" s="33"/>
      <c r="O26" s="33">
        <v>17.16</v>
      </c>
      <c r="P26" s="33"/>
      <c r="Q26" s="33">
        <v>17.16</v>
      </c>
      <c r="R26" s="33"/>
      <c r="S26" s="33">
        <v>17.16</v>
      </c>
      <c r="T26" s="33"/>
      <c r="U26" s="33">
        <v>17.16</v>
      </c>
      <c r="V26" s="33"/>
      <c r="W26" s="33">
        <v>17.16</v>
      </c>
      <c r="X26" s="33"/>
      <c r="Y26" s="34">
        <v>17.16</v>
      </c>
      <c r="Z26" s="12"/>
    </row>
    <row r="27" spans="1:26" ht="15.75" customHeight="1" x14ac:dyDescent="0.3">
      <c r="A27" s="6" t="s">
        <v>24</v>
      </c>
      <c r="B27" s="8"/>
      <c r="C27" s="8">
        <v>15.84</v>
      </c>
      <c r="D27" s="8"/>
      <c r="E27" s="8">
        <v>15.84</v>
      </c>
      <c r="F27" s="8"/>
      <c r="G27" s="8">
        <v>15.84</v>
      </c>
      <c r="H27" s="8"/>
      <c r="I27" s="8">
        <v>15.84</v>
      </c>
      <c r="J27" s="8"/>
      <c r="K27" s="8">
        <v>15.84</v>
      </c>
      <c r="L27" s="8"/>
      <c r="M27" s="8">
        <v>15.84</v>
      </c>
      <c r="N27" s="8"/>
      <c r="O27" s="8">
        <v>15.84</v>
      </c>
      <c r="P27" s="8"/>
      <c r="Q27" s="8">
        <v>15.84</v>
      </c>
      <c r="R27" s="8"/>
      <c r="S27" s="8">
        <v>15.84</v>
      </c>
      <c r="T27" s="8"/>
      <c r="U27" s="8">
        <v>15.84</v>
      </c>
      <c r="V27" s="8"/>
      <c r="W27" s="8">
        <v>15.84</v>
      </c>
      <c r="X27" s="8"/>
      <c r="Y27" s="9">
        <v>15.84</v>
      </c>
      <c r="Z27" s="12"/>
    </row>
    <row r="28" spans="1:26" ht="15.75" customHeight="1" x14ac:dyDescent="0.3">
      <c r="A28" s="36" t="s">
        <v>25</v>
      </c>
      <c r="B28" s="77"/>
      <c r="C28" s="77">
        <v>16.5</v>
      </c>
      <c r="D28" s="77"/>
      <c r="E28" s="77">
        <v>16.5</v>
      </c>
      <c r="F28" s="77"/>
      <c r="G28" s="77">
        <v>16.5</v>
      </c>
      <c r="H28" s="77"/>
      <c r="I28" s="77">
        <v>16.5</v>
      </c>
      <c r="J28" s="77"/>
      <c r="K28" s="77">
        <v>16.5</v>
      </c>
      <c r="L28" s="77"/>
      <c r="M28" s="77">
        <v>16.5</v>
      </c>
      <c r="N28" s="77"/>
      <c r="O28" s="77">
        <v>16.5</v>
      </c>
      <c r="P28" s="77"/>
      <c r="Q28" s="77">
        <v>16.5</v>
      </c>
      <c r="R28" s="77"/>
      <c r="S28" s="77">
        <v>16.5</v>
      </c>
      <c r="T28" s="77"/>
      <c r="U28" s="77">
        <v>16.5</v>
      </c>
      <c r="V28" s="77"/>
      <c r="W28" s="77">
        <v>16.5</v>
      </c>
      <c r="X28" s="77"/>
      <c r="Y28" s="78">
        <v>16.5</v>
      </c>
      <c r="Z28" s="12"/>
    </row>
    <row r="29" spans="1:26" ht="15.75" customHeight="1" x14ac:dyDescent="0.3">
      <c r="A29" s="28" t="s">
        <v>22</v>
      </c>
      <c r="B29" s="168">
        <f t="shared" ref="B29:Y29" si="3">SUM(B25:B28)</f>
        <v>19.399999999999999</v>
      </c>
      <c r="C29" s="168">
        <f t="shared" si="3"/>
        <v>157</v>
      </c>
      <c r="D29" s="168">
        <f t="shared" si="3"/>
        <v>14.11</v>
      </c>
      <c r="E29" s="168">
        <f t="shared" si="3"/>
        <v>181.69</v>
      </c>
      <c r="F29" s="168">
        <f t="shared" si="3"/>
        <v>14.11</v>
      </c>
      <c r="G29" s="168">
        <f t="shared" si="3"/>
        <v>175.34</v>
      </c>
      <c r="H29" s="168">
        <f t="shared" si="3"/>
        <v>14.11</v>
      </c>
      <c r="I29" s="168">
        <f t="shared" si="3"/>
        <v>213.44</v>
      </c>
      <c r="J29" s="168">
        <f t="shared" si="3"/>
        <v>14.11</v>
      </c>
      <c r="K29" s="168">
        <f t="shared" si="3"/>
        <v>169.34</v>
      </c>
      <c r="L29" s="168">
        <f t="shared" si="3"/>
        <v>14.11</v>
      </c>
      <c r="M29" s="168">
        <f t="shared" si="3"/>
        <v>196.51</v>
      </c>
      <c r="N29" s="168">
        <f t="shared" si="3"/>
        <v>14.11</v>
      </c>
      <c r="O29" s="168">
        <f t="shared" si="3"/>
        <v>148.18</v>
      </c>
      <c r="P29" s="168">
        <f t="shared" si="3"/>
        <v>14.11</v>
      </c>
      <c r="Q29" s="168">
        <f t="shared" si="3"/>
        <v>181.69</v>
      </c>
      <c r="R29" s="168">
        <f t="shared" si="3"/>
        <v>14.11</v>
      </c>
      <c r="S29" s="168">
        <f t="shared" si="3"/>
        <v>178.87</v>
      </c>
      <c r="T29" s="168">
        <f t="shared" si="3"/>
        <v>14.11</v>
      </c>
      <c r="U29" s="168">
        <f t="shared" si="3"/>
        <v>313.99</v>
      </c>
      <c r="V29" s="168">
        <f t="shared" si="3"/>
        <v>14.11</v>
      </c>
      <c r="W29" s="168">
        <f t="shared" si="3"/>
        <v>157</v>
      </c>
      <c r="X29" s="168">
        <f t="shared" si="3"/>
        <v>14.11</v>
      </c>
      <c r="Y29" s="169">
        <f t="shared" si="3"/>
        <v>181.69</v>
      </c>
      <c r="Z29" s="12">
        <f>SUM(B29:Y29)</f>
        <v>2429.35</v>
      </c>
    </row>
    <row r="30" spans="1:26" ht="15.75" customHeight="1" x14ac:dyDescent="0.3">
      <c r="A30" s="79" t="s">
        <v>58</v>
      </c>
      <c r="B30" s="81">
        <f t="shared" ref="B30:Y30" si="4">B9+B24+B29</f>
        <v>96.66</v>
      </c>
      <c r="C30" s="81">
        <f t="shared" si="4"/>
        <v>329.29999999999995</v>
      </c>
      <c r="D30" s="81">
        <f t="shared" si="4"/>
        <v>91.36999999999999</v>
      </c>
      <c r="E30" s="81">
        <f t="shared" si="4"/>
        <v>353.99</v>
      </c>
      <c r="F30" s="81">
        <f t="shared" si="4"/>
        <v>91.36999999999999</v>
      </c>
      <c r="G30" s="81">
        <f t="shared" si="4"/>
        <v>352.64</v>
      </c>
      <c r="H30" s="81">
        <f t="shared" si="4"/>
        <v>91.36999999999999</v>
      </c>
      <c r="I30" s="81">
        <f t="shared" si="4"/>
        <v>385.74</v>
      </c>
      <c r="J30" s="81">
        <f t="shared" si="4"/>
        <v>91.36999999999999</v>
      </c>
      <c r="K30" s="81">
        <f t="shared" si="4"/>
        <v>431.35</v>
      </c>
      <c r="L30" s="81">
        <f t="shared" si="4"/>
        <v>91.36999999999999</v>
      </c>
      <c r="M30" s="81">
        <f t="shared" si="4"/>
        <v>373.80999999999995</v>
      </c>
      <c r="N30" s="81">
        <f t="shared" si="4"/>
        <v>91.36999999999999</v>
      </c>
      <c r="O30" s="81">
        <f t="shared" si="4"/>
        <v>349.77</v>
      </c>
      <c r="P30" s="81">
        <f t="shared" si="4"/>
        <v>91.36999999999999</v>
      </c>
      <c r="Q30" s="81">
        <f t="shared" si="4"/>
        <v>353.99</v>
      </c>
      <c r="R30" s="81">
        <f t="shared" si="4"/>
        <v>91.36999999999999</v>
      </c>
      <c r="S30" s="81">
        <f t="shared" si="4"/>
        <v>356.16999999999996</v>
      </c>
      <c r="T30" s="81">
        <f t="shared" si="4"/>
        <v>91.36999999999999</v>
      </c>
      <c r="U30" s="81">
        <f t="shared" si="4"/>
        <v>748.15</v>
      </c>
      <c r="V30" s="81">
        <f t="shared" si="4"/>
        <v>91.36999999999999</v>
      </c>
      <c r="W30" s="81">
        <f t="shared" si="4"/>
        <v>329.29999999999995</v>
      </c>
      <c r="X30" s="81">
        <f t="shared" si="4"/>
        <v>91.36999999999999</v>
      </c>
      <c r="Y30" s="82">
        <f t="shared" si="4"/>
        <v>353.99</v>
      </c>
      <c r="Z30" s="54"/>
    </row>
    <row r="31" spans="1:26" ht="15.75" customHeight="1" x14ac:dyDescent="0.3"/>
    <row r="32" spans="1:26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L1000"/>
  <sheetViews>
    <sheetView workbookViewId="0"/>
  </sheetViews>
  <sheetFormatPr baseColWidth="10" defaultColWidth="14.44140625" defaultRowHeight="15" customHeight="1" x14ac:dyDescent="0.3"/>
  <cols>
    <col min="1" max="1" width="34.109375" customWidth="1"/>
    <col min="2" max="2" width="10.6640625" hidden="1" customWidth="1"/>
    <col min="3" max="7" width="10.6640625" customWidth="1"/>
    <col min="8" max="8" width="20.44140625" customWidth="1"/>
    <col min="9" max="9" width="15.109375" customWidth="1"/>
    <col min="10" max="10" width="13.88671875" customWidth="1"/>
    <col min="11" max="11" width="10.6640625" customWidth="1"/>
    <col min="12" max="12" width="14.88671875" customWidth="1"/>
    <col min="13" max="26" width="10.6640625" customWidth="1"/>
  </cols>
  <sheetData>
    <row r="2" spans="1:12" ht="28.8" x14ac:dyDescent="0.3">
      <c r="A2" s="72" t="s">
        <v>0</v>
      </c>
      <c r="B2" s="73" t="s">
        <v>1</v>
      </c>
      <c r="C2" s="74">
        <v>5000</v>
      </c>
      <c r="D2" s="74">
        <v>10000</v>
      </c>
      <c r="E2" s="74">
        <v>15000</v>
      </c>
      <c r="L2" s="170" t="s">
        <v>162</v>
      </c>
    </row>
    <row r="3" spans="1:12" ht="14.4" x14ac:dyDescent="0.3">
      <c r="A3" s="6" t="s">
        <v>3</v>
      </c>
      <c r="B3" s="7" t="str">
        <f>'W7 DIESEL 120K'!U1</f>
        <v>INTERMEDIOS</v>
      </c>
      <c r="C3" s="8">
        <v>40.98</v>
      </c>
      <c r="D3" s="8">
        <v>40.98</v>
      </c>
      <c r="E3" s="8">
        <v>40.98</v>
      </c>
      <c r="G3" s="201" t="s">
        <v>216</v>
      </c>
      <c r="H3" s="202"/>
      <c r="I3" s="202"/>
      <c r="J3" s="203"/>
      <c r="L3" s="52">
        <v>12</v>
      </c>
    </row>
    <row r="4" spans="1:12" ht="15" customHeight="1" x14ac:dyDescent="0.3">
      <c r="A4" s="6" t="s">
        <v>4</v>
      </c>
      <c r="B4" s="7">
        <f>'W7 DIESEL 120K'!U2</f>
        <v>40.98</v>
      </c>
      <c r="C4" s="8">
        <v>6.01</v>
      </c>
      <c r="D4" s="8">
        <v>6.01</v>
      </c>
      <c r="E4" s="8">
        <v>6.01</v>
      </c>
      <c r="G4" s="124">
        <v>1</v>
      </c>
      <c r="H4" s="19" t="s">
        <v>163</v>
      </c>
      <c r="I4" s="215" t="s">
        <v>164</v>
      </c>
      <c r="J4" s="96">
        <f>C26*L3</f>
        <v>1140.48</v>
      </c>
    </row>
    <row r="5" spans="1:12" ht="14.4" x14ac:dyDescent="0.3">
      <c r="A5" s="6" t="s">
        <v>5</v>
      </c>
      <c r="B5" s="7">
        <f>'W7 DIESEL 120K'!U3</f>
        <v>6.01</v>
      </c>
      <c r="C5" s="8">
        <v>6.5</v>
      </c>
      <c r="D5" s="8">
        <v>6.5</v>
      </c>
      <c r="E5" s="8">
        <v>6.5</v>
      </c>
      <c r="G5" s="124">
        <v>2</v>
      </c>
      <c r="H5" s="19" t="s">
        <v>165</v>
      </c>
      <c r="I5" s="216"/>
      <c r="J5" s="96">
        <f>C21*L3</f>
        <v>402.72</v>
      </c>
    </row>
    <row r="6" spans="1:12" ht="14.4" x14ac:dyDescent="0.3">
      <c r="A6" s="6" t="s">
        <v>6</v>
      </c>
      <c r="B6" s="7">
        <f>'W7 DIESEL 120K'!U4</f>
        <v>6.5</v>
      </c>
      <c r="C6" s="8">
        <v>17.55</v>
      </c>
      <c r="D6" s="8">
        <v>17.55</v>
      </c>
      <c r="E6" s="8">
        <v>17.55</v>
      </c>
      <c r="G6" s="124">
        <v>3</v>
      </c>
      <c r="H6" s="19" t="s">
        <v>166</v>
      </c>
      <c r="I6" s="217"/>
      <c r="J6" s="96">
        <f>C22*L3</f>
        <v>232.79999999999998</v>
      </c>
    </row>
    <row r="7" spans="1:12" ht="14.4" x14ac:dyDescent="0.3">
      <c r="A7" s="6" t="s">
        <v>7</v>
      </c>
      <c r="B7" s="7">
        <f>'W7 DIESEL 120K'!U5</f>
        <v>17.55</v>
      </c>
      <c r="C7" s="8"/>
      <c r="D7" s="8">
        <v>10.45</v>
      </c>
      <c r="E7" s="8"/>
      <c r="G7" s="218" t="s">
        <v>217</v>
      </c>
      <c r="H7" s="219"/>
      <c r="I7" s="208"/>
      <c r="J7" s="128">
        <f>SUM(J4:J6)</f>
        <v>1776</v>
      </c>
    </row>
    <row r="8" spans="1:12" ht="14.4" x14ac:dyDescent="0.3">
      <c r="A8" s="6" t="s">
        <v>8</v>
      </c>
      <c r="B8" s="7">
        <f>'W7 DIESEL 120K'!U6</f>
        <v>0</v>
      </c>
      <c r="C8" s="8"/>
      <c r="D8" s="8">
        <v>7.69</v>
      </c>
      <c r="E8" s="8"/>
      <c r="G8" s="220" t="s">
        <v>170</v>
      </c>
      <c r="H8" s="221"/>
      <c r="I8" s="221"/>
      <c r="J8" s="221"/>
    </row>
    <row r="9" spans="1:12" ht="14.4" x14ac:dyDescent="0.3">
      <c r="A9" s="6" t="s">
        <v>9</v>
      </c>
      <c r="B9" s="7">
        <f>'W7 DIESEL 120K'!U7</f>
        <v>0</v>
      </c>
      <c r="C9" s="8"/>
      <c r="D9" s="8">
        <v>26.87</v>
      </c>
      <c r="E9" s="8"/>
    </row>
    <row r="10" spans="1:12" ht="14.4" x14ac:dyDescent="0.3">
      <c r="A10" s="6" t="s">
        <v>10</v>
      </c>
      <c r="B10" s="7">
        <f>'W7 DIESEL 120K'!U8</f>
        <v>0</v>
      </c>
      <c r="C10" s="8"/>
      <c r="D10" s="8">
        <v>27</v>
      </c>
      <c r="E10" s="8"/>
      <c r="G10" s="201" t="s">
        <v>218</v>
      </c>
      <c r="H10" s="202"/>
      <c r="I10" s="202"/>
      <c r="J10" s="203"/>
      <c r="L10" s="52">
        <v>5</v>
      </c>
    </row>
    <row r="11" spans="1:12" ht="14.4" x14ac:dyDescent="0.3">
      <c r="A11" s="6" t="s">
        <v>11</v>
      </c>
      <c r="B11" s="7">
        <f>'W7 DIESEL 120K'!U9</f>
        <v>0</v>
      </c>
      <c r="C11" s="8"/>
      <c r="D11" s="8"/>
      <c r="E11" s="8"/>
      <c r="G11" s="124">
        <v>1</v>
      </c>
      <c r="H11" s="19" t="s">
        <v>163</v>
      </c>
      <c r="I11" s="215" t="s">
        <v>164</v>
      </c>
      <c r="J11" s="96">
        <f>D26*L10</f>
        <v>204.89999999999998</v>
      </c>
    </row>
    <row r="12" spans="1:12" ht="14.4" x14ac:dyDescent="0.3">
      <c r="A12" s="6" t="s">
        <v>12</v>
      </c>
      <c r="B12" s="7">
        <f>'W7 DIESEL 120K'!U10</f>
        <v>0</v>
      </c>
      <c r="C12" s="8"/>
      <c r="D12" s="8">
        <v>5</v>
      </c>
      <c r="E12" s="8"/>
      <c r="G12" s="124">
        <v>2</v>
      </c>
      <c r="H12" s="19" t="s">
        <v>165</v>
      </c>
      <c r="I12" s="216"/>
      <c r="J12" s="96">
        <f>D21*L10</f>
        <v>579.85</v>
      </c>
    </row>
    <row r="13" spans="1:12" ht="14.4" x14ac:dyDescent="0.3">
      <c r="A13" s="6" t="s">
        <v>13</v>
      </c>
      <c r="B13" s="7">
        <f>'W7 DIESEL 120K'!U11</f>
        <v>0</v>
      </c>
      <c r="C13" s="8"/>
      <c r="D13" s="8">
        <v>5.4</v>
      </c>
      <c r="E13" s="8"/>
      <c r="G13" s="124">
        <v>3</v>
      </c>
      <c r="H13" s="19" t="s">
        <v>166</v>
      </c>
      <c r="I13" s="217"/>
      <c r="J13" s="96">
        <f>D22*L10</f>
        <v>785</v>
      </c>
    </row>
    <row r="14" spans="1:12" ht="14.4" x14ac:dyDescent="0.3">
      <c r="A14" s="6" t="s">
        <v>14</v>
      </c>
      <c r="B14" s="7">
        <f>'W7 DIESEL 120K'!U12</f>
        <v>0</v>
      </c>
      <c r="C14" s="8"/>
      <c r="D14" s="8"/>
      <c r="E14" s="8"/>
      <c r="G14" s="218" t="s">
        <v>217</v>
      </c>
      <c r="H14" s="219"/>
      <c r="I14" s="208"/>
      <c r="J14" s="128">
        <f>SUM(J11:J13)</f>
        <v>1569.75</v>
      </c>
    </row>
    <row r="15" spans="1:12" ht="14.4" x14ac:dyDescent="0.3">
      <c r="A15" s="6" t="s">
        <v>15</v>
      </c>
      <c r="B15" s="7">
        <f>'W7 DIESEL 120K'!U13</f>
        <v>0</v>
      </c>
      <c r="C15" s="8"/>
      <c r="D15" s="8"/>
      <c r="E15" s="8"/>
      <c r="G15" s="220" t="s">
        <v>170</v>
      </c>
      <c r="H15" s="221"/>
      <c r="I15" s="221"/>
      <c r="J15" s="221"/>
    </row>
    <row r="16" spans="1:12" ht="14.4" x14ac:dyDescent="0.3">
      <c r="A16" s="6" t="s">
        <v>16</v>
      </c>
      <c r="B16" s="7">
        <f>'W7 DIESEL 120K'!U14</f>
        <v>0</v>
      </c>
      <c r="C16" s="8">
        <v>31.56</v>
      </c>
      <c r="D16" s="8"/>
      <c r="E16" s="8"/>
    </row>
    <row r="17" spans="1:12" ht="14.4" x14ac:dyDescent="0.3">
      <c r="A17" s="6" t="s">
        <v>17</v>
      </c>
      <c r="B17" s="7">
        <f>'W7 DIESEL 120K'!U15</f>
        <v>0</v>
      </c>
      <c r="C17" s="8">
        <v>22.5</v>
      </c>
      <c r="D17" s="8"/>
      <c r="E17" s="8"/>
      <c r="G17" s="201" t="s">
        <v>219</v>
      </c>
      <c r="H17" s="202"/>
      <c r="I17" s="202"/>
      <c r="J17" s="203"/>
      <c r="L17" s="52">
        <v>4</v>
      </c>
    </row>
    <row r="18" spans="1:12" ht="14.4" x14ac:dyDescent="0.3">
      <c r="A18" s="6" t="s">
        <v>18</v>
      </c>
      <c r="B18" s="7">
        <f>'W7 DIESEL 120K'!U16</f>
        <v>0</v>
      </c>
      <c r="C18" s="8">
        <v>3.5</v>
      </c>
      <c r="D18" s="8">
        <v>3.5</v>
      </c>
      <c r="E18" s="8">
        <v>3.5</v>
      </c>
      <c r="G18" s="124">
        <v>1</v>
      </c>
      <c r="H18" s="19" t="s">
        <v>163</v>
      </c>
      <c r="I18" s="215" t="s">
        <v>164</v>
      </c>
      <c r="J18" s="96">
        <f>E26*L17</f>
        <v>163.92</v>
      </c>
    </row>
    <row r="19" spans="1:12" ht="14.4" x14ac:dyDescent="0.3">
      <c r="A19" s="6" t="s">
        <v>19</v>
      </c>
      <c r="B19" s="7">
        <f>'W7 DIESEL 120K'!U17</f>
        <v>3.5</v>
      </c>
      <c r="C19" s="8"/>
      <c r="D19" s="8"/>
      <c r="E19" s="8"/>
      <c r="G19" s="124">
        <v>2</v>
      </c>
      <c r="H19" s="19" t="s">
        <v>165</v>
      </c>
      <c r="I19" s="216"/>
      <c r="J19" s="96">
        <f>E21*L17</f>
        <v>134.24</v>
      </c>
    </row>
    <row r="20" spans="1:12" ht="14.4" x14ac:dyDescent="0.3">
      <c r="A20" s="20" t="s">
        <v>20</v>
      </c>
      <c r="B20" s="76">
        <f>'W7 DIESEL 120K'!U18</f>
        <v>0</v>
      </c>
      <c r="C20" s="21">
        <v>0</v>
      </c>
      <c r="D20" s="21">
        <v>0</v>
      </c>
      <c r="E20" s="21">
        <v>0</v>
      </c>
      <c r="G20" s="124">
        <v>3</v>
      </c>
      <c r="H20" s="19" t="s">
        <v>166</v>
      </c>
      <c r="I20" s="217"/>
      <c r="J20" s="96">
        <f>E22*L17</f>
        <v>59.12</v>
      </c>
    </row>
    <row r="21" spans="1:12" ht="15.75" customHeight="1" x14ac:dyDescent="0.3">
      <c r="A21" s="24" t="s">
        <v>21</v>
      </c>
      <c r="B21" s="25">
        <f t="shared" ref="B21:E21" si="0">B4+B5+B6+B7+B9+B10+B11+B12+B13+B15+B18+B8</f>
        <v>71.039999999999992</v>
      </c>
      <c r="C21" s="26">
        <f t="shared" si="0"/>
        <v>33.56</v>
      </c>
      <c r="D21" s="26">
        <f t="shared" si="0"/>
        <v>115.97000000000001</v>
      </c>
      <c r="E21" s="26">
        <f t="shared" si="0"/>
        <v>33.56</v>
      </c>
      <c r="G21" s="218" t="s">
        <v>217</v>
      </c>
      <c r="H21" s="219"/>
      <c r="I21" s="208"/>
      <c r="J21" s="128">
        <f>SUM(J18:J20)</f>
        <v>357.28</v>
      </c>
    </row>
    <row r="22" spans="1:12" ht="15.75" customHeight="1" x14ac:dyDescent="0.3">
      <c r="A22" s="28" t="s">
        <v>22</v>
      </c>
      <c r="B22" s="25">
        <f>'W7 DIESEL 120K'!U20</f>
        <v>33.56</v>
      </c>
      <c r="C22" s="29">
        <v>19.399999999999999</v>
      </c>
      <c r="D22" s="29">
        <v>157</v>
      </c>
      <c r="E22" s="29">
        <v>14.78</v>
      </c>
      <c r="G22" s="220" t="s">
        <v>170</v>
      </c>
      <c r="H22" s="221"/>
      <c r="I22" s="221"/>
      <c r="J22" s="221"/>
    </row>
    <row r="23" spans="1:12" ht="15.75" customHeight="1" x14ac:dyDescent="0.3">
      <c r="A23" s="31" t="s">
        <v>23</v>
      </c>
      <c r="B23" s="32">
        <v>0</v>
      </c>
      <c r="C23" s="33"/>
      <c r="D23" s="33">
        <v>17.16</v>
      </c>
      <c r="E23" s="33"/>
    </row>
    <row r="24" spans="1:12" ht="15.75" customHeight="1" x14ac:dyDescent="0.3">
      <c r="A24" s="6" t="s">
        <v>24</v>
      </c>
      <c r="B24" s="7"/>
      <c r="C24" s="8"/>
      <c r="D24" s="8">
        <v>15.84</v>
      </c>
      <c r="E24" s="8"/>
    </row>
    <row r="25" spans="1:12" ht="15.75" customHeight="1" x14ac:dyDescent="0.3">
      <c r="A25" s="36" t="s">
        <v>25</v>
      </c>
      <c r="B25" s="76">
        <v>0</v>
      </c>
      <c r="C25" s="77"/>
      <c r="D25" s="77"/>
      <c r="E25" s="77"/>
    </row>
    <row r="26" spans="1:12" ht="15.75" customHeight="1" x14ac:dyDescent="0.3">
      <c r="A26" s="162" t="s">
        <v>28</v>
      </c>
      <c r="B26" s="25" t="e">
        <f t="shared" ref="B26:E26" si="1">B3+B14+B16+B17+B19+B20</f>
        <v>#VALUE!</v>
      </c>
      <c r="C26" s="171">
        <f t="shared" si="1"/>
        <v>95.039999999999992</v>
      </c>
      <c r="D26" s="171">
        <f t="shared" si="1"/>
        <v>40.98</v>
      </c>
      <c r="E26" s="171">
        <f t="shared" si="1"/>
        <v>40.98</v>
      </c>
    </row>
    <row r="27" spans="1:12" ht="15.75" customHeight="1" x14ac:dyDescent="0.3">
      <c r="G27" s="192"/>
      <c r="H27" s="193"/>
      <c r="I27" s="193"/>
      <c r="J27" s="193"/>
    </row>
    <row r="28" spans="1:12" ht="15.75" customHeight="1" x14ac:dyDescent="0.3">
      <c r="I28" s="226"/>
      <c r="J28" s="172"/>
    </row>
    <row r="29" spans="1:12" ht="15.75" customHeight="1" x14ac:dyDescent="0.3">
      <c r="I29" s="193"/>
      <c r="J29" s="172"/>
    </row>
    <row r="30" spans="1:12" ht="15.75" customHeight="1" x14ac:dyDescent="0.3">
      <c r="I30" s="193"/>
      <c r="J30" s="172"/>
    </row>
    <row r="31" spans="1:12" ht="15.75" customHeight="1" x14ac:dyDescent="0.3">
      <c r="G31" s="224"/>
      <c r="H31" s="193"/>
      <c r="I31" s="193"/>
      <c r="J31" s="173"/>
    </row>
    <row r="32" spans="1:12" ht="15.75" customHeight="1" x14ac:dyDescent="0.3">
      <c r="G32" s="225"/>
      <c r="H32" s="193"/>
      <c r="I32" s="193"/>
      <c r="J32" s="193"/>
    </row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6">
    <mergeCell ref="I11:I13"/>
    <mergeCell ref="G14:I14"/>
    <mergeCell ref="G31:I31"/>
    <mergeCell ref="G32:J32"/>
    <mergeCell ref="G15:J15"/>
    <mergeCell ref="G17:J17"/>
    <mergeCell ref="I18:I20"/>
    <mergeCell ref="G21:I21"/>
    <mergeCell ref="G22:J22"/>
    <mergeCell ref="G27:J27"/>
    <mergeCell ref="I28:I30"/>
    <mergeCell ref="G3:J3"/>
    <mergeCell ref="I4:I6"/>
    <mergeCell ref="G7:I7"/>
    <mergeCell ref="G8:J8"/>
    <mergeCell ref="G10:J10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13</vt:i4>
      </vt:variant>
    </vt:vector>
  </HeadingPairs>
  <TitlesOfParts>
    <vt:vector size="13" baseType="lpstr">
      <vt:lpstr>W7 DIESEL 120K</vt:lpstr>
      <vt:lpstr>DETALLADO MANT 4X4</vt:lpstr>
      <vt:lpstr>CORRECTIVO</vt:lpstr>
      <vt:lpstr>TABLA GRAL MO-REP</vt:lpstr>
      <vt:lpstr>MANT. CORRECTIVOS SOLICITADOS</vt:lpstr>
      <vt:lpstr>DETALLADO MANT 4X2</vt:lpstr>
      <vt:lpstr>DETALLADO MANT 4X2 - NO APLICA</vt:lpstr>
      <vt:lpstr>CONSOLIDADO</vt:lpstr>
      <vt:lpstr>PLAN MANTENIMIENTO</vt:lpstr>
      <vt:lpstr>REF. MANT. CORRECTIVO</vt:lpstr>
      <vt:lpstr>REF. MANT. CORRECTIVO COMPLETO</vt:lpstr>
      <vt:lpstr>PLAN MANTENIMEINTO WINGLE 2,8</vt:lpstr>
      <vt:lpstr>MANTENIMIENTOS EPMMOP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ambacar</dc:creator>
  <cp:lastModifiedBy>AMBACAR</cp:lastModifiedBy>
  <dcterms:created xsi:type="dcterms:W3CDTF">2022-08-29T15:32:40Z</dcterms:created>
  <dcterms:modified xsi:type="dcterms:W3CDTF">2026-02-25T20:33:20Z</dcterms:modified>
</cp:coreProperties>
</file>